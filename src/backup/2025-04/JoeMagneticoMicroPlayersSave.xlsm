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24226"/>
  <mc:AlternateContent xmlns:mc="http://schemas.openxmlformats.org/markup-compatibility/2006">
    <mc:Choice Requires="x15">
      <x15ac:absPath xmlns:x15ac="http://schemas.microsoft.com/office/spreadsheetml/2010/11/ac" url="C:\pga\"/>
    </mc:Choice>
  </mc:AlternateContent>
  <xr:revisionPtr revIDLastSave="0" documentId="13_ncr:1_{CC095012-C298-4D50-AFD9-79015FCFD275}" xr6:coauthVersionLast="47" xr6:coauthVersionMax="47" xr10:uidLastSave="{00000000-0000-0000-0000-000000000000}"/>
  <bookViews>
    <workbookView xWindow="-120" yWindow="-120" windowWidth="29040" windowHeight="15720" tabRatio="601" firstSheet="2" activeTab="4" xr2:uid="{00000000-000D-0000-FFFF-FFFF00000000}"/>
  </bookViews>
  <sheets>
    <sheet name="Picks" sheetId="13" r:id="rId1"/>
    <sheet name="Micro" sheetId="31" r:id="rId2"/>
    <sheet name="Scores" sheetId="20" r:id="rId3"/>
    <sheet name="Field" sheetId="23" r:id="rId4"/>
    <sheet name="ESPNPicks" sheetId="35" r:id="rId5"/>
    <sheet name="ESPNMicro" sheetId="37" r:id="rId6"/>
    <sheet name="ESPNScores" sheetId="39" r:id="rId7"/>
    <sheet name="ESPNField" sheetId="38" r:id="rId8"/>
    <sheet name="Picks30" sheetId="30" r:id="rId9"/>
    <sheet name="Micro30" sheetId="40" r:id="rId10"/>
    <sheet name="Final 30" sheetId="29" r:id="rId11"/>
    <sheet name="Top 40" sheetId="25" r:id="rId12"/>
    <sheet name="OWGR" sheetId="28" r:id="rId13"/>
    <sheet name="filePath" sheetId="32" r:id="rId14"/>
  </sheets>
  <definedNames>
    <definedName name="ExternalData_1" localSheetId="3" hidden="1">Field!$A$1:$B$157</definedName>
    <definedName name="ExternalData_1" localSheetId="12" hidden="1">OWGR!$A$1:$AD$101</definedName>
    <definedName name="ExternalData_2" localSheetId="7" hidden="1">ESPNField!$A$1:$A$145</definedName>
    <definedName name="ExternalData_2" localSheetId="6" hidden="1">ESPNScores!$A$1:$B$146</definedName>
    <definedName name="ExternalData_2" localSheetId="2" hidden="1">Scores!$A$1:$B$157</definedName>
    <definedName name="FilePath">filePath!$A$1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37" l="1"/>
  <c r="D4" i="37"/>
  <c r="D3" i="37"/>
  <c r="S37" i="37"/>
  <c r="S13" i="37"/>
  <c r="O37" i="37"/>
  <c r="S13" i="35"/>
  <c r="Q48" i="37"/>
  <c r="Q47" i="37"/>
  <c r="Q46" i="37"/>
  <c r="Q45" i="37"/>
  <c r="Q44" i="37"/>
  <c r="Q43" i="37"/>
  <c r="Q42" i="37"/>
  <c r="Q41" i="37"/>
  <c r="Q40" i="37"/>
  <c r="Q39" i="37"/>
  <c r="Q27" i="40"/>
  <c r="Q28" i="40"/>
  <c r="Q29" i="40"/>
  <c r="Q30" i="40"/>
  <c r="Q31" i="40"/>
  <c r="Q32" i="40"/>
  <c r="Q33" i="40"/>
  <c r="Q34" i="40"/>
  <c r="Q35" i="40"/>
  <c r="Q36" i="40"/>
  <c r="G15" i="40"/>
  <c r="I15" i="40"/>
  <c r="G16" i="40"/>
  <c r="I16" i="40"/>
  <c r="G17" i="40"/>
  <c r="I17" i="40"/>
  <c r="G18" i="40"/>
  <c r="I18" i="40"/>
  <c r="G19" i="40"/>
  <c r="I19" i="40"/>
  <c r="G20" i="40"/>
  <c r="I20" i="40"/>
  <c r="G21" i="40"/>
  <c r="I21" i="40"/>
  <c r="G22" i="40"/>
  <c r="I22" i="40"/>
  <c r="G23" i="40"/>
  <c r="I23" i="40"/>
  <c r="G24" i="40"/>
  <c r="I24" i="40"/>
  <c r="Y45" i="30"/>
  <c r="AA45" i="30"/>
  <c r="Z45" i="30"/>
  <c r="X45" i="30"/>
  <c r="W45" i="30"/>
  <c r="V45" i="30"/>
  <c r="U45" i="30"/>
  <c r="T45" i="30"/>
  <c r="S45" i="30"/>
  <c r="R45" i="30"/>
  <c r="Q45" i="30"/>
  <c r="P45" i="30"/>
  <c r="O45" i="30"/>
  <c r="N45" i="30"/>
  <c r="J45" i="30"/>
  <c r="I45" i="30"/>
  <c r="S3" i="30"/>
  <c r="S4" i="30"/>
  <c r="S5" i="30"/>
  <c r="S6" i="30"/>
  <c r="S7" i="30"/>
  <c r="S8" i="30"/>
  <c r="S9" i="30"/>
  <c r="S10" i="30"/>
  <c r="S11" i="30"/>
  <c r="S12" i="30"/>
  <c r="AH50" i="40"/>
  <c r="AG50" i="40"/>
  <c r="AF50" i="40"/>
  <c r="AE50" i="40"/>
  <c r="AD50" i="40"/>
  <c r="AC50" i="40"/>
  <c r="AB50" i="40"/>
  <c r="AA50" i="40"/>
  <c r="Z50" i="40"/>
  <c r="Y50" i="40"/>
  <c r="X50" i="40"/>
  <c r="W50" i="40"/>
  <c r="V50" i="40"/>
  <c r="U50" i="40"/>
  <c r="T50" i="40"/>
  <c r="S50" i="40"/>
  <c r="R50" i="40"/>
  <c r="Q50" i="40"/>
  <c r="P50" i="40"/>
  <c r="O50" i="40"/>
  <c r="N50" i="40"/>
  <c r="M50" i="40"/>
  <c r="L50" i="40"/>
  <c r="K50" i="40"/>
  <c r="J50" i="40"/>
  <c r="I50" i="40"/>
  <c r="H50" i="40"/>
  <c r="G50" i="40"/>
  <c r="F50" i="40"/>
  <c r="O48" i="40"/>
  <c r="M48" i="40"/>
  <c r="K48" i="40"/>
  <c r="I48" i="40"/>
  <c r="G48" i="40"/>
  <c r="O47" i="40"/>
  <c r="M47" i="40"/>
  <c r="K47" i="40"/>
  <c r="I47" i="40"/>
  <c r="G47" i="40"/>
  <c r="O46" i="40"/>
  <c r="M46" i="40"/>
  <c r="K46" i="40"/>
  <c r="I46" i="40"/>
  <c r="G46" i="40"/>
  <c r="O45" i="40"/>
  <c r="M45" i="40"/>
  <c r="K45" i="40"/>
  <c r="I45" i="40"/>
  <c r="G45" i="40"/>
  <c r="O44" i="40"/>
  <c r="M44" i="40"/>
  <c r="K44" i="40"/>
  <c r="I44" i="40"/>
  <c r="G44" i="40"/>
  <c r="O43" i="40"/>
  <c r="M43" i="40"/>
  <c r="K43" i="40"/>
  <c r="I43" i="40"/>
  <c r="G43" i="40"/>
  <c r="O42" i="40"/>
  <c r="M42" i="40"/>
  <c r="K42" i="40"/>
  <c r="I42" i="40"/>
  <c r="G42" i="40"/>
  <c r="O41" i="40"/>
  <c r="M41" i="40"/>
  <c r="K41" i="40"/>
  <c r="I41" i="40"/>
  <c r="G41" i="40"/>
  <c r="O40" i="40"/>
  <c r="M40" i="40"/>
  <c r="K40" i="40"/>
  <c r="I40" i="40"/>
  <c r="G40" i="40"/>
  <c r="O39" i="40"/>
  <c r="M39" i="40"/>
  <c r="K39" i="40"/>
  <c r="I39" i="40"/>
  <c r="G39" i="40"/>
  <c r="C39" i="40"/>
  <c r="B39" i="40"/>
  <c r="C38" i="40"/>
  <c r="B38" i="40"/>
  <c r="C37" i="40"/>
  <c r="B37" i="40"/>
  <c r="U36" i="40"/>
  <c r="S36" i="40"/>
  <c r="O36" i="40"/>
  <c r="M36" i="40"/>
  <c r="K36" i="40"/>
  <c r="I36" i="40"/>
  <c r="G36" i="40"/>
  <c r="C36" i="40"/>
  <c r="B36" i="40"/>
  <c r="U35" i="40"/>
  <c r="S35" i="40"/>
  <c r="O35" i="40"/>
  <c r="M35" i="40"/>
  <c r="K35" i="40"/>
  <c r="I35" i="40"/>
  <c r="G35" i="40"/>
  <c r="C35" i="40"/>
  <c r="B35" i="40"/>
  <c r="U34" i="40"/>
  <c r="S34" i="40"/>
  <c r="O34" i="40"/>
  <c r="M34" i="40"/>
  <c r="K34" i="40"/>
  <c r="I34" i="40"/>
  <c r="G34" i="40"/>
  <c r="U33" i="40"/>
  <c r="S33" i="40"/>
  <c r="O33" i="40"/>
  <c r="M33" i="40"/>
  <c r="K33" i="40"/>
  <c r="I33" i="40"/>
  <c r="G33" i="40"/>
  <c r="U32" i="40"/>
  <c r="S32" i="40"/>
  <c r="O32" i="40"/>
  <c r="M32" i="40"/>
  <c r="K32" i="40"/>
  <c r="I32" i="40"/>
  <c r="G32" i="40"/>
  <c r="U31" i="40"/>
  <c r="S31" i="40"/>
  <c r="O31" i="40"/>
  <c r="M31" i="40"/>
  <c r="K31" i="40"/>
  <c r="I31" i="40"/>
  <c r="G31" i="40"/>
  <c r="U30" i="40"/>
  <c r="S30" i="40"/>
  <c r="O30" i="40"/>
  <c r="M30" i="40"/>
  <c r="K30" i="40"/>
  <c r="I30" i="40"/>
  <c r="G30" i="40"/>
  <c r="U29" i="40"/>
  <c r="S29" i="40"/>
  <c r="O29" i="40"/>
  <c r="M29" i="40"/>
  <c r="K29" i="40"/>
  <c r="I29" i="40"/>
  <c r="G29" i="40"/>
  <c r="U28" i="40"/>
  <c r="S28" i="40"/>
  <c r="O28" i="40"/>
  <c r="M28" i="40"/>
  <c r="K28" i="40"/>
  <c r="I28" i="40"/>
  <c r="G28" i="40"/>
  <c r="U27" i="40"/>
  <c r="S27" i="40"/>
  <c r="O27" i="40"/>
  <c r="M27" i="40"/>
  <c r="K27" i="40"/>
  <c r="I27" i="40"/>
  <c r="G27" i="40"/>
  <c r="U24" i="40"/>
  <c r="S24" i="40"/>
  <c r="Q24" i="40"/>
  <c r="O24" i="40"/>
  <c r="M24" i="40"/>
  <c r="K24" i="40"/>
  <c r="U23" i="40"/>
  <c r="S23" i="40"/>
  <c r="Q23" i="40"/>
  <c r="O23" i="40"/>
  <c r="M23" i="40"/>
  <c r="K23" i="40"/>
  <c r="U22" i="40"/>
  <c r="S22" i="40"/>
  <c r="Q22" i="40"/>
  <c r="O22" i="40"/>
  <c r="M22" i="40"/>
  <c r="K22" i="40"/>
  <c r="U21" i="40"/>
  <c r="S21" i="40"/>
  <c r="Q21" i="40"/>
  <c r="O21" i="40"/>
  <c r="M21" i="40"/>
  <c r="K21" i="40"/>
  <c r="U20" i="40"/>
  <c r="S20" i="40"/>
  <c r="Q20" i="40"/>
  <c r="O20" i="40"/>
  <c r="M20" i="40"/>
  <c r="K20" i="40"/>
  <c r="U19" i="40"/>
  <c r="S19" i="40"/>
  <c r="Q19" i="40"/>
  <c r="O19" i="40"/>
  <c r="M19" i="40"/>
  <c r="K19" i="40"/>
  <c r="U18" i="40"/>
  <c r="S18" i="40"/>
  <c r="Q18" i="40"/>
  <c r="O18" i="40"/>
  <c r="M18" i="40"/>
  <c r="K18" i="40"/>
  <c r="U17" i="40"/>
  <c r="S17" i="40"/>
  <c r="Q17" i="40"/>
  <c r="O17" i="40"/>
  <c r="M17" i="40"/>
  <c r="K17" i="40"/>
  <c r="U16" i="40"/>
  <c r="S16" i="40"/>
  <c r="Q16" i="40"/>
  <c r="O16" i="40"/>
  <c r="M16" i="40"/>
  <c r="K16" i="40"/>
  <c r="U15" i="40"/>
  <c r="S15" i="40"/>
  <c r="Q15" i="40"/>
  <c r="O15" i="40"/>
  <c r="M15" i="40"/>
  <c r="K15" i="40"/>
  <c r="U12" i="40"/>
  <c r="S12" i="40"/>
  <c r="Q12" i="40"/>
  <c r="O12" i="40"/>
  <c r="M12" i="40"/>
  <c r="K12" i="40"/>
  <c r="I12" i="40"/>
  <c r="G12" i="40"/>
  <c r="U11" i="40"/>
  <c r="S11" i="40"/>
  <c r="Q11" i="40"/>
  <c r="O11" i="40"/>
  <c r="M11" i="40"/>
  <c r="K11" i="40"/>
  <c r="I11" i="40"/>
  <c r="G11" i="40"/>
  <c r="U10" i="40"/>
  <c r="S10" i="40"/>
  <c r="Q10" i="40"/>
  <c r="O10" i="40"/>
  <c r="M10" i="40"/>
  <c r="K10" i="40"/>
  <c r="I10" i="40"/>
  <c r="G10" i="40"/>
  <c r="U9" i="40"/>
  <c r="S9" i="40"/>
  <c r="Q9" i="40"/>
  <c r="O9" i="40"/>
  <c r="M9" i="40"/>
  <c r="K9" i="40"/>
  <c r="I9" i="40"/>
  <c r="G9" i="40"/>
  <c r="U8" i="40"/>
  <c r="S8" i="40"/>
  <c r="Q8" i="40"/>
  <c r="O8" i="40"/>
  <c r="M8" i="40"/>
  <c r="K8" i="40"/>
  <c r="I8" i="40"/>
  <c r="G8" i="40"/>
  <c r="U7" i="40"/>
  <c r="S7" i="40"/>
  <c r="Q7" i="40"/>
  <c r="O7" i="40"/>
  <c r="M7" i="40"/>
  <c r="K7" i="40"/>
  <c r="I7" i="40"/>
  <c r="G7" i="40"/>
  <c r="U6" i="40"/>
  <c r="S6" i="40"/>
  <c r="Q6" i="40"/>
  <c r="O6" i="40"/>
  <c r="M6" i="40"/>
  <c r="K6" i="40"/>
  <c r="I6" i="40"/>
  <c r="G6" i="40"/>
  <c r="U5" i="40"/>
  <c r="S5" i="40"/>
  <c r="Q5" i="40"/>
  <c r="O5" i="40"/>
  <c r="M5" i="40"/>
  <c r="K5" i="40"/>
  <c r="I5" i="40"/>
  <c r="G5" i="40"/>
  <c r="U4" i="40"/>
  <c r="S4" i="40"/>
  <c r="Q4" i="40"/>
  <c r="O4" i="40"/>
  <c r="M4" i="40"/>
  <c r="K4" i="40"/>
  <c r="I4" i="40"/>
  <c r="G4" i="40"/>
  <c r="U3" i="40"/>
  <c r="S3" i="40"/>
  <c r="Q3" i="40"/>
  <c r="O3" i="40"/>
  <c r="M3" i="40"/>
  <c r="K3" i="40"/>
  <c r="I3" i="40"/>
  <c r="G3" i="40"/>
  <c r="S36" i="30"/>
  <c r="S35" i="30"/>
  <c r="S34" i="30"/>
  <c r="S33" i="30"/>
  <c r="S32" i="30"/>
  <c r="S31" i="30"/>
  <c r="S30" i="30"/>
  <c r="S29" i="30"/>
  <c r="S28" i="30"/>
  <c r="S27" i="30"/>
  <c r="Q36" i="30"/>
  <c r="Q35" i="30"/>
  <c r="Q34" i="30"/>
  <c r="Q33" i="30"/>
  <c r="Q32" i="30"/>
  <c r="Q31" i="30"/>
  <c r="Q30" i="30"/>
  <c r="Q29" i="30"/>
  <c r="Q28" i="30"/>
  <c r="Q27" i="30"/>
  <c r="O36" i="30"/>
  <c r="O35" i="30"/>
  <c r="O34" i="30"/>
  <c r="O33" i="30"/>
  <c r="O32" i="30"/>
  <c r="O31" i="30"/>
  <c r="O30" i="30"/>
  <c r="O29" i="30"/>
  <c r="O28" i="30"/>
  <c r="O27" i="30"/>
  <c r="M36" i="30"/>
  <c r="M35" i="30"/>
  <c r="M34" i="30"/>
  <c r="M33" i="30"/>
  <c r="M32" i="30"/>
  <c r="M31" i="30"/>
  <c r="M30" i="30"/>
  <c r="M29" i="30"/>
  <c r="M28" i="30"/>
  <c r="M27" i="30"/>
  <c r="K36" i="30"/>
  <c r="K35" i="30"/>
  <c r="K34" i="30"/>
  <c r="K33" i="30"/>
  <c r="K32" i="30"/>
  <c r="K31" i="30"/>
  <c r="K30" i="30"/>
  <c r="K29" i="30"/>
  <c r="K28" i="30"/>
  <c r="K27" i="30"/>
  <c r="I36" i="30"/>
  <c r="I35" i="30"/>
  <c r="I34" i="30"/>
  <c r="I33" i="30"/>
  <c r="I32" i="30"/>
  <c r="I31" i="30"/>
  <c r="I30" i="30"/>
  <c r="I29" i="30"/>
  <c r="I28" i="30"/>
  <c r="I27" i="30"/>
  <c r="G36" i="30"/>
  <c r="G35" i="30"/>
  <c r="G34" i="30"/>
  <c r="G33" i="30"/>
  <c r="G32" i="30"/>
  <c r="G31" i="30"/>
  <c r="G30" i="30"/>
  <c r="G29" i="30"/>
  <c r="G28" i="30"/>
  <c r="G27" i="30"/>
  <c r="G24" i="30"/>
  <c r="G23" i="30"/>
  <c r="G22" i="30"/>
  <c r="G21" i="30"/>
  <c r="G20" i="30"/>
  <c r="G19" i="30"/>
  <c r="G18" i="30"/>
  <c r="G17" i="30"/>
  <c r="G16" i="30"/>
  <c r="G15" i="30"/>
  <c r="I24" i="30"/>
  <c r="I23" i="30"/>
  <c r="I22" i="30"/>
  <c r="I21" i="30"/>
  <c r="I20" i="30"/>
  <c r="I19" i="30"/>
  <c r="I18" i="30"/>
  <c r="I17" i="30"/>
  <c r="I16" i="30"/>
  <c r="I15" i="30"/>
  <c r="K24" i="30"/>
  <c r="K23" i="30"/>
  <c r="K22" i="30"/>
  <c r="K21" i="30"/>
  <c r="K20" i="30"/>
  <c r="K19" i="30"/>
  <c r="K18" i="30"/>
  <c r="K17" i="30"/>
  <c r="K16" i="30"/>
  <c r="K15" i="30"/>
  <c r="M24" i="30"/>
  <c r="M23" i="30"/>
  <c r="M22" i="30"/>
  <c r="M21" i="30"/>
  <c r="M20" i="30"/>
  <c r="M19" i="30"/>
  <c r="M18" i="30"/>
  <c r="M17" i="30"/>
  <c r="M16" i="30"/>
  <c r="M15" i="30"/>
  <c r="O24" i="30"/>
  <c r="O23" i="30"/>
  <c r="O22" i="30"/>
  <c r="O21" i="30"/>
  <c r="O20" i="30"/>
  <c r="O19" i="30"/>
  <c r="O18" i="30"/>
  <c r="O17" i="30"/>
  <c r="O16" i="30"/>
  <c r="O15" i="30"/>
  <c r="Q24" i="30"/>
  <c r="Q23" i="30"/>
  <c r="Q22" i="30"/>
  <c r="Q21" i="30"/>
  <c r="Q20" i="30"/>
  <c r="Q19" i="30"/>
  <c r="Q18" i="30"/>
  <c r="Q17" i="30"/>
  <c r="Q16" i="30"/>
  <c r="Q15" i="30"/>
  <c r="S24" i="30"/>
  <c r="S23" i="30"/>
  <c r="S22" i="30"/>
  <c r="S21" i="30"/>
  <c r="S20" i="30"/>
  <c r="S19" i="30"/>
  <c r="S18" i="30"/>
  <c r="S17" i="30"/>
  <c r="S16" i="30"/>
  <c r="S15" i="30"/>
  <c r="U12" i="30"/>
  <c r="U11" i="30"/>
  <c r="U10" i="30"/>
  <c r="U9" i="30"/>
  <c r="U8" i="30"/>
  <c r="U7" i="30"/>
  <c r="U6" i="30"/>
  <c r="U5" i="30"/>
  <c r="U4" i="30"/>
  <c r="U3" i="30"/>
  <c r="Q12" i="30"/>
  <c r="Q11" i="30"/>
  <c r="Q10" i="30"/>
  <c r="Q9" i="30"/>
  <c r="Q8" i="30"/>
  <c r="Q7" i="30"/>
  <c r="Q6" i="30"/>
  <c r="Q5" i="30"/>
  <c r="Q4" i="30"/>
  <c r="Q3" i="30"/>
  <c r="O12" i="30"/>
  <c r="O11" i="30"/>
  <c r="O10" i="30"/>
  <c r="O9" i="30"/>
  <c r="O8" i="30"/>
  <c r="O7" i="30"/>
  <c r="O6" i="30"/>
  <c r="O5" i="30"/>
  <c r="O4" i="30"/>
  <c r="O3" i="30"/>
  <c r="M12" i="30"/>
  <c r="M11" i="30"/>
  <c r="M10" i="30"/>
  <c r="M9" i="30"/>
  <c r="M8" i="30"/>
  <c r="M7" i="30"/>
  <c r="M6" i="30"/>
  <c r="M5" i="30"/>
  <c r="M4" i="30"/>
  <c r="M3" i="30"/>
  <c r="K12" i="30"/>
  <c r="K11" i="30"/>
  <c r="K10" i="30"/>
  <c r="K9" i="30"/>
  <c r="K8" i="30"/>
  <c r="K7" i="30"/>
  <c r="K6" i="30"/>
  <c r="K5" i="30"/>
  <c r="K4" i="30"/>
  <c r="K3" i="30"/>
  <c r="I12" i="30"/>
  <c r="I11" i="30"/>
  <c r="I10" i="30"/>
  <c r="I9" i="30"/>
  <c r="I8" i="30"/>
  <c r="I7" i="30"/>
  <c r="I6" i="30"/>
  <c r="I5" i="30"/>
  <c r="I4" i="30"/>
  <c r="I3" i="30"/>
  <c r="G12" i="30"/>
  <c r="G11" i="30"/>
  <c r="G10" i="30"/>
  <c r="G9" i="30"/>
  <c r="G8" i="30"/>
  <c r="G7" i="30"/>
  <c r="G6" i="30"/>
  <c r="G5" i="30"/>
  <c r="G4" i="30"/>
  <c r="G3" i="30"/>
  <c r="C33" i="30"/>
  <c r="B33" i="30"/>
  <c r="C32" i="30"/>
  <c r="B32" i="30"/>
  <c r="C31" i="30"/>
  <c r="B31" i="30"/>
  <c r="C30" i="30"/>
  <c r="B30" i="30"/>
  <c r="C29" i="30"/>
  <c r="B29" i="30"/>
  <c r="E23" i="29"/>
  <c r="E22" i="29"/>
  <c r="E21" i="29"/>
  <c r="E20" i="29"/>
  <c r="E19" i="29"/>
  <c r="E18" i="29"/>
  <c r="E17" i="29"/>
  <c r="E16" i="29"/>
  <c r="E15" i="29"/>
  <c r="E14" i="29"/>
  <c r="D23" i="29"/>
  <c r="D22" i="29"/>
  <c r="D21" i="29"/>
  <c r="D20" i="29"/>
  <c r="D19" i="29"/>
  <c r="D18" i="29"/>
  <c r="D17" i="29"/>
  <c r="D16" i="29"/>
  <c r="D15" i="29"/>
  <c r="D14" i="29"/>
  <c r="C23" i="29"/>
  <c r="C21" i="29"/>
  <c r="C22" i="29"/>
  <c r="C20" i="29"/>
  <c r="C19" i="29"/>
  <c r="C18" i="29"/>
  <c r="C17" i="29"/>
  <c r="C16" i="29"/>
  <c r="C15" i="29"/>
  <c r="AA50" i="35"/>
  <c r="Z50" i="35"/>
  <c r="Y50" i="35"/>
  <c r="X50" i="35"/>
  <c r="W50" i="35"/>
  <c r="V50" i="35"/>
  <c r="U50" i="35"/>
  <c r="T50" i="35"/>
  <c r="S50" i="35"/>
  <c r="R50" i="35"/>
  <c r="Q50" i="35"/>
  <c r="P50" i="35"/>
  <c r="O50" i="35"/>
  <c r="N50" i="35"/>
  <c r="M50" i="35"/>
  <c r="I50" i="35"/>
  <c r="G50" i="35"/>
  <c r="AE50" i="37"/>
  <c r="X50" i="37"/>
  <c r="C10" i="25" a="1"/>
  <c r="C10" i="25" s="1"/>
  <c r="C43" i="25" s="1"/>
  <c r="C39" i="37"/>
  <c r="B39" i="37"/>
  <c r="C38" i="37"/>
  <c r="B38" i="37"/>
  <c r="C37" i="37"/>
  <c r="B37" i="37"/>
  <c r="C36" i="37"/>
  <c r="B36" i="37"/>
  <c r="C35" i="37"/>
  <c r="B35" i="37"/>
  <c r="O48" i="37"/>
  <c r="O47" i="37"/>
  <c r="O46" i="37"/>
  <c r="O45" i="37"/>
  <c r="O44" i="37"/>
  <c r="O43" i="37"/>
  <c r="O42" i="37"/>
  <c r="O41" i="37"/>
  <c r="O40" i="37"/>
  <c r="O39" i="37"/>
  <c r="M48" i="37"/>
  <c r="M47" i="37"/>
  <c r="M46" i="37"/>
  <c r="M45" i="37"/>
  <c r="M44" i="37"/>
  <c r="M43" i="37"/>
  <c r="M42" i="37"/>
  <c r="M41" i="37"/>
  <c r="M40" i="37"/>
  <c r="M39" i="37"/>
  <c r="K48" i="37"/>
  <c r="K47" i="37"/>
  <c r="K46" i="37"/>
  <c r="K45" i="37"/>
  <c r="K44" i="37"/>
  <c r="K43" i="37"/>
  <c r="K42" i="37"/>
  <c r="K41" i="37"/>
  <c r="K40" i="37"/>
  <c r="K39" i="37"/>
  <c r="I48" i="37"/>
  <c r="I47" i="37"/>
  <c r="I46" i="37"/>
  <c r="I45" i="37"/>
  <c r="I44" i="37"/>
  <c r="I43" i="37"/>
  <c r="I42" i="37"/>
  <c r="I41" i="37"/>
  <c r="I40" i="37"/>
  <c r="I39" i="37"/>
  <c r="G48" i="37"/>
  <c r="G47" i="37"/>
  <c r="G46" i="37"/>
  <c r="G45" i="37"/>
  <c r="G44" i="37"/>
  <c r="G43" i="37"/>
  <c r="G42" i="37"/>
  <c r="G41" i="37"/>
  <c r="G40" i="37"/>
  <c r="G39" i="37"/>
  <c r="U36" i="37"/>
  <c r="U35" i="37"/>
  <c r="U34" i="37"/>
  <c r="U33" i="37"/>
  <c r="U32" i="37"/>
  <c r="U31" i="37"/>
  <c r="U30" i="37"/>
  <c r="U29" i="37"/>
  <c r="U28" i="37"/>
  <c r="U27" i="37"/>
  <c r="S36" i="37"/>
  <c r="S35" i="37"/>
  <c r="S34" i="37"/>
  <c r="S33" i="37"/>
  <c r="S32" i="37"/>
  <c r="S31" i="37"/>
  <c r="S30" i="37"/>
  <c r="S29" i="37"/>
  <c r="S28" i="37"/>
  <c r="S27" i="37"/>
  <c r="Q36" i="37"/>
  <c r="Q35" i="37"/>
  <c r="Q34" i="37"/>
  <c r="Q33" i="37"/>
  <c r="Q32" i="37"/>
  <c r="Q31" i="37"/>
  <c r="Q30" i="37"/>
  <c r="Q29" i="37"/>
  <c r="Q28" i="37"/>
  <c r="Q27" i="37"/>
  <c r="O36" i="37"/>
  <c r="O35" i="37"/>
  <c r="O34" i="37"/>
  <c r="O33" i="37"/>
  <c r="O32" i="37"/>
  <c r="O31" i="37"/>
  <c r="O30" i="37"/>
  <c r="O29" i="37"/>
  <c r="O28" i="37"/>
  <c r="O27" i="37"/>
  <c r="M36" i="37"/>
  <c r="M35" i="37"/>
  <c r="M34" i="37"/>
  <c r="M33" i="37"/>
  <c r="M32" i="37"/>
  <c r="M31" i="37"/>
  <c r="M30" i="37"/>
  <c r="M29" i="37"/>
  <c r="M28" i="37"/>
  <c r="M27" i="37"/>
  <c r="K36" i="37"/>
  <c r="K35" i="37"/>
  <c r="K34" i="37"/>
  <c r="K33" i="37"/>
  <c r="K32" i="37"/>
  <c r="K31" i="37"/>
  <c r="K30" i="37"/>
  <c r="K29" i="37"/>
  <c r="K28" i="37"/>
  <c r="K27" i="37"/>
  <c r="I36" i="37"/>
  <c r="I35" i="37"/>
  <c r="I34" i="37"/>
  <c r="I33" i="37"/>
  <c r="I32" i="37"/>
  <c r="I31" i="37"/>
  <c r="I30" i="37"/>
  <c r="I29" i="37"/>
  <c r="I28" i="37"/>
  <c r="I27" i="37"/>
  <c r="G36" i="37"/>
  <c r="G35" i="37"/>
  <c r="G34" i="37"/>
  <c r="G33" i="37"/>
  <c r="G32" i="37"/>
  <c r="G31" i="37"/>
  <c r="G30" i="37"/>
  <c r="G29" i="37"/>
  <c r="G28" i="37"/>
  <c r="G27" i="37"/>
  <c r="G24" i="37"/>
  <c r="G23" i="37"/>
  <c r="G22" i="37"/>
  <c r="G21" i="37"/>
  <c r="G20" i="37"/>
  <c r="G19" i="37"/>
  <c r="G18" i="37"/>
  <c r="G17" i="37"/>
  <c r="G16" i="37"/>
  <c r="G15" i="37"/>
  <c r="I24" i="37"/>
  <c r="I23" i="37"/>
  <c r="I22" i="37"/>
  <c r="I21" i="37"/>
  <c r="I20" i="37"/>
  <c r="I19" i="37"/>
  <c r="I18" i="37"/>
  <c r="I17" i="37"/>
  <c r="I16" i="37"/>
  <c r="I15" i="37"/>
  <c r="K24" i="37"/>
  <c r="K23" i="37"/>
  <c r="K22" i="37"/>
  <c r="K21" i="37"/>
  <c r="K20" i="37"/>
  <c r="K19" i="37"/>
  <c r="K18" i="37"/>
  <c r="K17" i="37"/>
  <c r="K16" i="37"/>
  <c r="K15" i="37"/>
  <c r="M24" i="37"/>
  <c r="M23" i="37"/>
  <c r="M22" i="37"/>
  <c r="M21" i="37"/>
  <c r="M20" i="37"/>
  <c r="M19" i="37"/>
  <c r="M18" i="37"/>
  <c r="M17" i="37"/>
  <c r="M16" i="37"/>
  <c r="M15" i="37"/>
  <c r="O24" i="37"/>
  <c r="O23" i="37"/>
  <c r="O22" i="37"/>
  <c r="O21" i="37"/>
  <c r="O20" i="37"/>
  <c r="O19" i="37"/>
  <c r="O18" i="37"/>
  <c r="O17" i="37"/>
  <c r="O16" i="37"/>
  <c r="O15" i="37"/>
  <c r="Q24" i="37"/>
  <c r="Q23" i="37"/>
  <c r="Q22" i="37"/>
  <c r="Q21" i="37"/>
  <c r="Q20" i="37"/>
  <c r="Q19" i="37"/>
  <c r="Q18" i="37"/>
  <c r="Q17" i="37"/>
  <c r="Q16" i="37"/>
  <c r="Q15" i="37"/>
  <c r="S24" i="37"/>
  <c r="S23" i="37"/>
  <c r="S22" i="37"/>
  <c r="S21" i="37"/>
  <c r="S20" i="37"/>
  <c r="S19" i="37"/>
  <c r="S18" i="37"/>
  <c r="S17" i="37"/>
  <c r="S16" i="37"/>
  <c r="S15" i="37"/>
  <c r="U24" i="37"/>
  <c r="U23" i="37"/>
  <c r="U22" i="37"/>
  <c r="U21" i="37"/>
  <c r="U20" i="37"/>
  <c r="U19" i="37"/>
  <c r="U18" i="37"/>
  <c r="U17" i="37"/>
  <c r="U16" i="37"/>
  <c r="U15" i="37"/>
  <c r="U12" i="37"/>
  <c r="U11" i="37"/>
  <c r="U10" i="37"/>
  <c r="U9" i="37"/>
  <c r="U8" i="37"/>
  <c r="U7" i="37"/>
  <c r="U6" i="37"/>
  <c r="U5" i="37"/>
  <c r="U4" i="37"/>
  <c r="U3" i="37"/>
  <c r="S12" i="37"/>
  <c r="S11" i="37"/>
  <c r="S10" i="37"/>
  <c r="S9" i="37"/>
  <c r="S8" i="37"/>
  <c r="S7" i="37"/>
  <c r="S6" i="37"/>
  <c r="S5" i="37"/>
  <c r="S4" i="37"/>
  <c r="S3" i="37"/>
  <c r="Q12" i="37"/>
  <c r="Q11" i="37"/>
  <c r="Q10" i="37"/>
  <c r="Q9" i="37"/>
  <c r="Q8" i="37"/>
  <c r="Q7" i="37"/>
  <c r="Q6" i="37"/>
  <c r="Q5" i="37"/>
  <c r="Q4" i="37"/>
  <c r="Q3" i="37"/>
  <c r="O12" i="37"/>
  <c r="O11" i="37"/>
  <c r="O10" i="37"/>
  <c r="O9" i="37"/>
  <c r="O8" i="37"/>
  <c r="O7" i="37"/>
  <c r="O6" i="37"/>
  <c r="O5" i="37"/>
  <c r="O4" i="37"/>
  <c r="O3" i="37"/>
  <c r="M12" i="37"/>
  <c r="M11" i="37"/>
  <c r="M10" i="37"/>
  <c r="M9" i="37"/>
  <c r="M8" i="37"/>
  <c r="M7" i="37"/>
  <c r="M6" i="37"/>
  <c r="M5" i="37"/>
  <c r="M4" i="37"/>
  <c r="M3" i="37"/>
  <c r="K12" i="37"/>
  <c r="K11" i="37"/>
  <c r="K10" i="37"/>
  <c r="K9" i="37"/>
  <c r="K8" i="37"/>
  <c r="K7" i="37"/>
  <c r="K6" i="37"/>
  <c r="K5" i="37"/>
  <c r="K4" i="37"/>
  <c r="K3" i="37"/>
  <c r="I12" i="37"/>
  <c r="I11" i="37"/>
  <c r="I10" i="37"/>
  <c r="I9" i="37"/>
  <c r="I8" i="37"/>
  <c r="I7" i="37"/>
  <c r="I6" i="37"/>
  <c r="I5" i="37"/>
  <c r="I4" i="37"/>
  <c r="I3" i="37"/>
  <c r="G12" i="37"/>
  <c r="G11" i="37"/>
  <c r="G10" i="37"/>
  <c r="G9" i="37"/>
  <c r="G8" i="37"/>
  <c r="G7" i="37"/>
  <c r="G6" i="37"/>
  <c r="G5" i="37"/>
  <c r="G4" i="37"/>
  <c r="G3" i="37"/>
  <c r="C33" i="35"/>
  <c r="C32" i="35"/>
  <c r="C31" i="35"/>
  <c r="C30" i="35"/>
  <c r="C29" i="35"/>
  <c r="B33" i="35"/>
  <c r="B32" i="35"/>
  <c r="B31" i="35"/>
  <c r="B30" i="35"/>
  <c r="B29" i="35"/>
  <c r="S36" i="35"/>
  <c r="S35" i="35"/>
  <c r="S34" i="35"/>
  <c r="S33" i="35"/>
  <c r="S32" i="35"/>
  <c r="S31" i="35"/>
  <c r="S30" i="35"/>
  <c r="S29" i="35"/>
  <c r="S28" i="35"/>
  <c r="S27" i="35"/>
  <c r="Q36" i="35"/>
  <c r="Q35" i="35"/>
  <c r="Q34" i="35"/>
  <c r="Q33" i="35"/>
  <c r="Q32" i="35"/>
  <c r="Q31" i="35"/>
  <c r="Q30" i="35"/>
  <c r="Q29" i="35"/>
  <c r="Q28" i="35"/>
  <c r="Q27" i="35"/>
  <c r="O36" i="35"/>
  <c r="O35" i="35"/>
  <c r="O34" i="35"/>
  <c r="O33" i="35"/>
  <c r="O32" i="35"/>
  <c r="O31" i="35"/>
  <c r="O30" i="35"/>
  <c r="O29" i="35"/>
  <c r="O28" i="35"/>
  <c r="O27" i="35"/>
  <c r="M36" i="35"/>
  <c r="M35" i="35"/>
  <c r="M34" i="35"/>
  <c r="M33" i="35"/>
  <c r="M32" i="35"/>
  <c r="M31" i="35"/>
  <c r="M30" i="35"/>
  <c r="M29" i="35"/>
  <c r="M28" i="35"/>
  <c r="M27" i="35"/>
  <c r="K36" i="35"/>
  <c r="K35" i="35"/>
  <c r="K34" i="35"/>
  <c r="K33" i="35"/>
  <c r="K32" i="35"/>
  <c r="K31" i="35"/>
  <c r="K30" i="35"/>
  <c r="K29" i="35"/>
  <c r="K28" i="35"/>
  <c r="K27" i="35"/>
  <c r="I36" i="35"/>
  <c r="I35" i="35"/>
  <c r="I34" i="35"/>
  <c r="I33" i="35"/>
  <c r="I32" i="35"/>
  <c r="I31" i="35"/>
  <c r="I30" i="35"/>
  <c r="I29" i="35"/>
  <c r="I28" i="35"/>
  <c r="I27" i="35"/>
  <c r="G36" i="35"/>
  <c r="G35" i="35"/>
  <c r="G34" i="35"/>
  <c r="G33" i="35"/>
  <c r="G32" i="35"/>
  <c r="G31" i="35"/>
  <c r="G30" i="35"/>
  <c r="G29" i="35"/>
  <c r="G28" i="35"/>
  <c r="G27" i="35"/>
  <c r="S24" i="35"/>
  <c r="S23" i="35"/>
  <c r="S22" i="35"/>
  <c r="S21" i="35"/>
  <c r="S20" i="35"/>
  <c r="S19" i="35"/>
  <c r="S18" i="35"/>
  <c r="S17" i="35"/>
  <c r="S16" i="35"/>
  <c r="S15" i="35"/>
  <c r="Q24" i="35"/>
  <c r="Q23" i="35"/>
  <c r="Q22" i="35"/>
  <c r="Q21" i="35"/>
  <c r="Q20" i="35"/>
  <c r="Q19" i="35"/>
  <c r="Q18" i="35"/>
  <c r="Q17" i="35"/>
  <c r="Q16" i="35"/>
  <c r="Q15" i="35"/>
  <c r="O24" i="35"/>
  <c r="O23" i="35"/>
  <c r="O22" i="35"/>
  <c r="O21" i="35"/>
  <c r="O20" i="35"/>
  <c r="O19" i="35"/>
  <c r="O18" i="35"/>
  <c r="O17" i="35"/>
  <c r="O16" i="35"/>
  <c r="O15" i="35"/>
  <c r="M24" i="35"/>
  <c r="M23" i="35"/>
  <c r="M22" i="35"/>
  <c r="M21" i="35"/>
  <c r="M20" i="35"/>
  <c r="M19" i="35"/>
  <c r="M18" i="35"/>
  <c r="M17" i="35"/>
  <c r="M16" i="35"/>
  <c r="M15" i="35"/>
  <c r="K24" i="35"/>
  <c r="K23" i="35"/>
  <c r="K22" i="35"/>
  <c r="K21" i="35"/>
  <c r="K20" i="35"/>
  <c r="K19" i="35"/>
  <c r="K18" i="35"/>
  <c r="K17" i="35"/>
  <c r="K16" i="35"/>
  <c r="K15" i="35"/>
  <c r="I24" i="35"/>
  <c r="I23" i="35"/>
  <c r="I22" i="35"/>
  <c r="I21" i="35"/>
  <c r="I20" i="35"/>
  <c r="I19" i="35"/>
  <c r="I18" i="35"/>
  <c r="I17" i="35"/>
  <c r="I16" i="35"/>
  <c r="I15" i="35"/>
  <c r="G24" i="35"/>
  <c r="G23" i="35"/>
  <c r="G22" i="35"/>
  <c r="G21" i="35"/>
  <c r="G20" i="35"/>
  <c r="G19" i="35"/>
  <c r="G18" i="35"/>
  <c r="G17" i="35"/>
  <c r="G16" i="35"/>
  <c r="G15" i="35"/>
  <c r="U12" i="35"/>
  <c r="U11" i="35"/>
  <c r="U10" i="35"/>
  <c r="U9" i="35"/>
  <c r="U8" i="35"/>
  <c r="U7" i="35"/>
  <c r="U6" i="35"/>
  <c r="U5" i="35"/>
  <c r="U4" i="35"/>
  <c r="U3" i="35"/>
  <c r="S12" i="35"/>
  <c r="S11" i="35"/>
  <c r="S10" i="35"/>
  <c r="S9" i="35"/>
  <c r="S8" i="35"/>
  <c r="S7" i="35"/>
  <c r="S6" i="35"/>
  <c r="S5" i="35"/>
  <c r="S4" i="35"/>
  <c r="S3" i="35"/>
  <c r="Q12" i="35"/>
  <c r="Q11" i="35"/>
  <c r="Q10" i="35"/>
  <c r="Q9" i="35"/>
  <c r="Q8" i="35"/>
  <c r="Q7" i="35"/>
  <c r="Q6" i="35"/>
  <c r="Q5" i="35"/>
  <c r="Q4" i="35"/>
  <c r="Q3" i="35"/>
  <c r="O12" i="35"/>
  <c r="O11" i="35"/>
  <c r="O10" i="35"/>
  <c r="O9" i="35"/>
  <c r="O8" i="35"/>
  <c r="O7" i="35"/>
  <c r="O6" i="35"/>
  <c r="O5" i="35"/>
  <c r="O4" i="35"/>
  <c r="O3" i="35"/>
  <c r="M12" i="35"/>
  <c r="M11" i="35"/>
  <c r="M10" i="35"/>
  <c r="M9" i="35"/>
  <c r="M8" i="35"/>
  <c r="M7" i="35"/>
  <c r="M6" i="35"/>
  <c r="M5" i="35"/>
  <c r="M4" i="35"/>
  <c r="M3" i="35"/>
  <c r="K12" i="35"/>
  <c r="K11" i="35"/>
  <c r="K10" i="35"/>
  <c r="K9" i="35"/>
  <c r="K8" i="35"/>
  <c r="K7" i="35"/>
  <c r="K6" i="35"/>
  <c r="K5" i="35"/>
  <c r="K4" i="35"/>
  <c r="K3" i="35"/>
  <c r="I12" i="35"/>
  <c r="I11" i="35"/>
  <c r="I10" i="35"/>
  <c r="I9" i="35"/>
  <c r="I8" i="35"/>
  <c r="I7" i="35"/>
  <c r="I6" i="35"/>
  <c r="I5" i="35"/>
  <c r="I4" i="35"/>
  <c r="I3" i="35"/>
  <c r="G12" i="35"/>
  <c r="G11" i="35"/>
  <c r="G10" i="35"/>
  <c r="G9" i="35"/>
  <c r="G8" i="35"/>
  <c r="G7" i="35"/>
  <c r="G6" i="35"/>
  <c r="G5" i="35"/>
  <c r="G4" i="35"/>
  <c r="G3" i="35"/>
  <c r="C5" i="25" a="1"/>
  <c r="C5" i="25" s="1"/>
  <c r="C38" i="25" s="1"/>
  <c r="C9" i="25" a="1"/>
  <c r="C9" i="25" s="1"/>
  <c r="C42" i="25" s="1"/>
  <c r="C8" i="25" a="1"/>
  <c r="C8" i="25" s="1"/>
  <c r="C41" i="25" s="1"/>
  <c r="C7" i="25" a="1"/>
  <c r="C7" i="25" s="1"/>
  <c r="C40" i="25" s="1"/>
  <c r="C6" i="25" a="1"/>
  <c r="C6" i="25" s="1"/>
  <c r="C39" i="25" s="1"/>
  <c r="C4" i="25" a="1"/>
  <c r="AH50" i="37"/>
  <c r="AG50" i="37"/>
  <c r="AF50" i="37"/>
  <c r="AD50" i="37"/>
  <c r="AC50" i="37"/>
  <c r="AB50" i="37"/>
  <c r="AA50" i="37"/>
  <c r="Z50" i="37"/>
  <c r="Y50" i="37"/>
  <c r="W50" i="37"/>
  <c r="V50" i="37"/>
  <c r="U50" i="37"/>
  <c r="T50" i="37"/>
  <c r="S50" i="37"/>
  <c r="R50" i="37"/>
  <c r="Q50" i="37"/>
  <c r="P50" i="37"/>
  <c r="O50" i="37"/>
  <c r="N50" i="37"/>
  <c r="M50" i="37"/>
  <c r="L50" i="37"/>
  <c r="K50" i="37"/>
  <c r="J50" i="37"/>
  <c r="I50" i="37"/>
  <c r="H50" i="37"/>
  <c r="G50" i="37"/>
  <c r="F50" i="37"/>
  <c r="L50" i="35"/>
  <c r="K50" i="35"/>
  <c r="J50" i="35"/>
  <c r="H50" i="35"/>
  <c r="F50" i="35"/>
  <c r="X12" i="35"/>
  <c r="X11" i="35"/>
  <c r="X10" i="35"/>
  <c r="X9" i="35"/>
  <c r="X8" i="35"/>
  <c r="X7" i="35"/>
  <c r="X6" i="35"/>
  <c r="X5" i="35"/>
  <c r="X4" i="35"/>
  <c r="X3" i="35"/>
  <c r="G6" i="13"/>
  <c r="G3" i="13"/>
  <c r="G4" i="13"/>
  <c r="G5" i="13"/>
  <c r="G8" i="13"/>
  <c r="G9" i="13"/>
  <c r="G10" i="13"/>
  <c r="G11" i="13"/>
  <c r="G12" i="13"/>
  <c r="G7" i="13"/>
  <c r="I3" i="13"/>
  <c r="I4" i="13"/>
  <c r="I5" i="13"/>
  <c r="I6" i="13"/>
  <c r="I7" i="13"/>
  <c r="I8" i="13"/>
  <c r="I9" i="13"/>
  <c r="I10" i="13"/>
  <c r="I11" i="13"/>
  <c r="I12" i="13"/>
  <c r="C3" i="25" a="1"/>
  <c r="X12" i="13"/>
  <c r="X11" i="13"/>
  <c r="X10" i="13"/>
  <c r="X9" i="13"/>
  <c r="X8" i="13"/>
  <c r="X7" i="13"/>
  <c r="X6" i="13"/>
  <c r="X5" i="13"/>
  <c r="X4" i="13"/>
  <c r="X3" i="13"/>
  <c r="C39" i="31"/>
  <c r="B39" i="31"/>
  <c r="C38" i="31"/>
  <c r="B38" i="31"/>
  <c r="C37" i="31"/>
  <c r="B37" i="31"/>
  <c r="C36" i="31"/>
  <c r="B36" i="31"/>
  <c r="C35" i="31"/>
  <c r="B35" i="31"/>
  <c r="O48" i="31"/>
  <c r="O47" i="31"/>
  <c r="O46" i="31"/>
  <c r="O45" i="31"/>
  <c r="O44" i="31"/>
  <c r="O43" i="31"/>
  <c r="O42" i="31"/>
  <c r="O41" i="31"/>
  <c r="O40" i="31"/>
  <c r="O39" i="31"/>
  <c r="M48" i="31"/>
  <c r="M47" i="31"/>
  <c r="M46" i="31"/>
  <c r="M45" i="31"/>
  <c r="M44" i="31"/>
  <c r="M43" i="31"/>
  <c r="M42" i="31"/>
  <c r="M41" i="31"/>
  <c r="M40" i="31"/>
  <c r="M39" i="31"/>
  <c r="K48" i="31"/>
  <c r="K47" i="31"/>
  <c r="K46" i="31"/>
  <c r="K45" i="31"/>
  <c r="K44" i="31"/>
  <c r="K43" i="31"/>
  <c r="K42" i="31"/>
  <c r="K41" i="31"/>
  <c r="K40" i="31"/>
  <c r="K39" i="31"/>
  <c r="I48" i="31"/>
  <c r="I47" i="31"/>
  <c r="I46" i="31"/>
  <c r="I45" i="31"/>
  <c r="I44" i="31"/>
  <c r="I43" i="31"/>
  <c r="I42" i="31"/>
  <c r="I41" i="31"/>
  <c r="I40" i="31"/>
  <c r="I39" i="31"/>
  <c r="G48" i="31"/>
  <c r="G47" i="31"/>
  <c r="G46" i="31"/>
  <c r="G45" i="31"/>
  <c r="G44" i="31"/>
  <c r="G43" i="31"/>
  <c r="G42" i="31"/>
  <c r="G41" i="31"/>
  <c r="G40" i="31"/>
  <c r="G39" i="31"/>
  <c r="G36" i="31"/>
  <c r="G35" i="31"/>
  <c r="G34" i="31"/>
  <c r="G33" i="31"/>
  <c r="G32" i="31"/>
  <c r="G31" i="31"/>
  <c r="G30" i="31"/>
  <c r="G29" i="31"/>
  <c r="G28" i="31"/>
  <c r="G27" i="31"/>
  <c r="I36" i="31"/>
  <c r="I35" i="31"/>
  <c r="I34" i="31"/>
  <c r="I33" i="31"/>
  <c r="I32" i="31"/>
  <c r="I31" i="31"/>
  <c r="I30" i="31"/>
  <c r="I29" i="31"/>
  <c r="I28" i="31"/>
  <c r="I27" i="31"/>
  <c r="K36" i="31"/>
  <c r="K35" i="31"/>
  <c r="K34" i="31"/>
  <c r="K33" i="31"/>
  <c r="K32" i="31"/>
  <c r="K31" i="31"/>
  <c r="K30" i="31"/>
  <c r="K29" i="31"/>
  <c r="K28" i="31"/>
  <c r="K27" i="31"/>
  <c r="M36" i="31"/>
  <c r="M35" i="31"/>
  <c r="M34" i="31"/>
  <c r="M33" i="31"/>
  <c r="M32" i="31"/>
  <c r="M31" i="31"/>
  <c r="M30" i="31"/>
  <c r="M29" i="31"/>
  <c r="M28" i="31"/>
  <c r="M27" i="31"/>
  <c r="O36" i="31"/>
  <c r="O35" i="31"/>
  <c r="O34" i="31"/>
  <c r="O33" i="31"/>
  <c r="O32" i="31"/>
  <c r="O31" i="31"/>
  <c r="O30" i="31"/>
  <c r="O29" i="31"/>
  <c r="O28" i="31"/>
  <c r="O27" i="31"/>
  <c r="Q36" i="31"/>
  <c r="Q35" i="31"/>
  <c r="Q34" i="31"/>
  <c r="Q33" i="31"/>
  <c r="Q32" i="31"/>
  <c r="Q31" i="31"/>
  <c r="Q30" i="31"/>
  <c r="Q29" i="31"/>
  <c r="Q28" i="31"/>
  <c r="Q27" i="31"/>
  <c r="S36" i="31"/>
  <c r="S35" i="31"/>
  <c r="S34" i="31"/>
  <c r="S33" i="31"/>
  <c r="S32" i="31"/>
  <c r="S31" i="31"/>
  <c r="S30" i="31"/>
  <c r="S29" i="31"/>
  <c r="S28" i="31"/>
  <c r="S27" i="31"/>
  <c r="U36" i="31"/>
  <c r="U35" i="31"/>
  <c r="U34" i="31"/>
  <c r="U33" i="31"/>
  <c r="U32" i="31"/>
  <c r="U31" i="31"/>
  <c r="U30" i="31"/>
  <c r="U29" i="31"/>
  <c r="U28" i="31"/>
  <c r="U27" i="31"/>
  <c r="U24" i="31"/>
  <c r="U23" i="31"/>
  <c r="U22" i="31"/>
  <c r="U21" i="31"/>
  <c r="U20" i="31"/>
  <c r="U19" i="31"/>
  <c r="U18" i="31"/>
  <c r="U17" i="31"/>
  <c r="U16" i="31"/>
  <c r="U15" i="31"/>
  <c r="S24" i="31"/>
  <c r="S23" i="31"/>
  <c r="S22" i="31"/>
  <c r="S21" i="31"/>
  <c r="S20" i="31"/>
  <c r="S19" i="31"/>
  <c r="S18" i="31"/>
  <c r="S17" i="31"/>
  <c r="S16" i="31"/>
  <c r="S15" i="31"/>
  <c r="Q24" i="31"/>
  <c r="Q23" i="31"/>
  <c r="Q22" i="31"/>
  <c r="Q21" i="31"/>
  <c r="Q20" i="31"/>
  <c r="Q19" i="31"/>
  <c r="Q18" i="31"/>
  <c r="Q17" i="31"/>
  <c r="Q16" i="31"/>
  <c r="Q15" i="31"/>
  <c r="O24" i="31"/>
  <c r="O23" i="31"/>
  <c r="O22" i="31"/>
  <c r="O21" i="31"/>
  <c r="O20" i="31"/>
  <c r="O19" i="31"/>
  <c r="O18" i="31"/>
  <c r="O17" i="31"/>
  <c r="O16" i="31"/>
  <c r="O15" i="31"/>
  <c r="M24" i="31"/>
  <c r="M23" i="31"/>
  <c r="M22" i="31"/>
  <c r="M21" i="31"/>
  <c r="M20" i="31"/>
  <c r="M19" i="31"/>
  <c r="M18" i="31"/>
  <c r="M17" i="31"/>
  <c r="M16" i="31"/>
  <c r="M15" i="31"/>
  <c r="K24" i="31"/>
  <c r="K23" i="31"/>
  <c r="K22" i="31"/>
  <c r="K21" i="31"/>
  <c r="K20" i="31"/>
  <c r="K19" i="31"/>
  <c r="K18" i="31"/>
  <c r="K17" i="31"/>
  <c r="K16" i="31"/>
  <c r="K15" i="31"/>
  <c r="I24" i="31"/>
  <c r="I23" i="31"/>
  <c r="I22" i="31"/>
  <c r="I21" i="31"/>
  <c r="I20" i="31"/>
  <c r="I19" i="31"/>
  <c r="I18" i="31"/>
  <c r="I17" i="31"/>
  <c r="I16" i="31"/>
  <c r="I15" i="31"/>
  <c r="G24" i="31"/>
  <c r="G23" i="31"/>
  <c r="G22" i="31"/>
  <c r="G21" i="31"/>
  <c r="G20" i="31"/>
  <c r="G19" i="31"/>
  <c r="G18" i="31"/>
  <c r="G17" i="31"/>
  <c r="G16" i="31"/>
  <c r="G15" i="31"/>
  <c r="U12" i="31"/>
  <c r="U11" i="31"/>
  <c r="U10" i="31"/>
  <c r="U9" i="31"/>
  <c r="U8" i="31"/>
  <c r="U7" i="31"/>
  <c r="U6" i="31"/>
  <c r="U5" i="31"/>
  <c r="U4" i="31"/>
  <c r="U3" i="31"/>
  <c r="S12" i="31"/>
  <c r="S11" i="31"/>
  <c r="S10" i="31"/>
  <c r="S9" i="31"/>
  <c r="S8" i="31"/>
  <c r="S7" i="31"/>
  <c r="S6" i="31"/>
  <c r="S5" i="31"/>
  <c r="S4" i="31"/>
  <c r="S3" i="31"/>
  <c r="Q12" i="31"/>
  <c r="Q11" i="31"/>
  <c r="Q10" i="31"/>
  <c r="Q9" i="31"/>
  <c r="Q8" i="31"/>
  <c r="Q7" i="31"/>
  <c r="Q6" i="31"/>
  <c r="Q5" i="31"/>
  <c r="Q4" i="31"/>
  <c r="Q3" i="31"/>
  <c r="O12" i="31"/>
  <c r="O11" i="31"/>
  <c r="O10" i="31"/>
  <c r="O9" i="31"/>
  <c r="O8" i="31"/>
  <c r="O7" i="31"/>
  <c r="O6" i="31"/>
  <c r="O5" i="31"/>
  <c r="O4" i="31"/>
  <c r="O3" i="31"/>
  <c r="M12" i="31"/>
  <c r="M11" i="31"/>
  <c r="M10" i="31"/>
  <c r="M9" i="31"/>
  <c r="M8" i="31"/>
  <c r="M7" i="31"/>
  <c r="M6" i="31"/>
  <c r="M5" i="31"/>
  <c r="M4" i="31"/>
  <c r="M3" i="31"/>
  <c r="K12" i="31"/>
  <c r="K11" i="31"/>
  <c r="K10" i="31"/>
  <c r="K9" i="31"/>
  <c r="K8" i="31"/>
  <c r="K7" i="31"/>
  <c r="K6" i="31"/>
  <c r="K5" i="31"/>
  <c r="K4" i="31"/>
  <c r="K3" i="31"/>
  <c r="I12" i="31"/>
  <c r="I11" i="31"/>
  <c r="I10" i="31"/>
  <c r="I9" i="31"/>
  <c r="I8" i="31"/>
  <c r="I7" i="31"/>
  <c r="I6" i="31"/>
  <c r="I5" i="31"/>
  <c r="I4" i="31"/>
  <c r="I3" i="31"/>
  <c r="G12" i="31"/>
  <c r="G11" i="31"/>
  <c r="G10" i="31"/>
  <c r="G9" i="31"/>
  <c r="G8" i="31"/>
  <c r="G7" i="31"/>
  <c r="G6" i="31"/>
  <c r="G5" i="31"/>
  <c r="G4" i="31"/>
  <c r="G3" i="31"/>
  <c r="C33" i="13"/>
  <c r="B33" i="13"/>
  <c r="C32" i="13"/>
  <c r="B32" i="13"/>
  <c r="C31" i="13"/>
  <c r="B31" i="13"/>
  <c r="C30" i="13"/>
  <c r="B30" i="13"/>
  <c r="C29" i="13"/>
  <c r="B29" i="13"/>
  <c r="S36" i="13"/>
  <c r="S35" i="13"/>
  <c r="S34" i="13"/>
  <c r="S33" i="13"/>
  <c r="S32" i="13"/>
  <c r="S31" i="13"/>
  <c r="S30" i="13"/>
  <c r="S29" i="13"/>
  <c r="S28" i="13"/>
  <c r="S27" i="13"/>
  <c r="Q36" i="13"/>
  <c r="Q35" i="13"/>
  <c r="Q34" i="13"/>
  <c r="Q33" i="13"/>
  <c r="Q32" i="13"/>
  <c r="Q31" i="13"/>
  <c r="Q30" i="13"/>
  <c r="Q29" i="13"/>
  <c r="Q28" i="13"/>
  <c r="Q27" i="13"/>
  <c r="O36" i="13"/>
  <c r="O35" i="13"/>
  <c r="O34" i="13"/>
  <c r="O33" i="13"/>
  <c r="O32" i="13"/>
  <c r="O31" i="13"/>
  <c r="O30" i="13"/>
  <c r="O29" i="13"/>
  <c r="O28" i="13"/>
  <c r="O27" i="13"/>
  <c r="M36" i="13"/>
  <c r="M35" i="13"/>
  <c r="M34" i="13"/>
  <c r="M33" i="13"/>
  <c r="M32" i="13"/>
  <c r="M31" i="13"/>
  <c r="M30" i="13"/>
  <c r="M29" i="13"/>
  <c r="M28" i="13"/>
  <c r="M27" i="13"/>
  <c r="K36" i="13"/>
  <c r="K35" i="13"/>
  <c r="K34" i="13"/>
  <c r="K33" i="13"/>
  <c r="K32" i="13"/>
  <c r="K31" i="13"/>
  <c r="K30" i="13"/>
  <c r="K29" i="13"/>
  <c r="K28" i="13"/>
  <c r="K27" i="13"/>
  <c r="I36" i="13"/>
  <c r="I35" i="13"/>
  <c r="I34" i="13"/>
  <c r="I33" i="13"/>
  <c r="I32" i="13"/>
  <c r="I31" i="13"/>
  <c r="I30" i="13"/>
  <c r="I29" i="13"/>
  <c r="I28" i="13"/>
  <c r="I27" i="13"/>
  <c r="G36" i="13"/>
  <c r="G35" i="13"/>
  <c r="G34" i="13"/>
  <c r="G33" i="13"/>
  <c r="G32" i="13"/>
  <c r="G31" i="13"/>
  <c r="G30" i="13"/>
  <c r="G29" i="13"/>
  <c r="G28" i="13"/>
  <c r="G27" i="13"/>
  <c r="S24" i="13"/>
  <c r="S23" i="13"/>
  <c r="S22" i="13"/>
  <c r="S21" i="13"/>
  <c r="S20" i="13"/>
  <c r="S19" i="13"/>
  <c r="S18" i="13"/>
  <c r="S17" i="13"/>
  <c r="S16" i="13"/>
  <c r="S15" i="13"/>
  <c r="Q24" i="13"/>
  <c r="Q23" i="13"/>
  <c r="Q22" i="13"/>
  <c r="Q21" i="13"/>
  <c r="Q20" i="13"/>
  <c r="Q19" i="13"/>
  <c r="Q18" i="13"/>
  <c r="Q17" i="13"/>
  <c r="Q16" i="13"/>
  <c r="Q15" i="13"/>
  <c r="O24" i="13"/>
  <c r="O23" i="13"/>
  <c r="O22" i="13"/>
  <c r="O21" i="13"/>
  <c r="O20" i="13"/>
  <c r="O19" i="13"/>
  <c r="O18" i="13"/>
  <c r="O17" i="13"/>
  <c r="O16" i="13"/>
  <c r="O15" i="13"/>
  <c r="M24" i="13"/>
  <c r="M23" i="13"/>
  <c r="M22" i="13"/>
  <c r="M21" i="13"/>
  <c r="M20" i="13"/>
  <c r="M19" i="13"/>
  <c r="M18" i="13"/>
  <c r="M17" i="13"/>
  <c r="M16" i="13"/>
  <c r="M15" i="13"/>
  <c r="K24" i="13"/>
  <c r="K23" i="13"/>
  <c r="K22" i="13"/>
  <c r="K21" i="13"/>
  <c r="K20" i="13"/>
  <c r="K19" i="13"/>
  <c r="K18" i="13"/>
  <c r="K17" i="13"/>
  <c r="K16" i="13"/>
  <c r="K15" i="13"/>
  <c r="I24" i="13"/>
  <c r="I23" i="13"/>
  <c r="I22" i="13"/>
  <c r="I21" i="13"/>
  <c r="I20" i="13"/>
  <c r="I19" i="13"/>
  <c r="I18" i="13"/>
  <c r="I17" i="13"/>
  <c r="I16" i="13"/>
  <c r="I15" i="13"/>
  <c r="G24" i="13"/>
  <c r="G23" i="13"/>
  <c r="G22" i="13"/>
  <c r="G21" i="13"/>
  <c r="G20" i="13"/>
  <c r="G19" i="13"/>
  <c r="G18" i="13"/>
  <c r="G17" i="13"/>
  <c r="G16" i="13"/>
  <c r="G15" i="13"/>
  <c r="U12" i="13"/>
  <c r="U11" i="13"/>
  <c r="U10" i="13"/>
  <c r="U9" i="13"/>
  <c r="U8" i="13"/>
  <c r="U7" i="13"/>
  <c r="U6" i="13"/>
  <c r="U5" i="13"/>
  <c r="U4" i="13"/>
  <c r="U3" i="13"/>
  <c r="S12" i="13"/>
  <c r="S11" i="13"/>
  <c r="S10" i="13"/>
  <c r="S9" i="13"/>
  <c r="S8" i="13"/>
  <c r="S7" i="13"/>
  <c r="S6" i="13"/>
  <c r="S5" i="13"/>
  <c r="S4" i="13"/>
  <c r="S3" i="13"/>
  <c r="Q12" i="13"/>
  <c r="Q11" i="13"/>
  <c r="Q10" i="13"/>
  <c r="Q9" i="13"/>
  <c r="Q8" i="13"/>
  <c r="Q7" i="13"/>
  <c r="Q6" i="13"/>
  <c r="Q5" i="13"/>
  <c r="Q4" i="13"/>
  <c r="Q3" i="13"/>
  <c r="O12" i="13"/>
  <c r="O11" i="13"/>
  <c r="O10" i="13"/>
  <c r="O9" i="13"/>
  <c r="O8" i="13"/>
  <c r="O7" i="13"/>
  <c r="O6" i="13"/>
  <c r="O5" i="13"/>
  <c r="O4" i="13"/>
  <c r="O3" i="13"/>
  <c r="M12" i="13"/>
  <c r="M11" i="13"/>
  <c r="M10" i="13"/>
  <c r="M9" i="13"/>
  <c r="M8" i="13"/>
  <c r="M7" i="13"/>
  <c r="M6" i="13"/>
  <c r="M5" i="13"/>
  <c r="M4" i="13"/>
  <c r="M3" i="13"/>
  <c r="K12" i="13"/>
  <c r="K11" i="13"/>
  <c r="K10" i="13"/>
  <c r="K9" i="13"/>
  <c r="K8" i="13"/>
  <c r="K7" i="13"/>
  <c r="K6" i="13"/>
  <c r="K5" i="13"/>
  <c r="K4" i="13"/>
  <c r="K3" i="13"/>
  <c r="AH50" i="31"/>
  <c r="AG50" i="31"/>
  <c r="A1" i="32" a="1"/>
  <c r="A1" i="32" s="1"/>
  <c r="AF50" i="31"/>
  <c r="AE50" i="31"/>
  <c r="AD50" i="31"/>
  <c r="AC50" i="31"/>
  <c r="AB50" i="31"/>
  <c r="AA50" i="31"/>
  <c r="Z50" i="31"/>
  <c r="Y50" i="31"/>
  <c r="X50" i="31"/>
  <c r="W50" i="31"/>
  <c r="V50" i="31"/>
  <c r="U50" i="31"/>
  <c r="T50" i="31"/>
  <c r="S50" i="31"/>
  <c r="R50" i="31"/>
  <c r="Q50" i="31"/>
  <c r="P50" i="31"/>
  <c r="O50" i="31"/>
  <c r="N50" i="31"/>
  <c r="M50" i="31"/>
  <c r="L50" i="31"/>
  <c r="K50" i="31"/>
  <c r="J50" i="31"/>
  <c r="I50" i="31"/>
  <c r="H50" i="31"/>
  <c r="G50" i="31"/>
  <c r="F50" i="31"/>
  <c r="V50" i="13"/>
  <c r="O26" i="37" l="1"/>
  <c r="Z51" i="37" s="1"/>
  <c r="S26" i="37"/>
  <c r="AB51" i="37" s="1"/>
  <c r="S2" i="37"/>
  <c r="L51" i="37" s="1"/>
  <c r="S2" i="35"/>
  <c r="L51" i="35" s="1"/>
  <c r="Q38" i="37"/>
  <c r="AI51" i="37" s="1"/>
  <c r="C3" i="25"/>
  <c r="C36" i="25" s="1"/>
  <c r="C4" i="25"/>
  <c r="C37" i="25" s="1"/>
  <c r="Q2" i="40"/>
  <c r="K51" i="40" s="1"/>
  <c r="M2" i="40"/>
  <c r="I51" i="40" s="1"/>
  <c r="O38" i="40"/>
  <c r="AH51" i="40" s="1"/>
  <c r="U26" i="40"/>
  <c r="AC51" i="40" s="1"/>
  <c r="M14" i="40"/>
  <c r="Q51" i="40" s="1"/>
  <c r="Q26" i="40"/>
  <c r="AA51" i="40" s="1"/>
  <c r="I38" i="40"/>
  <c r="AE51" i="40" s="1"/>
  <c r="S26" i="40"/>
  <c r="AB51" i="40" s="1"/>
  <c r="O26" i="40"/>
  <c r="Z51" i="40" s="1"/>
  <c r="U14" i="40"/>
  <c r="U51" i="40" s="1"/>
  <c r="S14" i="40"/>
  <c r="T51" i="40" s="1"/>
  <c r="Q14" i="40"/>
  <c r="S51" i="40" s="1"/>
  <c r="O14" i="40"/>
  <c r="R51" i="40" s="1"/>
  <c r="K14" i="40"/>
  <c r="P51" i="40" s="1"/>
  <c r="I14" i="40"/>
  <c r="O51" i="40" s="1"/>
  <c r="G14" i="40"/>
  <c r="N51" i="40" s="1"/>
  <c r="S2" i="40"/>
  <c r="L51" i="40" s="1"/>
  <c r="O2" i="40"/>
  <c r="J51" i="40" s="1"/>
  <c r="S2" i="30"/>
  <c r="M38" i="40"/>
  <c r="AG51" i="40" s="1"/>
  <c r="K38" i="40"/>
  <c r="AF51" i="40" s="1"/>
  <c r="G38" i="40"/>
  <c r="AD51" i="40" s="1"/>
  <c r="U2" i="40"/>
  <c r="M51" i="40" s="1"/>
  <c r="K2" i="40"/>
  <c r="H51" i="40" s="1"/>
  <c r="K26" i="40"/>
  <c r="X51" i="40" s="1"/>
  <c r="G26" i="40"/>
  <c r="V51" i="40" s="1"/>
  <c r="M26" i="40"/>
  <c r="Y51" i="40" s="1"/>
  <c r="I26" i="40"/>
  <c r="W51" i="40" s="1"/>
  <c r="I2" i="40"/>
  <c r="G51" i="40" s="1"/>
  <c r="G2" i="40"/>
  <c r="F51" i="40" s="1"/>
  <c r="S26" i="35"/>
  <c r="Z51" i="35" s="1"/>
  <c r="Q26" i="35"/>
  <c r="Y51" i="35" s="1"/>
  <c r="O26" i="35"/>
  <c r="X51" i="35" s="1"/>
  <c r="M26" i="35"/>
  <c r="W51" i="35" s="1"/>
  <c r="O2" i="35"/>
  <c r="J51" i="35" s="1"/>
  <c r="K26" i="35"/>
  <c r="V51" i="35" s="1"/>
  <c r="I26" i="35"/>
  <c r="U51" i="35" s="1"/>
  <c r="G26" i="35"/>
  <c r="T51" i="35" s="1"/>
  <c r="S14" i="35"/>
  <c r="S51" i="35" s="1"/>
  <c r="Q14" i="35"/>
  <c r="R51" i="35" s="1"/>
  <c r="O14" i="35"/>
  <c r="Q51" i="35" s="1"/>
  <c r="M14" i="35"/>
  <c r="P51" i="35" s="1"/>
  <c r="K14" i="35"/>
  <c r="O51" i="35" s="1"/>
  <c r="I14" i="35"/>
  <c r="N51" i="35" s="1"/>
  <c r="G14" i="35"/>
  <c r="M51" i="35" s="1"/>
  <c r="Q2" i="35"/>
  <c r="K51" i="35" s="1"/>
  <c r="M2" i="35"/>
  <c r="I51" i="35" s="1"/>
  <c r="K2" i="35"/>
  <c r="H51" i="35" s="1"/>
  <c r="I2" i="35"/>
  <c r="G51" i="35" s="1"/>
  <c r="G2" i="35"/>
  <c r="F51" i="35" s="1"/>
  <c r="G36" i="25"/>
  <c r="F37" i="25"/>
  <c r="E38" i="25"/>
  <c r="G40" i="25"/>
  <c r="F41" i="25"/>
  <c r="E42" i="25"/>
  <c r="D36" i="25"/>
  <c r="G37" i="25"/>
  <c r="E39" i="25"/>
  <c r="F42" i="25"/>
  <c r="E36" i="25"/>
  <c r="F39" i="25"/>
  <c r="D41" i="25"/>
  <c r="G42" i="25"/>
  <c r="D39" i="25"/>
  <c r="F36" i="25"/>
  <c r="D38" i="25"/>
  <c r="G39" i="25"/>
  <c r="E41" i="25"/>
  <c r="D43" i="25"/>
  <c r="F38" i="25"/>
  <c r="D40" i="25"/>
  <c r="G41" i="25"/>
  <c r="E43" i="25"/>
  <c r="D37" i="25"/>
  <c r="G38" i="25"/>
  <c r="E40" i="25"/>
  <c r="F43" i="25"/>
  <c r="E37" i="25"/>
  <c r="F40" i="25"/>
  <c r="D42" i="25"/>
  <c r="G43" i="25"/>
  <c r="U26" i="37"/>
  <c r="AC51" i="37" s="1"/>
  <c r="G2" i="37"/>
  <c r="F51" i="37" s="1"/>
  <c r="G26" i="37"/>
  <c r="V51" i="37" s="1"/>
  <c r="O38" i="37"/>
  <c r="AH51" i="37" s="1"/>
  <c r="I38" i="37"/>
  <c r="AE51" i="37" s="1"/>
  <c r="G38" i="37"/>
  <c r="AD51" i="37" s="1"/>
  <c r="U2" i="37"/>
  <c r="M51" i="37" s="1"/>
  <c r="M38" i="37"/>
  <c r="AG51" i="37" s="1"/>
  <c r="K2" i="37"/>
  <c r="H51" i="37" s="1"/>
  <c r="U14" i="37"/>
  <c r="U51" i="37" s="1"/>
  <c r="S14" i="37"/>
  <c r="T51" i="37" s="1"/>
  <c r="K14" i="37"/>
  <c r="P51" i="37" s="1"/>
  <c r="I14" i="37"/>
  <c r="O51" i="37" s="1"/>
  <c r="Q26" i="37"/>
  <c r="AA51" i="37" s="1"/>
  <c r="Q2" i="37"/>
  <c r="K51" i="37" s="1"/>
  <c r="O2" i="37"/>
  <c r="J51" i="37" s="1"/>
  <c r="Q14" i="37"/>
  <c r="S51" i="37" s="1"/>
  <c r="G14" i="37"/>
  <c r="N51" i="37" s="1"/>
  <c r="I26" i="37"/>
  <c r="W51" i="37" s="1"/>
  <c r="K26" i="37"/>
  <c r="X51" i="37" s="1"/>
  <c r="M26" i="37"/>
  <c r="Y51" i="37" s="1"/>
  <c r="K38" i="37"/>
  <c r="AF51" i="37" s="1"/>
  <c r="M14" i="37"/>
  <c r="Q51" i="37" s="1"/>
  <c r="O14" i="37"/>
  <c r="R51" i="37" s="1"/>
  <c r="M2" i="37"/>
  <c r="I51" i="37" s="1"/>
  <c r="I2" i="37"/>
  <c r="G51" i="37" s="1"/>
  <c r="X2" i="35"/>
  <c r="U2" i="35"/>
  <c r="AA51" i="35" s="1"/>
  <c r="X2" i="13"/>
  <c r="O38" i="31"/>
  <c r="AH51" i="31" s="1"/>
  <c r="M38" i="31"/>
  <c r="AG51" i="31" s="1"/>
  <c r="K38" i="31"/>
  <c r="AF51" i="31" s="1"/>
  <c r="I38" i="31"/>
  <c r="AE51" i="31" s="1"/>
  <c r="G38" i="31"/>
  <c r="AD51" i="31" s="1"/>
  <c r="U26" i="31"/>
  <c r="AC51" i="31" s="1"/>
  <c r="Q26" i="31"/>
  <c r="AA51" i="31" s="1"/>
  <c r="U14" i="31"/>
  <c r="U51" i="31" s="1"/>
  <c r="O26" i="31"/>
  <c r="Z51" i="31" s="1"/>
  <c r="M26" i="31"/>
  <c r="Y51" i="31" s="1"/>
  <c r="K26" i="31"/>
  <c r="X51" i="31" s="1"/>
  <c r="I26" i="31"/>
  <c r="W51" i="31" s="1"/>
  <c r="O14" i="31"/>
  <c r="R51" i="31" s="1"/>
  <c r="K14" i="31"/>
  <c r="P51" i="31" s="1"/>
  <c r="I14" i="31"/>
  <c r="O51" i="31" s="1"/>
  <c r="G14" i="31"/>
  <c r="N51" i="31" s="1"/>
  <c r="U2" i="31"/>
  <c r="M51" i="31" s="1"/>
  <c r="S2" i="31"/>
  <c r="L51" i="31" s="1"/>
  <c r="Q2" i="31"/>
  <c r="K51" i="31" s="1"/>
  <c r="M2" i="31"/>
  <c r="I51" i="31" s="1"/>
  <c r="K2" i="31"/>
  <c r="H51" i="31" s="1"/>
  <c r="I2" i="31"/>
  <c r="G51" i="31" s="1"/>
  <c r="S14" i="31"/>
  <c r="T51" i="31" s="1"/>
  <c r="Q14" i="31"/>
  <c r="S51" i="31" s="1"/>
  <c r="G2" i="31"/>
  <c r="F51" i="31" s="1"/>
  <c r="M14" i="31"/>
  <c r="Q51" i="31" s="1"/>
  <c r="O2" i="31"/>
  <c r="J51" i="31" s="1"/>
  <c r="S26" i="31"/>
  <c r="AB51" i="31" s="1"/>
  <c r="G26" i="31"/>
  <c r="V51" i="31" s="1"/>
  <c r="C14" i="29"/>
  <c r="M45" i="30"/>
  <c r="L45" i="30"/>
  <c r="K45" i="30"/>
  <c r="H45" i="30"/>
  <c r="G45" i="30"/>
  <c r="F45" i="30"/>
  <c r="F46" i="29"/>
  <c r="D45" i="29"/>
  <c r="D41" i="29"/>
  <c r="G47" i="29"/>
  <c r="E46" i="29"/>
  <c r="G43" i="29"/>
  <c r="E42" i="29"/>
  <c r="G40" i="29"/>
  <c r="B3" i="37" l="1" a="1"/>
  <c r="B3" i="37" s="1"/>
  <c r="B3" i="40" a="1"/>
  <c r="D6" i="40" s="1"/>
  <c r="B3" i="35" a="1"/>
  <c r="B3" i="31" a="1"/>
  <c r="O14" i="30"/>
  <c r="R46" i="30" s="1"/>
  <c r="K2" i="30"/>
  <c r="H46" i="30" s="1"/>
  <c r="G2" i="30"/>
  <c r="F46" i="30" s="1"/>
  <c r="I14" i="30"/>
  <c r="O46" i="30" s="1"/>
  <c r="Q14" i="30"/>
  <c r="S46" i="30" s="1"/>
  <c r="L46" i="30"/>
  <c r="Q2" i="30"/>
  <c r="K46" i="30" s="1"/>
  <c r="M14" i="30"/>
  <c r="Q46" i="30" s="1"/>
  <c r="M2" i="30"/>
  <c r="I46" i="30" s="1"/>
  <c r="S14" i="30"/>
  <c r="T46" i="30" s="1"/>
  <c r="O2" i="30"/>
  <c r="J46" i="30" s="1"/>
  <c r="U2" i="30"/>
  <c r="M46" i="30" s="1"/>
  <c r="I2" i="30"/>
  <c r="G46" i="30" s="1"/>
  <c r="K14" i="30"/>
  <c r="P46" i="30" s="1"/>
  <c r="S26" i="30"/>
  <c r="AA46" i="30" s="1"/>
  <c r="G14" i="30"/>
  <c r="N46" i="30" s="1"/>
  <c r="G26" i="30"/>
  <c r="U46" i="30" s="1"/>
  <c r="I26" i="30"/>
  <c r="V46" i="30" s="1"/>
  <c r="K26" i="30"/>
  <c r="W46" i="30" s="1"/>
  <c r="M26" i="30"/>
  <c r="X46" i="30" s="1"/>
  <c r="O26" i="30"/>
  <c r="Y46" i="30" s="1"/>
  <c r="Q26" i="30"/>
  <c r="Z46" i="30" s="1"/>
  <c r="E41" i="29"/>
  <c r="G42" i="29"/>
  <c r="E45" i="29"/>
  <c r="G46" i="29"/>
  <c r="F42" i="29"/>
  <c r="D40" i="29"/>
  <c r="F41" i="29"/>
  <c r="D44" i="29"/>
  <c r="F45" i="29"/>
  <c r="E40" i="29"/>
  <c r="G41" i="29"/>
  <c r="E44" i="29"/>
  <c r="G45" i="29"/>
  <c r="F40" i="29"/>
  <c r="D43" i="29"/>
  <c r="F44" i="29"/>
  <c r="D47" i="29"/>
  <c r="E43" i="29"/>
  <c r="G44" i="29"/>
  <c r="E47" i="29"/>
  <c r="D42" i="29"/>
  <c r="F43" i="29"/>
  <c r="D46" i="29"/>
  <c r="F47" i="29"/>
  <c r="B3" i="30" l="1" a="1"/>
  <c r="B3" i="30" s="1"/>
  <c r="D8" i="40"/>
  <c r="D10" i="40"/>
  <c r="D4" i="40"/>
  <c r="D5" i="40"/>
  <c r="D9" i="40"/>
  <c r="B3" i="40"/>
  <c r="D3" i="40" s="1"/>
  <c r="D7" i="40"/>
  <c r="B3" i="35"/>
  <c r="D3" i="35" s="1"/>
  <c r="D4" i="35"/>
  <c r="D5" i="35"/>
  <c r="D7" i="31"/>
  <c r="D6" i="31"/>
  <c r="D5" i="31"/>
  <c r="D4" i="31"/>
  <c r="B3" i="31"/>
  <c r="D3" i="31" s="1"/>
  <c r="C45" i="29"/>
  <c r="B45" i="29" s="1"/>
  <c r="C43" i="29"/>
  <c r="B43" i="29" s="1"/>
  <c r="C41" i="29"/>
  <c r="B41" i="29" s="1"/>
  <c r="C42" i="29"/>
  <c r="B42" i="29" s="1"/>
  <c r="C44" i="29"/>
  <c r="B44" i="29" s="1"/>
  <c r="C47" i="29"/>
  <c r="B47" i="29" s="1"/>
  <c r="C46" i="29"/>
  <c r="B46" i="29" s="1"/>
  <c r="C40" i="29"/>
  <c r="B40" i="29" s="1"/>
  <c r="B43" i="25"/>
  <c r="F50" i="13"/>
  <c r="G50" i="13"/>
  <c r="H50" i="13"/>
  <c r="I50" i="13"/>
  <c r="J50" i="13"/>
  <c r="K50" i="13"/>
  <c r="L50" i="13"/>
  <c r="M50" i="13"/>
  <c r="N50" i="13"/>
  <c r="O50" i="13"/>
  <c r="P50" i="13"/>
  <c r="Q50" i="13"/>
  <c r="R50" i="13"/>
  <c r="S50" i="13"/>
  <c r="T50" i="13"/>
  <c r="U50" i="13"/>
  <c r="W50" i="13"/>
  <c r="G62" i="37" l="1"/>
  <c r="G62" i="40"/>
  <c r="D10" i="30"/>
  <c r="D9" i="30"/>
  <c r="D8" i="30"/>
  <c r="D7" i="30"/>
  <c r="D6" i="30"/>
  <c r="D5" i="30"/>
  <c r="D4" i="30"/>
  <c r="G62" i="31"/>
  <c r="G62" i="35"/>
  <c r="D3" i="30"/>
  <c r="B39" i="29"/>
  <c r="E13" i="25"/>
  <c r="G19" i="25"/>
  <c r="G2" i="13"/>
  <c r="F51" i="13" s="1"/>
  <c r="E17" i="25"/>
  <c r="D18" i="25"/>
  <c r="F12" i="25"/>
  <c r="F16" i="25"/>
  <c r="D14" i="25"/>
  <c r="G15" i="25"/>
  <c r="G12" i="25"/>
  <c r="F13" i="25"/>
  <c r="E14" i="25"/>
  <c r="D15" i="25"/>
  <c r="G16" i="25"/>
  <c r="F17" i="25"/>
  <c r="E18" i="25"/>
  <c r="D19" i="25"/>
  <c r="C12" i="25"/>
  <c r="C14" i="25"/>
  <c r="C18" i="25"/>
  <c r="D12" i="25"/>
  <c r="G13" i="25"/>
  <c r="F14" i="25"/>
  <c r="E15" i="25"/>
  <c r="D16" i="25"/>
  <c r="G17" i="25"/>
  <c r="F18" i="25"/>
  <c r="E19" i="25"/>
  <c r="E12" i="25"/>
  <c r="D13" i="25"/>
  <c r="G14" i="25"/>
  <c r="F15" i="25"/>
  <c r="E16" i="25"/>
  <c r="D17" i="25"/>
  <c r="G18" i="25"/>
  <c r="F19" i="25"/>
  <c r="C13" i="25"/>
  <c r="C15" i="25"/>
  <c r="C17" i="25"/>
  <c r="C19" i="25"/>
  <c r="AA50" i="13"/>
  <c r="Z50" i="13"/>
  <c r="Y50" i="13"/>
  <c r="X50" i="13"/>
  <c r="B42" i="25" l="1"/>
  <c r="B38" i="25"/>
  <c r="B41" i="25"/>
  <c r="B40" i="25"/>
  <c r="B39" i="25"/>
  <c r="B37" i="25"/>
  <c r="B36" i="25"/>
  <c r="G62" i="13"/>
  <c r="C16" i="25"/>
  <c r="K26" i="13"/>
  <c r="Z51" i="13" s="1"/>
  <c r="M26" i="13"/>
  <c r="AA51" i="13" s="1"/>
  <c r="M14" i="13"/>
  <c r="R51" i="13" s="1"/>
  <c r="S26" i="13"/>
  <c r="W51" i="13" s="1"/>
  <c r="G14" i="13"/>
  <c r="O51" i="13" s="1"/>
  <c r="G26" i="13"/>
  <c r="X51" i="13" s="1"/>
  <c r="K14" i="13"/>
  <c r="Q51" i="13" s="1"/>
  <c r="Q2" i="13"/>
  <c r="K51" i="13" s="1"/>
  <c r="O2" i="13"/>
  <c r="J51" i="13" s="1"/>
  <c r="U2" i="13"/>
  <c r="M51" i="13" s="1"/>
  <c r="O14" i="13"/>
  <c r="S51" i="13" s="1"/>
  <c r="I14" i="13"/>
  <c r="P51" i="13" s="1"/>
  <c r="O26" i="13"/>
  <c r="V51" i="13" s="1"/>
  <c r="I26" i="13"/>
  <c r="Y51" i="13" s="1"/>
  <c r="Q14" i="13"/>
  <c r="T51" i="13" s="1"/>
  <c r="S14" i="13"/>
  <c r="U51" i="13" s="1"/>
  <c r="Q26" i="13"/>
  <c r="N51" i="13" s="1"/>
  <c r="S2" i="13"/>
  <c r="L51" i="13" s="1"/>
  <c r="M2" i="13"/>
  <c r="I51" i="13" s="1"/>
  <c r="I2" i="13"/>
  <c r="G51" i="13" s="1"/>
  <c r="K2" i="13"/>
  <c r="H51" i="13" s="1"/>
  <c r="G60" i="37" l="1"/>
  <c r="G60" i="40"/>
  <c r="G55" i="37"/>
  <c r="G55" i="40"/>
  <c r="G57" i="37"/>
  <c r="G57" i="40"/>
  <c r="G56" i="37"/>
  <c r="G56" i="40"/>
  <c r="G58" i="37"/>
  <c r="G58" i="40"/>
  <c r="G59" i="37"/>
  <c r="G59" i="40"/>
  <c r="G61" i="37"/>
  <c r="G61" i="40"/>
  <c r="G59" i="31"/>
  <c r="G59" i="35"/>
  <c r="G56" i="31"/>
  <c r="G56" i="35"/>
  <c r="G58" i="31"/>
  <c r="G58" i="35"/>
  <c r="G60" i="31"/>
  <c r="G60" i="35"/>
  <c r="G55" i="31"/>
  <c r="G55" i="35"/>
  <c r="G57" i="31"/>
  <c r="G57" i="35"/>
  <c r="G61" i="31"/>
  <c r="G61" i="35"/>
  <c r="B3" i="13" a="1"/>
  <c r="G58" i="13"/>
  <c r="G56" i="13"/>
  <c r="G60" i="13"/>
  <c r="G57" i="13"/>
  <c r="G55" i="13"/>
  <c r="G59" i="13"/>
  <c r="G61" i="13"/>
  <c r="B35" i="25"/>
  <c r="G54" i="37" l="1"/>
  <c r="G54" i="40"/>
  <c r="G54" i="31"/>
  <c r="G54" i="35"/>
  <c r="B3" i="13"/>
  <c r="D3" i="13" s="1"/>
  <c r="G54" i="13"/>
  <c r="D7" i="13" s="1"/>
  <c r="D6" i="13" s="1"/>
  <c r="D5" i="13" s="1"/>
  <c r="D4"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0861464-5475-4565-AF4B-231B35A704D2}" keepAlive="1" name="Query - ESPNField" description="Connection to the 'ESPNField' query in the workbook." type="5" refreshedVersion="8" background="1" saveData="1">
    <dbPr connection="Provider=Microsoft.Mashup.OleDb.1;Data Source=$Workbook$;Location=ESPNField;Extended Properties=&quot;&quot;" command="SELECT * FROM [ESPNField]"/>
  </connection>
  <connection id="2" xr16:uid="{94B149AF-E6B7-4161-93F6-52F7B3FEC702}" keepAlive="1" name="Query - ESPNScores" description="Connection to the 'ESPNScores' query in the workbook." type="5" refreshedVersion="8" saveData="1">
    <dbPr connection="Provider=Microsoft.Mashup.OleDb.1;Data Source=$Workbook$;Location=ESPNScores;Extended Properties=&quot;&quot;" command="SELECT * FROM [ESPNScores]"/>
  </connection>
  <connection id="3" xr16:uid="{B02D0434-A650-455A-BE9B-3821691B45B0}" keepAlive="1" name="Query - ESPNScores (2)" description="Connection to the 'ESPNScores (2)' query in the workbook." type="5" refreshedVersion="0" background="1">
    <dbPr connection="Provider=Microsoft.Mashup.OleDb.1;Data Source=$Workbook$;Location=&quot;ESPNScores (2)&quot;;Extended Properties=&quot;&quot;" command="SELECT * FROM [ESPNScores (2)]"/>
  </connection>
  <connection id="4" xr16:uid="{181F3B62-055D-4379-8182-A8E919746D66}" keepAlive="1" name="Query - field" description="Connection to the 'field' query in the workbook." type="5" refreshedVersion="8" saveData="1">
    <dbPr connection="Provider=Microsoft.Mashup.OleDb.1;Data Source=$Workbook$;Location=field;Extended Properties=&quot;&quot;" command="SELECT * FROM [field]"/>
  </connection>
  <connection id="5" xr16:uid="{BB1C0E63-CB83-4633-BAEF-8C65300FBC9E}" keepAlive="1" name="Query - OWGR" description="Connection to the 'OWGR' query in the workbook." type="5" refreshedVersion="8" background="1" saveData="1">
    <dbPr connection="Provider=Microsoft.Mashup.OleDb.1;Data Source=$Workbook$;Location=OWGR;Extended Properties=&quot;&quot;" command="SELECT * FROM [OWGR]"/>
  </connection>
  <connection id="6" xr16:uid="{544B0E05-91DC-4234-95CC-7894B1331161}" keepAlive="1" name="Query - scores" description="Connection to the 'scores' query in the workbook." type="5" refreshedVersion="8" saveData="1">
    <dbPr connection="Provider=Microsoft.Mashup.OleDb.1;Data Source=$Workbook$;Location=scores;Extended Properties=&quot;&quot;" command="SELECT * FROM [scor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<sst xmlns="http://schemas.openxmlformats.org/spreadsheetml/2006/main" count="3123" uniqueCount="608">
  <si>
    <t>`</t>
  </si>
  <si>
    <t>Standings</t>
  </si>
  <si>
    <t>Joe Magnetico</t>
  </si>
  <si>
    <t>Dean Nardone</t>
  </si>
  <si>
    <t>Lorraine McGill</t>
  </si>
  <si>
    <t>Russ Flagg</t>
  </si>
  <si>
    <t>Bill Seeger</t>
  </si>
  <si>
    <t>Matt Myers</t>
  </si>
  <si>
    <t>Charlie Adams</t>
  </si>
  <si>
    <t>WC1</t>
  </si>
  <si>
    <t>WC2</t>
  </si>
  <si>
    <t>Damon Chapman</t>
  </si>
  <si>
    <t>Gary Casarsa</t>
  </si>
  <si>
    <t>Laurie Seeger</t>
  </si>
  <si>
    <t>Mike Coope</t>
  </si>
  <si>
    <t>Halley Ganges</t>
  </si>
  <si>
    <t>Chris Callahan</t>
  </si>
  <si>
    <t>Matt Desai</t>
  </si>
  <si>
    <t>Mark Brenman</t>
  </si>
  <si>
    <t>Sean Christian</t>
  </si>
  <si>
    <t>Ken Webster</t>
  </si>
  <si>
    <t>Frank Prestifilippo</t>
  </si>
  <si>
    <t>Chris Marinis</t>
  </si>
  <si>
    <t>Steve McFadden</t>
  </si>
  <si>
    <t>Ann Heal</t>
  </si>
  <si>
    <t>Min from 8 Groups</t>
  </si>
  <si>
    <t>Scottie Scheffler</t>
  </si>
  <si>
    <t>Rory McIlroy</t>
  </si>
  <si>
    <t>Jon Rahm</t>
  </si>
  <si>
    <t>Lucas Glover</t>
  </si>
  <si>
    <t>Max Homa</t>
  </si>
  <si>
    <t>Patrick Cantlay</t>
  </si>
  <si>
    <t>Brian Harman</t>
  </si>
  <si>
    <t>Tommy Fleetwood</t>
  </si>
  <si>
    <t>Russell Henley</t>
  </si>
  <si>
    <t>Matt Fitzpatrick</t>
  </si>
  <si>
    <t>Xander Schauffele</t>
  </si>
  <si>
    <t>Rickie Fowler</t>
  </si>
  <si>
    <t>Sungjae Im</t>
  </si>
  <si>
    <t>Tom Kim</t>
  </si>
  <si>
    <t>Tony Finau</t>
  </si>
  <si>
    <t>Taylor Moore</t>
  </si>
  <si>
    <t>Corey Conners</t>
  </si>
  <si>
    <t>Si Woo Kim</t>
  </si>
  <si>
    <t>Collin Morikawa</t>
  </si>
  <si>
    <t>Nick Taylor</t>
  </si>
  <si>
    <t>Adam Schenk</t>
  </si>
  <si>
    <t>Jason Day</t>
  </si>
  <si>
    <t>Sam Burns</t>
  </si>
  <si>
    <t>Emiliano Grillo</t>
  </si>
  <si>
    <t>Jordan Spieth</t>
  </si>
  <si>
    <t>Sepp Straka</t>
  </si>
  <si>
    <t>Tyrrell Hatton</t>
  </si>
  <si>
    <t>Viktor Hovland</t>
  </si>
  <si>
    <t>Keegan Bradley</t>
  </si>
  <si>
    <t>Wyndham Clark</t>
  </si>
  <si>
    <t>Player</t>
  </si>
  <si>
    <t xml:space="preserve"> Score</t>
  </si>
  <si>
    <t>Chris Kirk</t>
  </si>
  <si>
    <t>Harris English</t>
  </si>
  <si>
    <t>Justin Rose</t>
  </si>
  <si>
    <t>Sahith Theegala</t>
  </si>
  <si>
    <t>J.T. Poston</t>
  </si>
  <si>
    <t>Byeong Hun An</t>
  </si>
  <si>
    <t>Cameron Young</t>
  </si>
  <si>
    <t>Denny McCarthy</t>
  </si>
  <si>
    <t>Adam Svensson</t>
  </si>
  <si>
    <t>Tom Hoge</t>
  </si>
  <si>
    <t>Andrew Putnam</t>
  </si>
  <si>
    <t>Eric Cole</t>
  </si>
  <si>
    <t>Brendon Todd</t>
  </si>
  <si>
    <t>Adam Hadwin</t>
  </si>
  <si>
    <t>Kurt Kitayama</t>
  </si>
  <si>
    <t>Hideki Matsuyama</t>
  </si>
  <si>
    <t>Column1</t>
  </si>
  <si>
    <t>Column2</t>
  </si>
  <si>
    <t/>
  </si>
  <si>
    <t>Group</t>
  </si>
  <si>
    <t>Selections</t>
  </si>
  <si>
    <t>Score</t>
  </si>
  <si>
    <t>Lowest</t>
  </si>
  <si>
    <t>rankingsList.id</t>
  </si>
  <si>
    <t>rankingsList.rank</t>
  </si>
  <si>
    <t>rankingsList.player.id</t>
  </si>
  <si>
    <t>rankingsList.player.firstName</t>
  </si>
  <si>
    <t>rankingsList.player.lastName</t>
  </si>
  <si>
    <t>rankingsList.player.fullName</t>
  </si>
  <si>
    <t>rankingsList.player.birthDate</t>
  </si>
  <si>
    <t>rankingsList.player.gender</t>
  </si>
  <si>
    <t>rankingsList.player.isAmateur</t>
  </si>
  <si>
    <t>rankingsList.player.country.id</t>
  </si>
  <si>
    <t>rankingsList.player.country.name</t>
  </si>
  <si>
    <t>rankingsList.player.country.iocCode</t>
  </si>
  <si>
    <t>rankingsList.player.country.code2</t>
  </si>
  <si>
    <t>rankingsList.player.country.code3</t>
  </si>
  <si>
    <t>rankingsList.player.country.region.id</t>
  </si>
  <si>
    <t>rankingsList.player.country.region.name</t>
  </si>
  <si>
    <t>rankingsList.player.country.region.code</t>
  </si>
  <si>
    <t>rankingsList.isTied</t>
  </si>
  <si>
    <t>rankingsList.pointsLost</t>
  </si>
  <si>
    <t>rankingsList.pointsWon</t>
  </si>
  <si>
    <t>rankingsList.pointsTotal</t>
  </si>
  <si>
    <t>rankingsList.pointsAverage</t>
  </si>
  <si>
    <t>rankingsList.divisorActual</t>
  </si>
  <si>
    <t>rankingsList.divisorApplied</t>
  </si>
  <si>
    <t>rankingsList.endLastYearRank</t>
  </si>
  <si>
    <t>rankingsList.lastWeekRank</t>
  </si>
  <si>
    <t>rankingsList.weekNumber</t>
  </si>
  <si>
    <t>rankingsList.weekEndDate</t>
  </si>
  <si>
    <t>totalNumberOfPages</t>
  </si>
  <si>
    <t>totalNumberOfRankings</t>
  </si>
  <si>
    <t>Scottie</t>
  </si>
  <si>
    <t>Scheffler</t>
  </si>
  <si>
    <t>M</t>
  </si>
  <si>
    <t>United States</t>
  </si>
  <si>
    <t>USA</t>
  </si>
  <si>
    <t>US</t>
  </si>
  <si>
    <t>North America</t>
  </si>
  <si>
    <t>NthAM</t>
  </si>
  <si>
    <t>Europe</t>
  </si>
  <si>
    <t>Eur</t>
  </si>
  <si>
    <t>Rory</t>
  </si>
  <si>
    <t>McIlroy</t>
  </si>
  <si>
    <t>Northern Ireland</t>
  </si>
  <si>
    <t>NIR</t>
  </si>
  <si>
    <t>Patrick</t>
  </si>
  <si>
    <t>Cantlay</t>
  </si>
  <si>
    <t>Viktor</t>
  </si>
  <si>
    <t>Hovland</t>
  </si>
  <si>
    <t>Norway</t>
  </si>
  <si>
    <t>NOR</t>
  </si>
  <si>
    <t>NO</t>
  </si>
  <si>
    <t>Xander</t>
  </si>
  <si>
    <t>Schauffele</t>
  </si>
  <si>
    <t>Cameron</t>
  </si>
  <si>
    <t>Cameron Smith</t>
  </si>
  <si>
    <t>Australia</t>
  </si>
  <si>
    <t>AUS</t>
  </si>
  <si>
    <t>AU</t>
  </si>
  <si>
    <t>Australasia</t>
  </si>
  <si>
    <t>ANZ</t>
  </si>
  <si>
    <t>Max</t>
  </si>
  <si>
    <t>Homa</t>
  </si>
  <si>
    <t>Matt</t>
  </si>
  <si>
    <t>Fitzpatrick</t>
  </si>
  <si>
    <t>England</t>
  </si>
  <si>
    <t>ENG</t>
  </si>
  <si>
    <t>Jordan</t>
  </si>
  <si>
    <t>Spieth</t>
  </si>
  <si>
    <t>Wyndham</t>
  </si>
  <si>
    <t>Clark</t>
  </si>
  <si>
    <t>Tony</t>
  </si>
  <si>
    <t>Finau</t>
  </si>
  <si>
    <t>Keegan</t>
  </si>
  <si>
    <t>Bradley</t>
  </si>
  <si>
    <t>Sam</t>
  </si>
  <si>
    <t>Burns</t>
  </si>
  <si>
    <t>Young</t>
  </si>
  <si>
    <t>Collin</t>
  </si>
  <si>
    <t>Morikawa</t>
  </si>
  <si>
    <t>Justin</t>
  </si>
  <si>
    <t>Thomas</t>
  </si>
  <si>
    <t>Justin Thomas</t>
  </si>
  <si>
    <t>Rickie</t>
  </si>
  <si>
    <t>Fowler</t>
  </si>
  <si>
    <t>Tommy</t>
  </si>
  <si>
    <t>Fleetwood</t>
  </si>
  <si>
    <t>Sungjae</t>
  </si>
  <si>
    <t>Im</t>
  </si>
  <si>
    <t>Korea; Republic of</t>
  </si>
  <si>
    <t>KOR</t>
  </si>
  <si>
    <t>KR</t>
  </si>
  <si>
    <t>Asia</t>
  </si>
  <si>
    <t>Asa</t>
  </si>
  <si>
    <t>Kurt</t>
  </si>
  <si>
    <t>Kitayama</t>
  </si>
  <si>
    <t>Tom</t>
  </si>
  <si>
    <t>Kim</t>
  </si>
  <si>
    <t>Jason</t>
  </si>
  <si>
    <t>Day</t>
  </si>
  <si>
    <t>Sepp</t>
  </si>
  <si>
    <t>Straka</t>
  </si>
  <si>
    <t>Austria</t>
  </si>
  <si>
    <t>AUT</t>
  </si>
  <si>
    <t>AT</t>
  </si>
  <si>
    <t>Brian</t>
  </si>
  <si>
    <t>Harman</t>
  </si>
  <si>
    <t>Rose</t>
  </si>
  <si>
    <t>Shane</t>
  </si>
  <si>
    <t>Lowry</t>
  </si>
  <si>
    <t>Shane Lowry</t>
  </si>
  <si>
    <t>Ireland</t>
  </si>
  <si>
    <t>IRL</t>
  </si>
  <si>
    <t>IE</t>
  </si>
  <si>
    <t>Matsuyama</t>
  </si>
  <si>
    <t>Japan</t>
  </si>
  <si>
    <t>JPN</t>
  </si>
  <si>
    <t>JP</t>
  </si>
  <si>
    <t>Jpn</t>
  </si>
  <si>
    <t>Denny</t>
  </si>
  <si>
    <t>McCarthy</t>
  </si>
  <si>
    <t>Sahith</t>
  </si>
  <si>
    <t>Theegala</t>
  </si>
  <si>
    <t>Corey</t>
  </si>
  <si>
    <t>Conners</t>
  </si>
  <si>
    <t>Canada</t>
  </si>
  <si>
    <t>CAN</t>
  </si>
  <si>
    <t>CA</t>
  </si>
  <si>
    <t>Russell</t>
  </si>
  <si>
    <t>Henley</t>
  </si>
  <si>
    <t>Si Woo</t>
  </si>
  <si>
    <t>Harris</t>
  </si>
  <si>
    <t>English</t>
  </si>
  <si>
    <t>Adam</t>
  </si>
  <si>
    <t>Scott</t>
  </si>
  <si>
    <t>Adam Scott</t>
  </si>
  <si>
    <t>Chris</t>
  </si>
  <si>
    <t>Kirk</t>
  </si>
  <si>
    <t>Joaquin Niemann</t>
  </si>
  <si>
    <t>South America</t>
  </si>
  <si>
    <t>SAm</t>
  </si>
  <si>
    <t>Hoge</t>
  </si>
  <si>
    <t>Ryan Fox</t>
  </si>
  <si>
    <t>Billy</t>
  </si>
  <si>
    <t>Horschel</t>
  </si>
  <si>
    <t>Billy Horschel</t>
  </si>
  <si>
    <t>Nick</t>
  </si>
  <si>
    <t>Taylor</t>
  </si>
  <si>
    <t>Min Woo</t>
  </si>
  <si>
    <t>Lee</t>
  </si>
  <si>
    <t>Min Woo Lee</t>
  </si>
  <si>
    <t>Moore</t>
  </si>
  <si>
    <t>Adrian Meronk</t>
  </si>
  <si>
    <t>Davis</t>
  </si>
  <si>
    <t>Cameron Davis</t>
  </si>
  <si>
    <t>Lucas</t>
  </si>
  <si>
    <t>Lucas Herbert</t>
  </si>
  <si>
    <t>Hadwin</t>
  </si>
  <si>
    <t>J.T.</t>
  </si>
  <si>
    <t>Poston</t>
  </si>
  <si>
    <t>Keith Mitchell</t>
  </si>
  <si>
    <t>Andrew</t>
  </si>
  <si>
    <t>Alex</t>
  </si>
  <si>
    <t>Noren</t>
  </si>
  <si>
    <t>Alex Noren</t>
  </si>
  <si>
    <t>Sweden</t>
  </si>
  <si>
    <t>SWE</t>
  </si>
  <si>
    <t>SE</t>
  </si>
  <si>
    <t>Victor</t>
  </si>
  <si>
    <t>Perez</t>
  </si>
  <si>
    <t>Victor Perez</t>
  </si>
  <si>
    <t>France</t>
  </si>
  <si>
    <t>FRA</t>
  </si>
  <si>
    <t>FR</t>
  </si>
  <si>
    <t>Aaron</t>
  </si>
  <si>
    <t>Belgium</t>
  </si>
  <si>
    <t>BEL</t>
  </si>
  <si>
    <t>BE</t>
  </si>
  <si>
    <t>Mackenzie</t>
  </si>
  <si>
    <t>Hughes</t>
  </si>
  <si>
    <t>Mackenzie Hughes</t>
  </si>
  <si>
    <t>Eric</t>
  </si>
  <si>
    <t>Cole</t>
  </si>
  <si>
    <t>Austin</t>
  </si>
  <si>
    <t>Eckroat</t>
  </si>
  <si>
    <t>Austin Eckroat</t>
  </si>
  <si>
    <t>Thriston Lawrence</t>
  </si>
  <si>
    <t>South Africa</t>
  </si>
  <si>
    <t>RSA</t>
  </si>
  <si>
    <t>ZA</t>
  </si>
  <si>
    <t>ZAF</t>
  </si>
  <si>
    <t>Africa</t>
  </si>
  <si>
    <t>Afr</t>
  </si>
  <si>
    <t>Rasmus</t>
  </si>
  <si>
    <t>Hojgaard</t>
  </si>
  <si>
    <t>Rasmus Hojgaard</t>
  </si>
  <si>
    <t>Denmark</t>
  </si>
  <si>
    <t>DEN</t>
  </si>
  <si>
    <t>DK</t>
  </si>
  <si>
    <t>DNK</t>
  </si>
  <si>
    <t>Christiaan</t>
  </si>
  <si>
    <t>Bezuidenhout</t>
  </si>
  <si>
    <t>Christiaan Bezuidenhout</t>
  </si>
  <si>
    <t>Mark Hubbard</t>
  </si>
  <si>
    <t>Rai</t>
  </si>
  <si>
    <t>Aaron Rai</t>
  </si>
  <si>
    <t>Thorbjorn</t>
  </si>
  <si>
    <t>Olesen</t>
  </si>
  <si>
    <t>Thorbjorn Olesen</t>
  </si>
  <si>
    <t>Jordan Smith</t>
  </si>
  <si>
    <t>Detry</t>
  </si>
  <si>
    <t>Thomas Detry</t>
  </si>
  <si>
    <t>Germany</t>
  </si>
  <si>
    <t>GER</t>
  </si>
  <si>
    <t>DE</t>
  </si>
  <si>
    <t>DEU</t>
  </si>
  <si>
    <t>Robert</t>
  </si>
  <si>
    <t>MacIntyre</t>
  </si>
  <si>
    <t>Robert MacIntyre</t>
  </si>
  <si>
    <t>Scotland</t>
  </si>
  <si>
    <t>SCO</t>
  </si>
  <si>
    <t>Byeong Hun</t>
  </si>
  <si>
    <t>An</t>
  </si>
  <si>
    <t>TieBk</t>
  </si>
  <si>
    <t>Ludvig</t>
  </si>
  <si>
    <t>Aberg</t>
  </si>
  <si>
    <t>Matthieu</t>
  </si>
  <si>
    <t>Pavon</t>
  </si>
  <si>
    <t>Matthieu Pavon</t>
  </si>
  <si>
    <t>Nicolai</t>
  </si>
  <si>
    <t>Will Zalatoris</t>
  </si>
  <si>
    <t>Glover</t>
  </si>
  <si>
    <t>Jake</t>
  </si>
  <si>
    <t>Knapp</t>
  </si>
  <si>
    <t>Jake Knapp</t>
  </si>
  <si>
    <t>Grayson Murray</t>
  </si>
  <si>
    <t>Erik</t>
  </si>
  <si>
    <t>van Rooyen</t>
  </si>
  <si>
    <t>Erik van Rooyen</t>
  </si>
  <si>
    <t>Luke</t>
  </si>
  <si>
    <t>Luke List</t>
  </si>
  <si>
    <t>Stephan</t>
  </si>
  <si>
    <t>Jaeger</t>
  </si>
  <si>
    <t>Stephan Jaeger</t>
  </si>
  <si>
    <t>Beau</t>
  </si>
  <si>
    <t>Hossler</t>
  </si>
  <si>
    <t>Beau Hossler</t>
  </si>
  <si>
    <t>Dunlap</t>
  </si>
  <si>
    <t>Nick Dunlap</t>
  </si>
  <si>
    <t>Hodges</t>
  </si>
  <si>
    <t>Lee Hodges</t>
  </si>
  <si>
    <t>Rodgers</t>
  </si>
  <si>
    <t>Patrick Rodgers</t>
  </si>
  <si>
    <t>Sami Valimaki</t>
  </si>
  <si>
    <t>Ryo Hisatsune</t>
  </si>
  <si>
    <t>Wallace</t>
  </si>
  <si>
    <t>Matt Wallace</t>
  </si>
  <si>
    <t>Pendrith</t>
  </si>
  <si>
    <t>Taylor Pendrith</t>
  </si>
  <si>
    <t>Ben</t>
  </si>
  <si>
    <t>Griffin</t>
  </si>
  <si>
    <t>Ben Griffin</t>
  </si>
  <si>
    <t>Akshay</t>
  </si>
  <si>
    <t>Bhatia</t>
  </si>
  <si>
    <t>Akshay Bhatia</t>
  </si>
  <si>
    <t xml:space="preserve"> </t>
  </si>
  <si>
    <t>Camilo Villegas</t>
  </si>
  <si>
    <t>Gary Woodland</t>
  </si>
  <si>
    <t>Richard Webster</t>
  </si>
  <si>
    <t>Webster</t>
  </si>
  <si>
    <t>Mattson</t>
  </si>
  <si>
    <t>Holiday</t>
  </si>
  <si>
    <t>Donasky</t>
  </si>
  <si>
    <t>Allen</t>
  </si>
  <si>
    <t>L Hill</t>
  </si>
  <si>
    <t>Armstrong</t>
  </si>
  <si>
    <t>Horvath</t>
  </si>
  <si>
    <t>Chernick</t>
  </si>
  <si>
    <t>Rush</t>
  </si>
  <si>
    <t>Tsutsumi</t>
  </si>
  <si>
    <t>Bernau</t>
  </si>
  <si>
    <t>B Hill</t>
  </si>
  <si>
    <t>Fish</t>
  </si>
  <si>
    <t>Richard</t>
  </si>
  <si>
    <t>Rakusin</t>
  </si>
  <si>
    <t>Howell</t>
  </si>
  <si>
    <t>Steigmeyer</t>
  </si>
  <si>
    <t>McElroy</t>
  </si>
  <si>
    <t>Hitchman</t>
  </si>
  <si>
    <t>Hempel</t>
  </si>
  <si>
    <t>Langer</t>
  </si>
  <si>
    <t>Balme</t>
  </si>
  <si>
    <t>Weiss</t>
  </si>
  <si>
    <t>Eliason</t>
  </si>
  <si>
    <t>Stabile</t>
  </si>
  <si>
    <t>UNOFFICIAL</t>
  </si>
  <si>
    <t>TieBK</t>
  </si>
  <si>
    <t>Jon</t>
  </si>
  <si>
    <t>Rahm</t>
  </si>
  <si>
    <t>Spain</t>
  </si>
  <si>
    <t>ESP</t>
  </si>
  <si>
    <t>ES</t>
  </si>
  <si>
    <t>Tyrrell</t>
  </si>
  <si>
    <t>Brooks Koepka</t>
  </si>
  <si>
    <t>Patrick Reed</t>
  </si>
  <si>
    <t>Bryson DeChambeau</t>
  </si>
  <si>
    <t>Dustin Johnson</t>
  </si>
  <si>
    <t>Phil Mickelson</t>
  </si>
  <si>
    <t>Tiger Woods</t>
  </si>
  <si>
    <t>Peter Malnati</t>
  </si>
  <si>
    <t>Keita Nakajima</t>
  </si>
  <si>
    <t>Alejandro Tosti</t>
  </si>
  <si>
    <t>Ludvig Åberg</t>
  </si>
  <si>
    <t>Thorbjørn Olesen</t>
  </si>
  <si>
    <t>Nicolai Højgaard</t>
  </si>
  <si>
    <t>Cam Davis</t>
  </si>
  <si>
    <t>Cruickshank</t>
  </si>
  <si>
    <t>Isaacson</t>
  </si>
  <si>
    <t>Tournament Leaderboard</t>
  </si>
  <si>
    <t>Updated from pgatour.com</t>
  </si>
  <si>
    <t>Lindsey</t>
  </si>
  <si>
    <t>Michael Block</t>
  </si>
  <si>
    <t>Luke Donald</t>
  </si>
  <si>
    <t>Shaun Micheel</t>
  </si>
  <si>
    <t>Doug Ghim</t>
  </si>
  <si>
    <t>Tyler Collet</t>
  </si>
  <si>
    <t>Jeff Kellen</t>
  </si>
  <si>
    <t>Alex Smalley</t>
  </si>
  <si>
    <t>Ben Kohles</t>
  </si>
  <si>
    <t>Larkin Gross</t>
  </si>
  <si>
    <t>Josh Speight</t>
  </si>
  <si>
    <t>Zac Oakley</t>
  </si>
  <si>
    <t>Martin Kaymer</t>
  </si>
  <si>
    <t>Alexander Björk</t>
  </si>
  <si>
    <t>John Daly</t>
  </si>
  <si>
    <t>Ben Polland</t>
  </si>
  <si>
    <t>Zac Blair</t>
  </si>
  <si>
    <t>Ryan van Velzen</t>
  </si>
  <si>
    <t>Jeremy Wells</t>
  </si>
  <si>
    <t>K.H. Lee</t>
  </si>
  <si>
    <t>Takumi Kanaya</t>
  </si>
  <si>
    <t>Jared Jones</t>
  </si>
  <si>
    <t>Andrew Svoboda</t>
  </si>
  <si>
    <t>Dean Burmester</t>
  </si>
  <si>
    <t>Kyle Mendoza</t>
  </si>
  <si>
    <t>Andy Ogletree</t>
  </si>
  <si>
    <t>Preston Cole</t>
  </si>
  <si>
    <t>Tim Widing</t>
  </si>
  <si>
    <t>Adrian Otaegui</t>
  </si>
  <si>
    <t>Rich Beem</t>
  </si>
  <si>
    <t>Sebastian Soderberg</t>
  </si>
  <si>
    <t>Kazuma Kobori</t>
  </si>
  <si>
    <t>David Puig</t>
  </si>
  <si>
    <t>Matt Dobyns</t>
  </si>
  <si>
    <t>Josh Bevell</t>
  </si>
  <si>
    <t>Tracy Phillips</t>
  </si>
  <si>
    <t>Jesse Mueller</t>
  </si>
  <si>
    <t>Charley Hoffman</t>
  </si>
  <si>
    <t>Talor Gooch</t>
  </si>
  <si>
    <t>Y.E. Yang</t>
  </si>
  <si>
    <t>Jason Dufner</t>
  </si>
  <si>
    <t>Francesco Molinari</t>
  </si>
  <si>
    <t>Jimmy Walker</t>
  </si>
  <si>
    <t>Rasmus Højgaard</t>
  </si>
  <si>
    <t>John Somers</t>
  </si>
  <si>
    <t>Brice Garnett</t>
  </si>
  <si>
    <t>Jesper Svensson</t>
  </si>
  <si>
    <t>Padraig Harrington</t>
  </si>
  <si>
    <t>Evan Bowser</t>
  </si>
  <si>
    <t>Brad Marek</t>
  </si>
  <si>
    <t>Maverick McNealy</t>
  </si>
  <si>
    <t>Vincent Norrman</t>
  </si>
  <si>
    <t>Wyatt Worthington II</t>
  </si>
  <si>
    <t>Chris Gotterup</t>
  </si>
  <si>
    <t>Braden Shattuck</t>
  </si>
  <si>
    <t>C.T. Pan</t>
  </si>
  <si>
    <t>S.H. Kim</t>
  </si>
  <si>
    <t>Hideki</t>
  </si>
  <si>
    <t>Thompson</t>
  </si>
  <si>
    <t>Davis Thompson</t>
  </si>
  <si>
    <t>Bryson</t>
  </si>
  <si>
    <t>Dillabaugh</t>
  </si>
  <si>
    <t>GetScores Ended</t>
  </si>
  <si>
    <t>Updated from espn.com</t>
  </si>
  <si>
    <t>05/19 14:09  PDT</t>
  </si>
  <si>
    <t>05/19 14:09:49  PDT</t>
  </si>
  <si>
    <t>05/19 14:38  PDT</t>
  </si>
  <si>
    <t>Will</t>
  </si>
  <si>
    <t>Zalatoris</t>
  </si>
  <si>
    <t>Nicolai Hojgaard</t>
  </si>
  <si>
    <t>Davis Riley</t>
  </si>
  <si>
    <t>Maverick</t>
  </si>
  <si>
    <t>McNealy</t>
  </si>
  <si>
    <t>Thriston</t>
  </si>
  <si>
    <t>Lawrence</t>
  </si>
  <si>
    <t>Chandler Phillips</t>
  </si>
  <si>
    <t>PLAYER</t>
  </si>
  <si>
    <t>SCORE</t>
  </si>
  <si>
    <t>Taiwan (Chinese Taipei)</t>
  </si>
  <si>
    <t>TPE</t>
  </si>
  <si>
    <t>TW</t>
  </si>
  <si>
    <t>TWN</t>
  </si>
  <si>
    <t>Samuel</t>
  </si>
  <si>
    <t>Stevens</t>
  </si>
  <si>
    <t>Samuel Stevens</t>
  </si>
  <si>
    <t>William Seeger</t>
  </si>
  <si>
    <t>Anne Heal</t>
  </si>
  <si>
    <t>GetScoresLoop Running</t>
  </si>
  <si>
    <t>09/03 07:44  PDT</t>
  </si>
  <si>
    <t>09/03 07:44:40  PDT</t>
  </si>
  <si>
    <t>Greyserman</t>
  </si>
  <si>
    <t>Max Greyserman</t>
  </si>
  <si>
    <t>Daniel</t>
  </si>
  <si>
    <t>Berger</t>
  </si>
  <si>
    <t>Daniel Berger</t>
  </si>
  <si>
    <t>Laurie</t>
  </si>
  <si>
    <t>Canter</t>
  </si>
  <si>
    <t>Laurie Canter</t>
  </si>
  <si>
    <t>Nicolas</t>
  </si>
  <si>
    <t>Echavarria</t>
  </si>
  <si>
    <t>Nicolas Echavarria</t>
  </si>
  <si>
    <t>Colombia</t>
  </si>
  <si>
    <t>COL</t>
  </si>
  <si>
    <t>CO</t>
  </si>
  <si>
    <t>Michael</t>
  </si>
  <si>
    <t>Michael Kim</t>
  </si>
  <si>
    <t>J.J.</t>
  </si>
  <si>
    <t>Spaun</t>
  </si>
  <si>
    <t>J.J. Spaun</t>
  </si>
  <si>
    <t>McCarty</t>
  </si>
  <si>
    <t>Matt McCarty</t>
  </si>
  <si>
    <t>Joe</t>
  </si>
  <si>
    <t>Highsmith</t>
  </si>
  <si>
    <t>Joe Highsmith</t>
  </si>
  <si>
    <t>Jhonattan</t>
  </si>
  <si>
    <t>Vegas</t>
  </si>
  <si>
    <t>Jhonattan Vegas</t>
  </si>
  <si>
    <t>Venezuela</t>
  </si>
  <si>
    <t>VEN</t>
  </si>
  <si>
    <t>VE</t>
  </si>
  <si>
    <t>Chun-an</t>
  </si>
  <si>
    <t>Yu</t>
  </si>
  <si>
    <t>Chun-an Yu</t>
  </si>
  <si>
    <t>Neergaard-Petersen</t>
  </si>
  <si>
    <t>Rasmus Neergaard-Petersen</t>
  </si>
  <si>
    <t>Novak</t>
  </si>
  <si>
    <t>Andrew Novak</t>
  </si>
  <si>
    <t>Joaquin</t>
  </si>
  <si>
    <t>Niemann</t>
  </si>
  <si>
    <t>Chile</t>
  </si>
  <si>
    <t>CHI</t>
  </si>
  <si>
    <t>CL</t>
  </si>
  <si>
    <t>CHL</t>
  </si>
  <si>
    <t>McGreevy</t>
  </si>
  <si>
    <t>Max McGreevy</t>
  </si>
  <si>
    <t>David</t>
  </si>
  <si>
    <t>Puig</t>
  </si>
  <si>
    <t>Lower</t>
  </si>
  <si>
    <t>Justin Lower</t>
  </si>
  <si>
    <t>Shaun</t>
  </si>
  <si>
    <t>Norris</t>
  </si>
  <si>
    <t>Shaun Norris</t>
  </si>
  <si>
    <t>Niklas</t>
  </si>
  <si>
    <t>Norgaard</t>
  </si>
  <si>
    <t>Niklas Norgaard</t>
  </si>
  <si>
    <t>Clanton(Am)</t>
  </si>
  <si>
    <t>Luke Clanton(Am)</t>
  </si>
  <si>
    <t>John</t>
  </si>
  <si>
    <t>Parry</t>
  </si>
  <si>
    <t>John Parry</t>
  </si>
  <si>
    <t>Harry</t>
  </si>
  <si>
    <t>Hall</t>
  </si>
  <si>
    <t>Harry Hall</t>
  </si>
  <si>
    <t>Romain</t>
  </si>
  <si>
    <t>Langasque</t>
  </si>
  <si>
    <t>Romain Langasque</t>
  </si>
  <si>
    <t>Doug</t>
  </si>
  <si>
    <t>Ghim</t>
  </si>
  <si>
    <t>XXXXXXX</t>
  </si>
  <si>
    <t>XXXX XXXX</t>
  </si>
  <si>
    <t>Lanto Griffin</t>
  </si>
  <si>
    <t>David Lipsky</t>
  </si>
  <si>
    <t>Chad Ramey</t>
  </si>
  <si>
    <t>Vince Whaley</t>
  </si>
  <si>
    <t>Chan Kim</t>
  </si>
  <si>
    <t>Joel Dahmen</t>
  </si>
  <si>
    <t>Ben Silverman</t>
  </si>
  <si>
    <t>Sam Stevens</t>
  </si>
  <si>
    <t>Rafael Campos</t>
  </si>
  <si>
    <t>Brian Campbell</t>
  </si>
  <si>
    <t>Patton Kizzire</t>
  </si>
  <si>
    <t>Séamus Power</t>
  </si>
  <si>
    <t>Nate Lashley</t>
  </si>
  <si>
    <t>David Skinns</t>
  </si>
  <si>
    <t>Bud Cauley</t>
  </si>
  <si>
    <t>Rico Hoey</t>
  </si>
  <si>
    <t>Will Gordon</t>
  </si>
  <si>
    <t>Matti Schmid</t>
  </si>
  <si>
    <t>Hayden Springer</t>
  </si>
  <si>
    <t>Isaiah Salinda</t>
  </si>
  <si>
    <t>Aldrich Potgieter</t>
  </si>
  <si>
    <t>Will Chandler</t>
  </si>
  <si>
    <t>Henrik Norlander</t>
  </si>
  <si>
    <t>Sami Välimäki</t>
  </si>
  <si>
    <t>Jacob Bridgeman</t>
  </si>
  <si>
    <t>Kevin Yu</t>
  </si>
  <si>
    <t>Nico Echavarria</t>
  </si>
  <si>
    <t>Karl Vilips</t>
  </si>
  <si>
    <t>Matt Kuchar</t>
  </si>
  <si>
    <t>Carson Young</t>
  </si>
  <si>
    <t>Patrick Fishburn</t>
  </si>
  <si>
    <t>Sam Ryder</t>
  </si>
  <si>
    <t>Trey Mullinax</t>
  </si>
  <si>
    <t>Greyson Sigg</t>
  </si>
  <si>
    <t>Mac Meissner</t>
  </si>
  <si>
    <t>Frankie Capan III</t>
  </si>
  <si>
    <t>Kris Ventura</t>
  </si>
  <si>
    <t>Kevin Roy</t>
  </si>
  <si>
    <t>Jackson Suber</t>
  </si>
  <si>
    <t>Ryan Gerard</t>
  </si>
  <si>
    <t>Jones</t>
  </si>
  <si>
    <t>Ricky Castillo</t>
  </si>
  <si>
    <t>Danny Walker</t>
  </si>
  <si>
    <t>Anthony Neville</t>
  </si>
  <si>
    <t>End</t>
  </si>
  <si>
    <t>Start</t>
  </si>
  <si>
    <t>03/16 16:58  PDT</t>
  </si>
  <si>
    <t>03/16 17:00:06  PDT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</si>
</sst>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10"/>
      <color theme="1"/>
      <name val="Arial"/>
      <family val="2"/>
    </font>
    <font>
      <u/>
      <sz val="10"/>
      <name val="Arial"/>
      <family val="2"/>
    </font>
    <font>
      <sz val="8"/>
      <color rgb="FF3E3E3E"/>
      <name val="Consolas"/>
      <family val="3"/>
    </font>
    <font>
      <b/>
      <sz val="10"/>
      <color rgb="FF009242"/>
      <name val="Arial"/>
      <family val="2"/>
    </font>
    <font>
      <sz val="10"/>
      <color rgb="FF009242"/>
      <name val="Arial"/>
      <family val="2"/>
    </font>
    <font>
      <b/>
      <sz val="10"/>
      <color rgb="FF2427AC"/>
      <name val="Arial"/>
      <family val="2"/>
    </font>
    <font>
      <sz val="10"/>
      <color rgb="FF2427AC"/>
      <name val="Arial"/>
      <family val="2"/>
    </font>
    <font>
      <sz val="10"/>
      <color rgb="FF000000"/>
      <name val="Arial"/>
      <family val="2"/>
    </font>
    <font>
      <u/>
      <sz val="10"/>
      <color theme="10"/>
      <name val="Arial"/>
      <family val="2"/>
    </font>
    <font>
      <u/>
      <sz val="8"/>
      <color rgb="FF009242"/>
      <name val="Arial"/>
      <family val="2"/>
    </font>
    <font>
      <sz val="8"/>
      <color rgb="FF009242"/>
      <name val="Arial"/>
      <family val="2"/>
    </font>
    <font>
      <b/>
      <sz val="11"/>
      <color theme="1"/>
      <name val="Calibri"/>
      <family val="2"/>
      <scheme val="minor"/>
    </font>
    <font>
      <sz val="10"/>
      <color theme="3"/>
      <name val="Arial"/>
      <family val="2"/>
    </font>
    <font>
      <b/>
      <sz val="10"/>
      <color theme="3"/>
      <name val="Arial"/>
      <family val="2"/>
    </font>
    <font>
      <sz val="12"/>
      <color rgb="FF1E1E1E"/>
      <name val="Segoe UI"/>
      <family val="2"/>
    </font>
    <font>
      <sz val="11"/>
      <color rgb="FF1E1E1E"/>
      <name val="Calibri"/>
      <family val="2"/>
      <scheme val="minor"/>
    </font>
    <font>
      <sz val="10"/>
      <name val="Arial"/>
      <family val="2"/>
    </font>
    <font>
      <sz val="10"/>
      <color theme="7" tint="-0.249977111117893"/>
      <name val="Arial"/>
      <family val="2"/>
    </font>
    <font>
      <sz val="11"/>
      <name val="Calibri"/>
      <family val="2"/>
      <scheme val="minor"/>
    </font>
    <font>
      <b/>
      <sz val="10"/>
      <color theme="0" tint="-0.249977111117893"/>
      <name val="Arial"/>
      <family val="2"/>
    </font>
    <font>
      <sz val="10"/>
      <color theme="0" tint="-0.249977111117893"/>
      <name val="Arial"/>
      <family val="2"/>
    </font>
    <font>
      <sz val="11"/>
      <color theme="8" tint="-0.249977111117893"/>
      <name val="Calibri"/>
      <family val="2"/>
      <scheme val="minor"/>
    </font>
    <font>
      <sz val="10"/>
      <color theme="1"/>
      <name val="Arial"/>
      <family val="2"/>
    </font>
    <font>
      <b/>
      <sz val="10"/>
      <color theme="0" tint="-0.14999847407452621"/>
      <name val="Arial"/>
      <family val="2"/>
    </font>
    <font>
      <sz val="10"/>
      <color theme="0" tint="-0.14999847407452621"/>
      <name val="Arial"/>
      <family val="2"/>
    </font>
    <font>
      <b/>
      <sz val="10"/>
      <color theme="1"/>
      <name val="Arial"/>
      <family val="2"/>
    </font>
    <font>
      <u/>
      <sz val="10"/>
      <color theme="1"/>
      <name val="Arial"/>
      <family val="2"/>
    </font>
    <font>
      <sz val="11"/>
      <color theme="9" tint="-0.249977111117893"/>
      <name val="Calibri"/>
      <family val="2"/>
      <scheme val="minor"/>
    </font>
    <font>
      <sz val="10"/>
      <color theme="9" tint="-0.249977111117893"/>
      <name val="Arial"/>
      <family val="2"/>
    </font>
    <font>
      <sz val="10"/>
      <color theme="6" tint="-0.249977111117893"/>
      <name val="Arial"/>
      <family val="2"/>
    </font>
    <font>
      <sz val="10"/>
      <color theme="5" tint="-0.249977111117893"/>
      <name val="Arial"/>
      <family val="2"/>
    </font>
    <font>
      <b/>
      <sz val="10"/>
      <color theme="0" tint="-0.499984740745262"/>
      <name val="Arial"/>
      <family val="2"/>
    </font>
    <font>
      <sz val="10"/>
      <color theme="0" tint="-0.499984740745262"/>
      <name val="Arial"/>
      <family val="2"/>
    </font>
  </fonts>
  <fills count="3">
    <fill>
      <patternFill patternType="none"/>
    </fill>
    <fill>
      <patternFill patternType="gray125"/>
    </fill>
    <fill>
      <patternFill patternType="solid">
        <fgColor rgb="FFFDE9D9"/>
        <bgColor rgb="FFFDE9D9"/>
      </patternFill>
    </fill>
  </fills>
  <borders count="17">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medium">
        <color rgb="FFCCCCCC"/>
      </left>
      <right style="medium">
        <color rgb="FFCCCCCC"/>
      </right>
      <top style="medium">
        <color rgb="FFCCCCCC"/>
      </top>
      <bottom style="medium">
        <color rgb="FFCCCCCC"/>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FABF8F"/>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s>
  <cellStyleXfs count="8">
    <xf numFmtId="0" fontId="0" fillId="0" borderId="0"/>
    <xf numFmtId="0" fontId="5" fillId="0" borderId="0"/>
    <xf numFmtId="0" fontId="16" fillId="0" borderId="0" applyNumberFormat="0" applyFill="0" applyBorder="0" applyAlignment="0" applyProtection="0"/>
    <xf numFmtId="0" fontId="3" fillId="0" borderId="0"/>
    <xf numFmtId="0" fontId="2" fillId="0" borderId="0"/>
    <xf numFmtId="0" fontId="24" fillId="0" borderId="0"/>
    <xf numFmtId="0" fontId="2" fillId="0" borderId="0"/>
    <xf numFmtId="0" fontId="2" fillId="0" borderId="0"/>
  </cellStyleXfs>
  <cellXfs count="100">
    <xf numFmtId="0" fontId="0" fillId="0" borderId="0" xfId="0"/>
    <xf numFmtId="0" fontId="6"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left" vertical="center" indent="1"/>
    </xf>
    <xf numFmtId="0" fontId="0" fillId="0" borderId="0" xfId="0" applyAlignment="1">
      <alignment horizontal="left" indent="1"/>
    </xf>
    <xf numFmtId="0" fontId="7" fillId="0" borderId="0" xfId="0" applyFont="1" applyAlignment="1">
      <alignment horizontal="left" vertical="center" indent="1"/>
    </xf>
    <xf numFmtId="0" fontId="6" fillId="0" borderId="0" xfId="0" applyFont="1"/>
    <xf numFmtId="0" fontId="6" fillId="0" borderId="0" xfId="0" applyFont="1" applyAlignment="1">
      <alignment horizontal="center"/>
    </xf>
    <xf numFmtId="0" fontId="5" fillId="0" borderId="0" xfId="1"/>
    <xf numFmtId="0" fontId="6" fillId="0" borderId="1" xfId="0" applyFont="1" applyBorder="1"/>
    <xf numFmtId="0" fontId="6" fillId="0" borderId="1" xfId="0" applyFont="1" applyBorder="1" applyAlignment="1">
      <alignment horizontal="center" vertical="center"/>
    </xf>
    <xf numFmtId="0" fontId="6" fillId="0" borderId="3" xfId="0" applyFont="1" applyBorder="1" applyAlignment="1">
      <alignment horizontal="center"/>
    </xf>
    <xf numFmtId="0" fontId="6" fillId="0" borderId="2" xfId="0" applyFont="1" applyBorder="1" applyAlignment="1">
      <alignment horizontal="center"/>
    </xf>
    <xf numFmtId="0" fontId="0" fillId="0" borderId="2" xfId="0" applyBorder="1" applyAlignment="1">
      <alignment horizontal="center"/>
    </xf>
    <xf numFmtId="0" fontId="9" fillId="0" borderId="0" xfId="0" applyFont="1"/>
    <xf numFmtId="0" fontId="10" fillId="0" borderId="8" xfId="0" applyFont="1" applyBorder="1" applyAlignment="1">
      <alignment horizontal="left" vertical="center"/>
    </xf>
    <xf numFmtId="0" fontId="6" fillId="0" borderId="1" xfId="0" applyFont="1" applyBorder="1" applyAlignment="1">
      <alignment horizontal="center"/>
    </xf>
    <xf numFmtId="0" fontId="7" fillId="0" borderId="0" xfId="0" applyFont="1" applyAlignment="1">
      <alignment horizontal="center"/>
    </xf>
    <xf numFmtId="0" fontId="7" fillId="0" borderId="0" xfId="0" applyFont="1"/>
    <xf numFmtId="0" fontId="6" fillId="0" borderId="1" xfId="0" applyFont="1" applyBorder="1" applyAlignment="1">
      <alignment horizontal="right"/>
    </xf>
    <xf numFmtId="0" fontId="7" fillId="0" borderId="0" xfId="0" applyFont="1" applyAlignment="1">
      <alignment horizontal="right"/>
    </xf>
    <xf numFmtId="0" fontId="0" fillId="0" borderId="1" xfId="0" applyBorder="1"/>
    <xf numFmtId="0" fontId="0" fillId="0" borderId="9" xfId="0" applyBorder="1"/>
    <xf numFmtId="0" fontId="0" fillId="0" borderId="10" xfId="0" applyBorder="1"/>
    <xf numFmtId="0" fontId="0" fillId="0" borderId="11" xfId="0" applyBorder="1"/>
    <xf numFmtId="0" fontId="0" fillId="0" borderId="6" xfId="0" applyBorder="1"/>
    <xf numFmtId="0" fontId="0" fillId="0" borderId="2" xfId="0" applyBorder="1"/>
    <xf numFmtId="0" fontId="0" fillId="0" borderId="7" xfId="0" applyBorder="1"/>
    <xf numFmtId="22" fontId="0" fillId="0" borderId="0" xfId="0" applyNumberFormat="1"/>
    <xf numFmtId="14" fontId="0" fillId="0" borderId="0" xfId="0" applyNumberFormat="1"/>
    <xf numFmtId="0" fontId="8" fillId="0" borderId="0" xfId="0" applyFont="1"/>
    <xf numFmtId="0" fontId="4" fillId="0" borderId="0" xfId="1" applyFont="1"/>
    <xf numFmtId="0" fontId="11" fillId="0" borderId="0" xfId="0" applyFont="1"/>
    <xf numFmtId="0" fontId="13" fillId="0" borderId="4" xfId="0" applyFont="1" applyBorder="1"/>
    <xf numFmtId="0" fontId="13" fillId="0" borderId="5" xfId="0" applyFont="1" applyBorder="1" applyAlignment="1">
      <alignment horizontal="center"/>
    </xf>
    <xf numFmtId="0" fontId="14" fillId="0" borderId="6" xfId="0" applyFont="1" applyBorder="1"/>
    <xf numFmtId="0" fontId="14" fillId="0" borderId="2" xfId="0" applyFont="1" applyBorder="1" applyAlignment="1">
      <alignment horizontal="center"/>
    </xf>
    <xf numFmtId="0" fontId="14" fillId="0" borderId="7" xfId="0" applyFont="1" applyBorder="1"/>
    <xf numFmtId="0" fontId="14" fillId="0" borderId="3" xfId="0" applyFont="1" applyBorder="1" applyAlignment="1">
      <alignment horizontal="center"/>
    </xf>
    <xf numFmtId="0" fontId="15" fillId="2" borderId="12" xfId="0" applyFont="1" applyFill="1" applyBorder="1"/>
    <xf numFmtId="0" fontId="7" fillId="0" borderId="0" xfId="0" applyFont="1" applyAlignment="1">
      <alignment horizontal="left" vertical="center"/>
    </xf>
    <xf numFmtId="0" fontId="17" fillId="0" borderId="0" xfId="0" applyFont="1" applyAlignment="1">
      <alignment horizontal="center"/>
    </xf>
    <xf numFmtId="0" fontId="18" fillId="0" borderId="0" xfId="0" applyFont="1" applyAlignment="1">
      <alignment horizontal="center"/>
    </xf>
    <xf numFmtId="0" fontId="12" fillId="0" borderId="0" xfId="0" applyFont="1" applyAlignment="1">
      <alignment horizontal="center"/>
    </xf>
    <xf numFmtId="0" fontId="22" fillId="0" borderId="0" xfId="0" applyFont="1"/>
    <xf numFmtId="0" fontId="23" fillId="0" borderId="0" xfId="0" applyFont="1"/>
    <xf numFmtId="0" fontId="24" fillId="0" borderId="0" xfId="5"/>
    <xf numFmtId="0" fontId="24" fillId="0" borderId="0" xfId="5" applyAlignment="1">
      <alignment horizontal="center"/>
    </xf>
    <xf numFmtId="0" fontId="21" fillId="0" borderId="0" xfId="0" applyFont="1" applyAlignment="1">
      <alignment horizontal="left" indent="1"/>
    </xf>
    <xf numFmtId="0" fontId="13" fillId="0" borderId="4" xfId="0" applyFont="1" applyBorder="1" applyAlignment="1">
      <alignment horizontal="left" indent="1"/>
    </xf>
    <xf numFmtId="0" fontId="13" fillId="0" borderId="13" xfId="0" applyFont="1" applyBorder="1" applyAlignment="1">
      <alignment horizontal="center"/>
    </xf>
    <xf numFmtId="0" fontId="14" fillId="0" borderId="6" xfId="0" applyFont="1" applyBorder="1" applyAlignment="1">
      <alignment horizontal="left" indent="1"/>
    </xf>
    <xf numFmtId="0" fontId="14" fillId="0" borderId="14" xfId="0" applyFont="1" applyBorder="1" applyAlignment="1">
      <alignment horizontal="center"/>
    </xf>
    <xf numFmtId="0" fontId="14" fillId="0" borderId="15" xfId="0" applyFont="1" applyBorder="1" applyAlignment="1">
      <alignment horizontal="center"/>
    </xf>
    <xf numFmtId="0" fontId="16" fillId="0" borderId="0" xfId="2" applyFill="1" applyAlignment="1">
      <alignment horizontal="left" indent="1"/>
    </xf>
    <xf numFmtId="0" fontId="20" fillId="0" borderId="0" xfId="0" applyFont="1" applyAlignment="1">
      <alignment horizontal="left" indent="1"/>
    </xf>
    <xf numFmtId="22" fontId="25" fillId="0" borderId="0" xfId="0" applyNumberFormat="1" applyFont="1" applyAlignment="1">
      <alignment horizontal="left" indent="1"/>
    </xf>
    <xf numFmtId="0" fontId="19" fillId="0" borderId="0" xfId="3" applyFont="1"/>
    <xf numFmtId="0" fontId="20" fillId="0" borderId="6" xfId="0" applyFont="1" applyBorder="1" applyAlignment="1">
      <alignment horizontal="left" indent="1"/>
    </xf>
    <xf numFmtId="0" fontId="20" fillId="0" borderId="14" xfId="0" applyFont="1" applyBorder="1" applyAlignment="1">
      <alignment horizontal="center"/>
    </xf>
    <xf numFmtId="0" fontId="7" fillId="0" borderId="2" xfId="0" applyFont="1" applyBorder="1" applyAlignment="1">
      <alignment horizontal="center"/>
    </xf>
    <xf numFmtId="0" fontId="0" fillId="0" borderId="14" xfId="0" applyBorder="1" applyAlignment="1">
      <alignment horizontal="center"/>
    </xf>
    <xf numFmtId="0" fontId="20" fillId="0" borderId="15" xfId="0" applyFont="1" applyBorder="1" applyAlignment="1">
      <alignment horizontal="left" indent="1"/>
    </xf>
    <xf numFmtId="0" fontId="0" fillId="0" borderId="15" xfId="0" applyBorder="1" applyAlignment="1">
      <alignment horizontal="center"/>
    </xf>
    <xf numFmtId="0" fontId="26" fillId="0" borderId="0" xfId="1" applyFont="1"/>
    <xf numFmtId="0" fontId="1" fillId="0" borderId="0" xfId="1" applyFont="1"/>
    <xf numFmtId="0" fontId="0" fillId="0" borderId="12" xfId="0" applyBorder="1"/>
    <xf numFmtId="0" fontId="27" fillId="0" borderId="13" xfId="0" applyFont="1" applyBorder="1" applyAlignment="1">
      <alignment horizontal="center"/>
    </xf>
    <xf numFmtId="0" fontId="28" fillId="0" borderId="2" xfId="0" applyFont="1" applyBorder="1" applyAlignment="1">
      <alignment horizontal="center"/>
    </xf>
    <xf numFmtId="0" fontId="29" fillId="0" borderId="0" xfId="1" applyFont="1"/>
    <xf numFmtId="0" fontId="0" fillId="0" borderId="0" xfId="0" applyAlignment="1">
      <alignment horizontal="left" vertical="center"/>
    </xf>
    <xf numFmtId="0" fontId="30" fillId="0" borderId="16" xfId="0" applyFont="1" applyBorder="1"/>
    <xf numFmtId="0" fontId="31" fillId="0" borderId="13" xfId="0" applyFont="1" applyBorder="1" applyAlignment="1">
      <alignment horizontal="center"/>
    </xf>
    <xf numFmtId="0" fontId="32" fillId="0" borderId="2" xfId="0" applyFont="1" applyBorder="1" applyAlignment="1">
      <alignment horizontal="center"/>
    </xf>
    <xf numFmtId="0" fontId="33" fillId="0" borderId="0" xfId="3" applyFont="1"/>
    <xf numFmtId="0" fontId="8" fillId="0" borderId="0" xfId="1" applyFont="1"/>
    <xf numFmtId="0" fontId="7" fillId="0" borderId="0" xfId="0" applyFont="1" applyAlignment="1">
      <alignment horizontal="center" vertical="center"/>
    </xf>
    <xf numFmtId="0" fontId="34" fillId="0" borderId="0" xfId="1" applyFont="1"/>
    <xf numFmtId="0" fontId="12" fillId="0" borderId="14" xfId="0" applyFont="1" applyBorder="1" applyAlignment="1">
      <alignment horizontal="center"/>
    </xf>
    <xf numFmtId="0" fontId="12" fillId="0" borderId="15" xfId="0" applyFont="1" applyBorder="1" applyAlignment="1">
      <alignment horizontal="center"/>
    </xf>
    <xf numFmtId="0" fontId="11" fillId="0" borderId="0" xfId="0" applyFont="1" applyAlignment="1">
      <alignment horizontal="center"/>
    </xf>
    <xf numFmtId="0" fontId="7" fillId="0" borderId="14" xfId="0" applyFont="1" applyBorder="1" applyAlignment="1">
      <alignment horizontal="center"/>
    </xf>
    <xf numFmtId="0" fontId="7" fillId="0" borderId="15" xfId="0" applyFont="1" applyBorder="1" applyAlignment="1">
      <alignment horizontal="center"/>
    </xf>
    <xf numFmtId="0" fontId="7" fillId="0" borderId="0" xfId="5" applyFont="1" applyAlignment="1">
      <alignment horizontal="center"/>
    </xf>
    <xf numFmtId="0" fontId="7" fillId="0" borderId="1" xfId="0" applyFont="1" applyBorder="1"/>
    <xf numFmtId="0" fontId="20" fillId="0" borderId="0" xfId="0" applyFont="1" applyAlignment="1">
      <alignment horizontal="right"/>
    </xf>
    <xf numFmtId="0" fontId="20" fillId="0" borderId="0" xfId="0" applyFont="1"/>
    <xf numFmtId="0" fontId="16" fillId="0" borderId="0" xfId="2" applyFill="1" applyAlignment="1"/>
    <xf numFmtId="22" fontId="25" fillId="0" borderId="0" xfId="0" applyNumberFormat="1" applyFont="1"/>
    <xf numFmtId="0" fontId="15" fillId="2" borderId="0" xfId="0" applyFont="1" applyFill="1"/>
    <xf numFmtId="0" fontId="7" fillId="0" borderId="12" xfId="0" applyFont="1" applyBorder="1"/>
    <xf numFmtId="0" fontId="0" fillId="0" borderId="3" xfId="0" applyBorder="1" applyAlignment="1">
      <alignment horizontal="center"/>
    </xf>
    <xf numFmtId="0" fontId="35" fillId="0" borderId="0" xfId="1" applyFont="1"/>
    <xf numFmtId="0" fontId="36" fillId="0" borderId="0" xfId="0" applyFont="1"/>
    <xf numFmtId="0" fontId="20" fillId="0" borderId="7" xfId="0" applyFont="1" applyBorder="1" applyAlignment="1">
      <alignment horizontal="left" indent="1"/>
    </xf>
    <xf numFmtId="0" fontId="37" fillId="0" borderId="2" xfId="0" applyFont="1" applyBorder="1" applyAlignment="1">
      <alignment horizontal="center"/>
    </xf>
    <xf numFmtId="0" fontId="38" fillId="0" borderId="2" xfId="0" applyFont="1" applyBorder="1" applyAlignment="1">
      <alignment horizontal="center"/>
    </xf>
    <xf numFmtId="0" fontId="39" fillId="0" borderId="13" xfId="0" applyFont="1" applyBorder="1" applyAlignment="1">
      <alignment horizontal="center"/>
    </xf>
    <xf numFmtId="0" fontId="40" fillId="0" borderId="2" xfId="0" applyFont="1" applyBorder="1" applyAlignment="1">
      <alignment horizontal="center"/>
    </xf>
  </cellXfs>
  <cellStyles count="8">
    <cellStyle name="Hyperlink" xfId="2" builtinId="8"/>
    <cellStyle name="Normal" xfId="0" builtinId="0"/>
    <cellStyle name="Normal 2" xfId="1" xr:uid="{C96B9888-DF55-4E8C-81B6-F6AF04E5E778}"/>
    <cellStyle name="Normal 2 2" xfId="6" xr:uid="{4A629A88-DE4C-4A16-BC50-9E5C764FDB3C}"/>
    <cellStyle name="Normal 3" xfId="3" xr:uid="{0368A3F2-7E15-40FA-A20F-5D2836803A48}"/>
    <cellStyle name="Normal 3 2" xfId="7" xr:uid="{98981443-754E-4F1B-AB74-209C9583116C}"/>
    <cellStyle name="Normal 4" xfId="5" xr:uid="{75611851-4DDA-42BB-B4E2-9953BF11C261}"/>
    <cellStyle name="Normal 5" xfId="4" xr:uid="{5C1EF1C6-29A4-43D0-81D3-887D1A7F3544}"/>
  </cellStyles>
  <dxfs count="156">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numFmt numFmtId="0" formatCode="General"/>
    </dxf>
    <dxf>
      <numFmt numFmtId="0" formatCode="General"/>
    </dxf>
    <dxf>
      <numFmt numFmtId="0" formatCode="Genera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0" tint="-0.34998626667073579"/>
      </font>
    </dxf>
    <dxf>
      <font>
        <color theme="0"/>
      </font>
    </dxf>
    <dxf>
      <font>
        <color theme="0" tint="-0.34998626667073579"/>
      </font>
    </dxf>
    <dxf>
      <font>
        <color theme="0"/>
      </font>
    </dxf>
    <dxf>
      <font>
        <color theme="0" tint="-0.34998626667073579"/>
      </font>
    </dxf>
    <dxf>
      <font>
        <color theme="0"/>
      </font>
    </dxf>
    <dxf>
      <numFmt numFmtId="0" formatCode="General"/>
    </dxf>
    <dxf>
      <font>
        <b val="0"/>
        <i val="0"/>
        <strike val="0"/>
        <condense val="0"/>
        <extend val="0"/>
        <outline val="0"/>
        <shadow val="0"/>
        <u val="none"/>
        <vertAlign val="baseline"/>
        <sz val="10"/>
        <color rgb="FF000000"/>
        <name val="Arial"/>
        <family val="2"/>
        <scheme val="none"/>
      </font>
      <fill>
        <patternFill patternType="solid">
          <fgColor rgb="FFFDE9D9"/>
          <bgColor rgb="FFFDE9D9"/>
        </patternFill>
      </fill>
      <border diagonalUp="0" diagonalDown="0">
        <left style="thin">
          <color rgb="FFFABF8F"/>
        </left>
        <right/>
        <top/>
        <bottom/>
        <vertical/>
        <horizontal/>
      </border>
    </dxf>
    <dxf>
      <alignment horizontal="center" vertical="bottom" textRotation="0" wrapText="0" indent="0" justifyLastLine="0" shrinkToFit="0" readingOrder="0"/>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0" tint="-0.34998626667073579"/>
      </font>
    </dxf>
    <dxf>
      <font>
        <color theme="0"/>
      </font>
    </dxf>
    <dxf>
      <font>
        <color theme="0" tint="-0.34998626667073579"/>
      </font>
    </dxf>
    <dxf>
      <font>
        <color theme="0"/>
      </font>
    </dxf>
    <dxf>
      <font>
        <color theme="0" tint="-0.34998626667073579"/>
      </font>
    </dxf>
    <dxf>
      <font>
        <color theme="0"/>
      </font>
    </dxf>
  </dxfs>
  <tableStyles count="0" defaultTableStyle="TableStyleMedium9" defaultPivotStyle="PivotStyleLight16"/>
  <colors>
    <mruColors>
      <color rgb="FFF2F6EA"/>
      <color rgb="FFD3F7D1"/>
      <color rgb="FF009242"/>
      <color rgb="FF2427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6" xr16:uid="{A4DC47F9-3782-4E2A-A33E-333AEA27C376}" autoFormatId="16" applyNumberFormats="0" applyBorderFormats="0" applyFontFormats="0" applyPatternFormats="0" applyAlignmentFormats="0" applyWidthHeightFormats="0">
  <queryTableRefresh nextId="3">
    <queryTableFields count="2">
      <queryTableField id="1" name="Player" tableColumnId="1"/>
      <queryTableField id="2" name=" Scor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819D0B54-67CC-4520-9DC0-4BEACDA9BEF3}"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E85B61DA-BBDE-4CA3-B674-4488C3777D9D}" autoFormatId="16" applyNumberFormats="0" applyBorderFormats="0" applyFontFormats="0" applyPatternFormats="0" applyAlignmentFormats="0" applyWidthHeightFormats="0">
  <queryTableRefresh nextId="3">
    <queryTableFields count="2">
      <queryTableField id="1" name="PLAYER" tableColumnId="1"/>
      <queryTableField id="2" name="SCORE"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4242829D-8DB3-4A67-B911-C60ACCBD937B}" autoFormatId="16" applyNumberFormats="0" applyBorderFormats="0" applyFontFormats="0" applyPatternFormats="0" applyAlignmentFormats="0" applyWidthHeightFormats="0">
  <queryTableRefresh nextId="2">
    <queryTableFields count="1">
      <queryTableField id="1" name="PLAY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5" xr16:uid="{26977862-7687-4D3C-9EAE-8A0EFD6C51F0}" autoFormatId="16" applyNumberFormats="0" applyBorderFormats="0" applyFontFormats="0" applyPatternFormats="0" applyAlignmentFormats="0" applyWidthHeightFormats="0">
  <queryTableRefresh nextId="31">
    <queryTableFields count="30">
      <queryTableField id="1" name="rankingsList.id" tableColumnId="1"/>
      <queryTableField id="2" name="rankingsList.rank" tableColumnId="2"/>
      <queryTableField id="3" name="rankingsList.player.id" tableColumnId="3"/>
      <queryTableField id="4" name="rankingsList.player.firstName" tableColumnId="4"/>
      <queryTableField id="5" name="rankingsList.player.lastName" tableColumnId="5"/>
      <queryTableField id="6" name="rankingsList.player.fullName" tableColumnId="6"/>
      <queryTableField id="7" name="rankingsList.player.birthDate" tableColumnId="7"/>
      <queryTableField id="8" name="rankingsList.player.gender" tableColumnId="8"/>
      <queryTableField id="9" name="rankingsList.player.isAmateur" tableColumnId="9"/>
      <queryTableField id="10" name="rankingsList.player.country.id" tableColumnId="10"/>
      <queryTableField id="11" name="rankingsList.player.country.name" tableColumnId="11"/>
      <queryTableField id="12" name="rankingsList.player.country.iocCode" tableColumnId="12"/>
      <queryTableField id="13" name="rankingsList.player.country.code2" tableColumnId="13"/>
      <queryTableField id="14" name="rankingsList.player.country.code3" tableColumnId="14"/>
      <queryTableField id="15" name="rankingsList.player.country.region.id" tableColumnId="15"/>
      <queryTableField id="16" name="rankingsList.player.country.region.name" tableColumnId="16"/>
      <queryTableField id="17" name="rankingsList.player.country.region.code" tableColumnId="17"/>
      <queryTableField id="18" name="rankingsList.isTied" tableColumnId="18"/>
      <queryTableField id="19" name="rankingsList.pointsLost" tableColumnId="19"/>
      <queryTableField id="20" name="rankingsList.pointsWon" tableColumnId="20"/>
      <queryTableField id="21" name="rankingsList.pointsTotal" tableColumnId="21"/>
      <queryTableField id="22" name="rankingsList.pointsAverage" tableColumnId="22"/>
      <queryTableField id="23" name="rankingsList.divisorActual" tableColumnId="23"/>
      <queryTableField id="24" name="rankingsList.divisorApplied" tableColumnId="24"/>
      <queryTableField id="25" name="rankingsList.endLastYearRank" tableColumnId="25"/>
      <queryTableField id="26" name="rankingsList.lastWeekRank" tableColumnId="26"/>
      <queryTableField id="27" name="rankingsList.weekNumber" tableColumnId="27"/>
      <queryTableField id="28" name="rankingsList.weekEndDate" tableColumnId="28"/>
      <queryTableField id="29" name="totalNumberOfPages" tableColumnId="29"/>
      <queryTableField id="30" name="totalNumberOfRankings" tableColumnId="3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12A31F-5DCD-4D5E-A89E-972BDFC1107D}" name="scores" displayName="scores" ref="A1:B157" tableType="queryTable" totalsRowShown="0">
  <autoFilter ref="A1:B157" xr:uid="{C612A31F-5DCD-4D5E-A89E-972BDFC1107D}"/>
  <tableColumns count="2">
    <tableColumn id="1" xr3:uid="{766220BD-4123-4242-A550-A72F12A0BE8C}" uniqueName="1" name="Player" queryTableFieldId="1"/>
    <tableColumn id="2" xr3:uid="{DE4C64FD-E018-49D6-9596-2E0A316B42E9}" uniqueName="2" name=" Score" queryTableFieldId="2" dataDxfId="11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108EF1B-ABDE-4666-B3B9-F7C5E97C74F5}" name="field" displayName="field" ref="A1:B157" tableType="queryTable" totalsRowShown="0">
  <autoFilter ref="A1:B157" xr:uid="{8108EF1B-ABDE-4666-B3B9-F7C5E97C74F5}"/>
  <tableColumns count="2">
    <tableColumn id="1" xr3:uid="{EF9F3447-FB85-4467-8684-44A122DA12E4}" uniqueName="1" name="Column1" queryTableFieldId="1" dataDxfId="114"/>
    <tableColumn id="2" xr3:uid="{3965B08D-83F8-4556-9971-2A1084195D1D}" uniqueName="2" name="Column2" queryTableFieldId="2" dataDxfId="11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FA44A03-F476-4E6C-8A27-268CC839B45B}" name="ESPNScores" displayName="ESPNScores" ref="A1:B146" tableType="queryTable" totalsRowShown="0">
  <autoFilter ref="A1:B146" xr:uid="{3FA44A03-F476-4E6C-8A27-268CC839B45B}"/>
  <tableColumns count="2">
    <tableColumn id="1" xr3:uid="{F368ED02-A2E2-4EBA-B473-316CA26B63BE}" uniqueName="1" name="PLAYER" queryTableFieldId="1" dataDxfId="71"/>
    <tableColumn id="2" xr3:uid="{5709B8D3-7A00-4A7B-BF33-559A2A507587}" uniqueName="2" name="SCORE" queryTableFieldId="2" dataDxfId="7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1FDEAC9-2522-4BD0-AB47-0952C9C5B6F6}" name="ESPNField" displayName="ESPNField" ref="A1:A145" tableType="queryTable" totalsRowShown="0">
  <autoFilter ref="A1:A145" xr:uid="{D1FDEAC9-2522-4BD0-AB47-0952C9C5B6F6}"/>
  <tableColumns count="1">
    <tableColumn id="1" xr3:uid="{BF1FB255-BD7A-44D0-89B1-46B9AD10D3D5}" uniqueName="1" name="PLAYER" queryTableFieldId="1" dataDxfId="69"/>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9E4E5FC-302F-41C5-87F4-D084CFFA7B15}" name="OWGR" displayName="OWGR" ref="A1:AD101" tableType="queryTable" totalsRowShown="0">
  <autoFilter ref="A1:AD101" xr:uid="{D9E4E5FC-302F-41C5-87F4-D084CFFA7B15}"/>
  <sortState xmlns:xlrd2="http://schemas.microsoft.com/office/spreadsheetml/2017/richdata2" ref="A2:AD101">
    <sortCondition ref="Z1:Z101"/>
  </sortState>
  <tableColumns count="30">
    <tableColumn id="1" xr3:uid="{BF81506F-E490-4792-8286-D153F15E413C}" uniqueName="1" name="rankingsList.id" queryTableFieldId="1"/>
    <tableColumn id="2" xr3:uid="{63C93A57-5AEE-4914-8FD6-5645E92B4F49}" uniqueName="2" name="rankingsList.rank" queryTableFieldId="2"/>
    <tableColumn id="3" xr3:uid="{AE227571-A893-443A-9086-AB3CC92E2D44}" uniqueName="3" name="rankingsList.player.id" queryTableFieldId="3"/>
    <tableColumn id="4" xr3:uid="{C66564F4-109A-4098-9460-3EA147EFDA7A}" uniqueName="4" name="rankingsList.player.firstName" queryTableFieldId="4" dataDxfId="11"/>
    <tableColumn id="5" xr3:uid="{40CC773B-28F0-4B07-8B07-E23906AA2DB0}" uniqueName="5" name="rankingsList.player.lastName" queryTableFieldId="5" dataDxfId="10"/>
    <tableColumn id="6" xr3:uid="{121855A6-E668-46C3-BDDE-F1EAD344EAE5}" uniqueName="6" name="rankingsList.player.fullName" queryTableFieldId="6" dataDxfId="9"/>
    <tableColumn id="7" xr3:uid="{0693AAE6-8CE6-4941-8F30-2B24DBE7CAC1}" uniqueName="7" name="rankingsList.player.birthDate" queryTableFieldId="7" dataDxfId="8"/>
    <tableColumn id="8" xr3:uid="{26DB0F46-963B-4B6A-810B-CC0A4A0409F9}" uniqueName="8" name="rankingsList.player.gender" queryTableFieldId="8" dataDxfId="7"/>
    <tableColumn id="9" xr3:uid="{1EB00429-8634-4F87-ABDE-4824F110C84C}" uniqueName="9" name="rankingsList.player.isAmateur" queryTableFieldId="9"/>
    <tableColumn id="10" xr3:uid="{55D24D74-A5D4-4C6D-9924-A5BD4DBB80CB}" uniqueName="10" name="rankingsList.player.country.id" queryTableFieldId="10"/>
    <tableColumn id="11" xr3:uid="{717B6F55-8677-45B3-9107-ECDE8AE5F48E}" uniqueName="11" name="rankingsList.player.country.name" queryTableFieldId="11" dataDxfId="6"/>
    <tableColumn id="12" xr3:uid="{D4C3DDA0-8929-44A8-8479-BBBFC7D25C40}" uniqueName="12" name="rankingsList.player.country.iocCode" queryTableFieldId="12" dataDxfId="5"/>
    <tableColumn id="13" xr3:uid="{83D2401C-C058-41E4-B44F-1C04D4D22C88}" uniqueName="13" name="rankingsList.player.country.code2" queryTableFieldId="13" dataDxfId="4"/>
    <tableColumn id="14" xr3:uid="{D8A6D060-21CE-4854-AE03-A602BDF8D6E7}" uniqueName="14" name="rankingsList.player.country.code3" queryTableFieldId="14" dataDxfId="3"/>
    <tableColumn id="15" xr3:uid="{7F2C582D-EDFC-43A5-8A61-222CC9635AE5}" uniqueName="15" name="rankingsList.player.country.region.id" queryTableFieldId="15"/>
    <tableColumn id="16" xr3:uid="{8F5328E2-1F31-43D2-9BBB-FB902530ADB2}" uniqueName="16" name="rankingsList.player.country.region.name" queryTableFieldId="16" dataDxfId="2"/>
    <tableColumn id="17" xr3:uid="{1E269EDC-BE14-4789-8E5B-A9EE2E822376}" uniqueName="17" name="rankingsList.player.country.region.code" queryTableFieldId="17" dataDxfId="1"/>
    <tableColumn id="18" xr3:uid="{30C9574C-82DA-4143-9260-5F8E3754B4BB}" uniqueName="18" name="rankingsList.isTied" queryTableFieldId="18"/>
    <tableColumn id="19" xr3:uid="{30944BD0-06BD-4BA7-BE8A-ED4B3FDC11DB}" uniqueName="19" name="rankingsList.pointsLost" queryTableFieldId="19"/>
    <tableColumn id="20" xr3:uid="{12690200-B1A7-4AD2-AFC0-0C6FBB7F0E33}" uniqueName="20" name="rankingsList.pointsWon" queryTableFieldId="20"/>
    <tableColumn id="21" xr3:uid="{2FEF90D9-5DB9-4E21-9B07-A6ADCD0A1953}" uniqueName="21" name="rankingsList.pointsTotal" queryTableFieldId="21"/>
    <tableColumn id="22" xr3:uid="{D709E614-F0AC-48A4-B858-FF92B2858372}" uniqueName="22" name="rankingsList.pointsAverage" queryTableFieldId="22"/>
    <tableColumn id="23" xr3:uid="{E5926E91-1BF8-40C8-9BA6-9C1312C6651B}" uniqueName="23" name="rankingsList.divisorActual" queryTableFieldId="23"/>
    <tableColumn id="24" xr3:uid="{6A34AACF-F4BE-4752-A68B-2AA998B424F3}" uniqueName="24" name="rankingsList.divisorApplied" queryTableFieldId="24"/>
    <tableColumn id="25" xr3:uid="{4FA8E3D2-657D-4AED-95EB-15D08A1EA059}" uniqueName="25" name="rankingsList.endLastYearRank" queryTableFieldId="25"/>
    <tableColumn id="26" xr3:uid="{1B34D028-013F-4B2D-8DE3-EF58172DDEA8}" uniqueName="26" name="rankingsList.lastWeekRank" queryTableFieldId="26"/>
    <tableColumn id="27" xr3:uid="{85C6E98E-C28C-49FA-A045-7EA4D5C97113}" uniqueName="27" name="rankingsList.weekNumber" queryTableFieldId="27"/>
    <tableColumn id="28" xr3:uid="{6E0250D4-8E71-4928-BDA1-4CC82A77EA19}" uniqueName="28" name="rankingsList.weekEndDate" queryTableFieldId="28" dataDxfId="0"/>
    <tableColumn id="29" xr3:uid="{56B1E180-36B1-4415-B5D6-A5B1D8C78CC4}" uniqueName="29" name="totalNumberOfPages" queryTableFieldId="29"/>
    <tableColumn id="30" xr3:uid="{FAA0FE0A-2BDA-4C7D-A0DF-58AE00728883}" uniqueName="30" name="totalNumberOfRankings" queryTableFieldId="3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pgatour.com/leaderboard" TargetMode="External"/><Relationship Id="rId1" Type="http://schemas.openxmlformats.org/officeDocument/2006/relationships/hyperlink" Target="https://pgatour.com/leaderboard"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pgatour.com/leaderboard" TargetMode="External"/><Relationship Id="rId1" Type="http://schemas.openxmlformats.org/officeDocument/2006/relationships/hyperlink" Target="https://pgatour.com/leaderboard"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24A16-0E6C-485E-8FFE-68E4888BBE27}">
  <sheetPr codeName="Sheet1"/>
  <dimension ref="A1:AA83"/>
  <sheetViews>
    <sheetView zoomScaleNormal="100" workbookViewId="0"/>
  </sheetViews>
  <sheetFormatPr defaultColWidth="8.5703125" defaultRowHeight="12.75" x14ac:dyDescent="0.2"/>
  <cols>
    <col min="1" max="1" width="5.28515625" customWidth="1"/>
    <col min="2" max="2" width="18.28515625" customWidth="1"/>
    <col min="3" max="3" width="5.140625" style="3" customWidth="1"/>
    <col min="4" max="4" width="6" style="3" customWidth="1"/>
    <col min="5" max="5" width="8.5703125" style="3"/>
    <col min="6" max="6" width="17.85546875" bestFit="1" customWidth="1"/>
    <col min="7" max="7" width="8.5703125" style="2" customWidth="1"/>
    <col min="8" max="8" width="19.5703125" bestFit="1" customWidth="1"/>
    <col min="9" max="9" width="8.5703125" style="2"/>
    <col min="10" max="10" width="17.85546875" bestFit="1" customWidth="1"/>
    <col min="11" max="11" width="8.5703125" style="2"/>
    <col min="12" max="12" width="17.85546875" bestFit="1" customWidth="1"/>
    <col min="13" max="13" width="8.5703125" style="2"/>
    <col min="14" max="14" width="16.28515625" bestFit="1" customWidth="1"/>
    <col min="15" max="15" width="8.5703125" style="2"/>
    <col min="16" max="16" width="17.85546875" bestFit="1" customWidth="1"/>
    <col min="17" max="17" width="8.5703125" style="2"/>
    <col min="18" max="18" width="17.85546875" bestFit="1" customWidth="1"/>
    <col min="19" max="19" width="8.5703125" style="2"/>
    <col min="20" max="20" width="16.42578125" bestFit="1" customWidth="1"/>
    <col min="21" max="21" width="8.5703125" style="3"/>
    <col min="22" max="22" width="19.42578125" customWidth="1"/>
    <col min="23" max="23" width="8.5703125" style="3"/>
  </cols>
  <sheetData>
    <row r="1" spans="1:24" x14ac:dyDescent="0.2">
      <c r="A1" s="15" t="s">
        <v>345</v>
      </c>
      <c r="B1" s="49" t="s">
        <v>375</v>
      </c>
      <c r="E1" s="8"/>
    </row>
    <row r="2" spans="1:24" s="7" customFormat="1" x14ac:dyDescent="0.2">
      <c r="B2" s="50" t="s">
        <v>1</v>
      </c>
      <c r="C2" s="51"/>
      <c r="D2" s="51" t="s">
        <v>303</v>
      </c>
      <c r="E2" s="12"/>
      <c r="F2" s="10" t="s">
        <v>2</v>
      </c>
      <c r="G2" s="11" t="e">
        <f>SMALL(G3:G12,1)+SMALL(G3:G12,2)+SMALL(G3:G12,3)+SMALL(G3:G12,4)+SMALL(G3:G12,5)</f>
        <v>#N/A</v>
      </c>
      <c r="H2" s="10" t="s">
        <v>3</v>
      </c>
      <c r="I2" s="11" t="e">
        <f>SMALL(I3:I12,1)+SMALL(I3:I12,2)+SMALL(I3:I12,3)+SMALL(I3:I12,4)+SMALL(I3:I12,5)</f>
        <v>#N/A</v>
      </c>
      <c r="J2" s="10" t="s">
        <v>4</v>
      </c>
      <c r="K2" s="11" t="e">
        <f>SMALL(K3:K12,1)+SMALL(K3:K12,2)+SMALL(K3:K12,3)+SMALL(K3:K12,4)+SMALL(K3:K12,5)</f>
        <v>#N/A</v>
      </c>
      <c r="L2" s="10" t="s">
        <v>5</v>
      </c>
      <c r="M2" s="11" t="e">
        <f>SMALL(M3:M12,1)+SMALL(M3:M12,2)+SMALL(M3:M12,3)+SMALL(M3:M12,4)+SMALL(M3:M12,5)</f>
        <v>#N/A</v>
      </c>
      <c r="N2" s="10" t="s">
        <v>6</v>
      </c>
      <c r="O2" s="11" t="e">
        <f>SMALL(O3:O12,1)+SMALL(O3:O12,2)+SMALL(O3:O12,3)+SMALL(O3:O12,4)+SMALL(O3:O12,5)</f>
        <v>#N/A</v>
      </c>
      <c r="P2" s="10" t="s">
        <v>7</v>
      </c>
      <c r="Q2" s="11" t="e">
        <f>SMALL(Q3:Q12,1)+SMALL(Q3:Q12,2)+SMALL(Q3:Q12,3)+SMALL(Q3:Q12,4)+SMALL(Q3:Q12,5)</f>
        <v>#N/A</v>
      </c>
      <c r="R2" s="10" t="s">
        <v>17</v>
      </c>
      <c r="S2" s="11" t="e">
        <f>SMALL(S3:S12,1)+SMALL(S3:S12,2)+SMALL(S3:S12,3)+SMALL(S3:S12,4)+SMALL(S3:S12,5)</f>
        <v>#N/A</v>
      </c>
      <c r="T2" s="10" t="s">
        <v>8</v>
      </c>
      <c r="U2" s="11" t="e">
        <f>SMALL(U3:U12,1)+SMALL(U3:U12,2)+SMALL(U3:U12,3)+SMALL(U3:U12,4)+SMALL(U3:U12,5)</f>
        <v>#N/A</v>
      </c>
      <c r="W2" s="10" t="s">
        <v>400</v>
      </c>
      <c r="X2" s="11" t="e">
        <f>SMALL(X3:X12,1)+SMALL(X3:X12,2)+SMALL(X3:X12,3)+SMALL(X3:X12,4)+SMALL(X3:X12,5)</f>
        <v>#N/A</v>
      </c>
    </row>
    <row r="3" spans="1:24" ht="15" x14ac:dyDescent="0.25">
      <c r="B3" s="52" t="str" cm="1">
        <f t="array" ref="B3:C24">TRANSPOSE(_xlfn._xlws.SORT(F50:AA51,2,1,TRUE))</f>
        <v>Joe Magnetico</v>
      </c>
      <c r="C3" s="53" t="e">
        <v>#N/A</v>
      </c>
      <c r="D3" s="37">
        <f>HLOOKUP(B3,$F$50:$AA$52,3,)</f>
        <v>0</v>
      </c>
      <c r="E3" s="13">
        <v>1</v>
      </c>
      <c r="F3" s="9"/>
      <c r="G3" s="3" t="e">
        <f>VLOOKUP(F3,Scores!$A$2:$B$217,2,FALSE)</f>
        <v>#N/A</v>
      </c>
      <c r="H3" s="9"/>
      <c r="I3" s="3" t="e">
        <f>VLOOKUP(H3,Scores!$A$2:$B$217,2,FALSE)</f>
        <v>#N/A</v>
      </c>
      <c r="J3" s="9"/>
      <c r="K3" s="3" t="e">
        <f>VLOOKUP(J3,Scores!$A$2:$B$217,2,FALSE)</f>
        <v>#N/A</v>
      </c>
      <c r="L3" s="9"/>
      <c r="M3" s="3" t="e">
        <f>VLOOKUP(L3,Scores!$A$2:$B$217,2,FALSE)</f>
        <v>#N/A</v>
      </c>
      <c r="O3" s="3" t="e">
        <f>VLOOKUP(N3,Scores!$A$2:$B$217,2,FALSE)</f>
        <v>#N/A</v>
      </c>
      <c r="P3" s="9"/>
      <c r="Q3" s="3" t="e">
        <f>VLOOKUP(P3,Scores!$A$2:$B$217,2,FALSE)</f>
        <v>#N/A</v>
      </c>
      <c r="S3" s="3" t="e">
        <f>VLOOKUP(R3,Scores!$A$2:$B$217,2,FALSE)</f>
        <v>#N/A</v>
      </c>
      <c r="T3" s="9"/>
      <c r="U3" s="3" t="e">
        <f>VLOOKUP(T3,Scores!$A$2:$B$217,2,FALSE)</f>
        <v>#N/A</v>
      </c>
      <c r="W3" s="9"/>
      <c r="X3" s="3" t="e">
        <f>VLOOKUP(W3,Scores!$A$2:$B$217,2,FALSE)</f>
        <v>#N/A</v>
      </c>
    </row>
    <row r="4" spans="1:24" ht="15" x14ac:dyDescent="0.25">
      <c r="B4" s="52" t="str">
        <v>Dean Nardone</v>
      </c>
      <c r="C4" s="53" t="e">
        <v>#N/A</v>
      </c>
      <c r="D4" s="37">
        <f>HLOOKUP(B4,$F$50:$AA$52,3,)</f>
        <v>0</v>
      </c>
      <c r="E4" s="13">
        <v>2</v>
      </c>
      <c r="F4" s="9"/>
      <c r="G4" s="3" t="e">
        <f>VLOOKUP(F4,Scores!$A$2:$B$217,2,FALSE)</f>
        <v>#N/A</v>
      </c>
      <c r="H4" s="32"/>
      <c r="I4" s="3" t="e">
        <f>VLOOKUP(H4,Scores!$A$2:$B$217,2,FALSE)</f>
        <v>#N/A</v>
      </c>
      <c r="J4" s="9"/>
      <c r="K4" s="3" t="e">
        <f>VLOOKUP(J4,Scores!$A$2:$B$217,2,FALSE)</f>
        <v>#N/A</v>
      </c>
      <c r="L4" s="9"/>
      <c r="M4" s="3" t="e">
        <f>VLOOKUP(L4,Scores!$A$2:$B$217,2,FALSE)</f>
        <v>#N/A</v>
      </c>
      <c r="N4" s="9"/>
      <c r="O4" s="3" t="e">
        <f>VLOOKUP(N4,Scores!$A$2:$B$217,2,FALSE)</f>
        <v>#N/A</v>
      </c>
      <c r="P4" s="9"/>
      <c r="Q4" s="3" t="e">
        <f>VLOOKUP(P4,Scores!$A$2:$B$217,2,FALSE)</f>
        <v>#N/A</v>
      </c>
      <c r="S4" s="3" t="e">
        <f>VLOOKUP(R4,Scores!$A$2:$B$217,2,FALSE)</f>
        <v>#N/A</v>
      </c>
      <c r="T4" s="9"/>
      <c r="U4" s="3" t="e">
        <f>VLOOKUP(T4,Scores!$A$2:$B$217,2,FALSE)</f>
        <v>#N/A</v>
      </c>
      <c r="W4" s="9"/>
      <c r="X4" s="3" t="e">
        <f>VLOOKUP(W4,Scores!$A$2:$B$217,2,FALSE)</f>
        <v>#N/A</v>
      </c>
    </row>
    <row r="5" spans="1:24" ht="15" x14ac:dyDescent="0.25">
      <c r="B5" s="52" t="str">
        <v>Lorraine McGill</v>
      </c>
      <c r="C5" s="53" t="e">
        <v>#N/A</v>
      </c>
      <c r="D5" s="37">
        <f>HLOOKUP(B5,$F$50:$AA$52,3,)</f>
        <v>0</v>
      </c>
      <c r="E5" s="13">
        <v>3</v>
      </c>
      <c r="F5" s="9"/>
      <c r="G5" s="3" t="e">
        <f>VLOOKUP(F5,Scores!$A$2:$B$217,2,FALSE)</f>
        <v>#N/A</v>
      </c>
      <c r="H5" s="32"/>
      <c r="I5" s="3" t="e">
        <f>VLOOKUP(H5,Scores!$A$2:$B$217,2,FALSE)</f>
        <v>#N/A</v>
      </c>
      <c r="J5" s="9"/>
      <c r="K5" s="3" t="e">
        <f>VLOOKUP(J5,Scores!$A$2:$B$217,2,FALSE)</f>
        <v>#N/A</v>
      </c>
      <c r="L5" s="9"/>
      <c r="M5" s="3" t="e">
        <f>VLOOKUP(L5,Scores!$A$2:$B$217,2,FALSE)</f>
        <v>#N/A</v>
      </c>
      <c r="N5" s="9"/>
      <c r="O5" s="3" t="e">
        <f>VLOOKUP(N5,Scores!$A$2:$B$217,2,FALSE)</f>
        <v>#N/A</v>
      </c>
      <c r="P5" s="9"/>
      <c r="Q5" s="3" t="e">
        <f>VLOOKUP(P5,Scores!$A$2:$B$217,2,FALSE)</f>
        <v>#N/A</v>
      </c>
      <c r="S5" s="3" t="e">
        <f>VLOOKUP(R5,Scores!$A$2:$B$217,2,FALSE)</f>
        <v>#N/A</v>
      </c>
      <c r="T5" s="9"/>
      <c r="U5" s="3" t="e">
        <f>VLOOKUP(T5,Scores!$A$2:$B$217,2,FALSE)</f>
        <v>#N/A</v>
      </c>
      <c r="W5" s="9"/>
      <c r="X5" s="3" t="e">
        <f>VLOOKUP(W5,Scores!$A$2:$B$217,2,FALSE)</f>
        <v>#N/A</v>
      </c>
    </row>
    <row r="6" spans="1:24" ht="15" x14ac:dyDescent="0.25">
      <c r="B6" s="52" t="str">
        <v>Russ Flagg</v>
      </c>
      <c r="C6" s="53" t="e">
        <v>#N/A</v>
      </c>
      <c r="D6" s="37">
        <f>HLOOKUP(B6,$F$50:$AA$52,3,)</f>
        <v>0</v>
      </c>
      <c r="E6" s="13">
        <v>4</v>
      </c>
      <c r="F6" s="9"/>
      <c r="G6" s="3" t="e">
        <f>VLOOKUP(F6,Scores!$A$2:$B$217,2,FALSE)</f>
        <v>#N/A</v>
      </c>
      <c r="H6" s="32"/>
      <c r="I6" s="3" t="e">
        <f>VLOOKUP(H6,Scores!$A$2:$B$217,2,FALSE)</f>
        <v>#N/A</v>
      </c>
      <c r="J6" s="9"/>
      <c r="K6" s="3" t="e">
        <f>VLOOKUP(J6,Scores!$A$2:$B$217,2,FALSE)</f>
        <v>#N/A</v>
      </c>
      <c r="L6" s="9"/>
      <c r="M6" s="3" t="e">
        <f>VLOOKUP(L6,Scores!$A$2:$B$217,2,FALSE)</f>
        <v>#N/A</v>
      </c>
      <c r="N6" s="9"/>
      <c r="O6" s="3" t="e">
        <f>VLOOKUP(N6,Scores!$A$2:$B$217,2,FALSE)</f>
        <v>#N/A</v>
      </c>
      <c r="P6" s="9"/>
      <c r="Q6" s="3" t="e">
        <f>VLOOKUP(P6,Scores!$A$2:$B$217,2,FALSE)</f>
        <v>#N/A</v>
      </c>
      <c r="S6" s="3" t="e">
        <f>VLOOKUP(R6,Scores!$A$2:$B$217,2,FALSE)</f>
        <v>#N/A</v>
      </c>
      <c r="T6" s="9"/>
      <c r="U6" s="3" t="e">
        <f>VLOOKUP(T6,Scores!$A$2:$B$217,2,FALSE)</f>
        <v>#N/A</v>
      </c>
      <c r="W6" s="9"/>
      <c r="X6" s="3" t="e">
        <f>VLOOKUP(W6,Scores!$A$2:$B$217,2,FALSE)</f>
        <v>#N/A</v>
      </c>
    </row>
    <row r="7" spans="1:24" ht="15" x14ac:dyDescent="0.25">
      <c r="B7" s="52" t="str">
        <v>Bill Seeger</v>
      </c>
      <c r="C7" s="53" t="e">
        <v>#N/A</v>
      </c>
      <c r="D7" s="37">
        <f>HLOOKUP(B7,$F$50:$AA$52,3,)</f>
        <v>0</v>
      </c>
      <c r="E7" s="13">
        <v>5</v>
      </c>
      <c r="F7" s="9"/>
      <c r="G7" s="3" t="e">
        <f>VLOOKUP(F7,Scores!$A$2:$B$217,2,FALSE)</f>
        <v>#N/A</v>
      </c>
      <c r="H7" s="32"/>
      <c r="I7" s="3" t="e">
        <f>VLOOKUP(H7,Scores!$A$2:$B$217,2,FALSE)</f>
        <v>#N/A</v>
      </c>
      <c r="J7" s="9"/>
      <c r="K7" s="3" t="e">
        <f>VLOOKUP(J7,Scores!$A$2:$B$217,2,FALSE)</f>
        <v>#N/A</v>
      </c>
      <c r="L7" s="32"/>
      <c r="M7" s="3" t="e">
        <f>VLOOKUP(L7,Scores!$A$2:$B$217,2,FALSE)</f>
        <v>#N/A</v>
      </c>
      <c r="N7" s="32"/>
      <c r="O7" s="3" t="e">
        <f>VLOOKUP(N7,Scores!$A$2:$B$217,2,FALSE)</f>
        <v>#N/A</v>
      </c>
      <c r="P7" s="9"/>
      <c r="Q7" s="3" t="e">
        <f>VLOOKUP(P7,Scores!$A$2:$B$217,2,FALSE)</f>
        <v>#N/A</v>
      </c>
      <c r="S7" s="3" t="e">
        <f>VLOOKUP(R7,Scores!$A$2:$B$217,2,FALSE)</f>
        <v>#N/A</v>
      </c>
      <c r="T7" s="9"/>
      <c r="U7" s="3" t="e">
        <f>VLOOKUP(T7,Scores!$A$2:$B$217,2,FALSE)</f>
        <v>#N/A</v>
      </c>
      <c r="W7" s="9"/>
      <c r="X7" s="3" t="e">
        <f>VLOOKUP(W7,Scores!$A$2:$B$217,2,FALSE)</f>
        <v>#N/A</v>
      </c>
    </row>
    <row r="8" spans="1:24" ht="15" x14ac:dyDescent="0.25">
      <c r="B8" s="52" t="str">
        <v>Matt Myers</v>
      </c>
      <c r="C8" s="53" t="e">
        <v>#N/A</v>
      </c>
      <c r="D8" s="37"/>
      <c r="E8" s="13">
        <v>6</v>
      </c>
      <c r="F8" s="9"/>
      <c r="G8" s="3" t="e">
        <f>VLOOKUP(F8,Scores!$A$2:$B$217,2,FALSE)</f>
        <v>#N/A</v>
      </c>
      <c r="H8" s="32"/>
      <c r="I8" s="3" t="e">
        <f>VLOOKUP(H8,Scores!$A$2:$B$217,2,FALSE)</f>
        <v>#N/A</v>
      </c>
      <c r="J8" s="9"/>
      <c r="K8" s="3" t="e">
        <f>VLOOKUP(J8,Scores!$A$2:$B$217,2,FALSE)</f>
        <v>#N/A</v>
      </c>
      <c r="L8" s="9"/>
      <c r="M8" s="3" t="e">
        <f>VLOOKUP(L8,Scores!$A$2:$B$217,2,FALSE)</f>
        <v>#N/A</v>
      </c>
      <c r="N8" s="9"/>
      <c r="O8" s="3" t="e">
        <f>VLOOKUP(N8,Scores!$A$2:$B$217,2,FALSE)</f>
        <v>#N/A</v>
      </c>
      <c r="P8" s="9"/>
      <c r="Q8" s="3" t="e">
        <f>VLOOKUP(P8,Scores!$A$2:$B$217,2,FALSE)</f>
        <v>#N/A</v>
      </c>
      <c r="S8" s="3" t="e">
        <f>VLOOKUP(R8,Scores!$A$2:$B$217,2,FALSE)</f>
        <v>#N/A</v>
      </c>
      <c r="T8" s="9"/>
      <c r="U8" s="3" t="e">
        <f>VLOOKUP(T8,Scores!$A$2:$B$217,2,FALSE)</f>
        <v>#N/A</v>
      </c>
      <c r="W8" s="9"/>
      <c r="X8" s="3" t="e">
        <f>VLOOKUP(W8,Scores!$A$2:$B$217,2,FALSE)</f>
        <v>#N/A</v>
      </c>
    </row>
    <row r="9" spans="1:24" ht="15" x14ac:dyDescent="0.25">
      <c r="B9" s="52" t="str">
        <v>Matt Desai</v>
      </c>
      <c r="C9" s="53" t="e">
        <v>#N/A</v>
      </c>
      <c r="D9" s="37"/>
      <c r="E9" s="13">
        <v>7</v>
      </c>
      <c r="F9" s="9"/>
      <c r="G9" s="3" t="e">
        <f>VLOOKUP(F9,Scores!$A$2:$B$217,2,FALSE)</f>
        <v>#N/A</v>
      </c>
      <c r="H9" s="9"/>
      <c r="I9" s="3" t="e">
        <f>VLOOKUP(H9,Scores!$A$2:$B$217,2,FALSE)</f>
        <v>#N/A</v>
      </c>
      <c r="J9" s="9"/>
      <c r="K9" s="3" t="e">
        <f>VLOOKUP(J9,Scores!$A$2:$B$217,2,FALSE)</f>
        <v>#N/A</v>
      </c>
      <c r="L9" s="9"/>
      <c r="M9" s="3" t="e">
        <f>VLOOKUP(L9,Scores!$A$2:$B$217,2,FALSE)</f>
        <v>#N/A</v>
      </c>
      <c r="N9" s="9"/>
      <c r="O9" s="3" t="e">
        <f>VLOOKUP(N9,Scores!$A$2:$B$217,2,FALSE)</f>
        <v>#N/A</v>
      </c>
      <c r="P9" s="9"/>
      <c r="Q9" s="3" t="e">
        <f>VLOOKUP(P9,Scores!$A$2:$B$217,2,FALSE)</f>
        <v>#N/A</v>
      </c>
      <c r="S9" s="3" t="e">
        <f>VLOOKUP(R9,Scores!$A$2:$B$217,2,FALSE)</f>
        <v>#N/A</v>
      </c>
      <c r="T9" s="9"/>
      <c r="U9" s="3" t="e">
        <f>VLOOKUP(T9,Scores!$A$2:$B$217,2,FALSE)</f>
        <v>#N/A</v>
      </c>
      <c r="W9" s="9"/>
      <c r="X9" s="3" t="e">
        <f>VLOOKUP(W9,Scores!$A$2:$B$217,2,FALSE)</f>
        <v>#N/A</v>
      </c>
    </row>
    <row r="10" spans="1:24" ht="15" x14ac:dyDescent="0.25">
      <c r="B10" s="52" t="str">
        <v>Charlie Adams</v>
      </c>
      <c r="C10" s="53" t="e">
        <v>#N/A</v>
      </c>
      <c r="D10" s="37"/>
      <c r="E10" s="13">
        <v>8</v>
      </c>
      <c r="F10" s="9"/>
      <c r="G10" s="3" t="e">
        <f>VLOOKUP(F10,Scores!$A$2:$B$217,2,FALSE)</f>
        <v>#N/A</v>
      </c>
      <c r="H10" s="9"/>
      <c r="I10" s="3" t="e">
        <f>VLOOKUP(H10,Scores!$A$2:$B$217,2,FALSE)</f>
        <v>#N/A</v>
      </c>
      <c r="J10" s="9"/>
      <c r="K10" s="3" t="e">
        <f>VLOOKUP(J10,Scores!$A$2:$B$217,2,FALSE)</f>
        <v>#N/A</v>
      </c>
      <c r="L10" s="9"/>
      <c r="M10" s="3" t="e">
        <f>VLOOKUP(L10,Scores!$A$2:$B$217,2,FALSE)</f>
        <v>#N/A</v>
      </c>
      <c r="N10" s="9"/>
      <c r="O10" s="3" t="e">
        <f>VLOOKUP(N10,Scores!$A$2:$B$217,2,FALSE)</f>
        <v>#N/A</v>
      </c>
      <c r="P10" s="9"/>
      <c r="Q10" s="3" t="e">
        <f>VLOOKUP(P10,Scores!$A$2:$B$217,2,FALSE)</f>
        <v>#N/A</v>
      </c>
      <c r="R10" s="9"/>
      <c r="S10" s="3" t="e">
        <f>VLOOKUP(R10,Scores!$A$2:$B$217,2,FALSE)</f>
        <v>#N/A</v>
      </c>
      <c r="T10" s="9"/>
      <c r="U10" s="3" t="e">
        <f>VLOOKUP(T10,Scores!$A$2:$B$217,2,FALSE)</f>
        <v>#N/A</v>
      </c>
      <c r="W10" s="9"/>
      <c r="X10" s="3" t="e">
        <f>VLOOKUP(W10,Scores!$A$2:$B$217,2,FALSE)</f>
        <v>#N/A</v>
      </c>
    </row>
    <row r="11" spans="1:24" ht="15" x14ac:dyDescent="0.25">
      <c r="B11" s="52" t="str">
        <v>Steve McFadden</v>
      </c>
      <c r="C11" s="53" t="e">
        <v>#N/A</v>
      </c>
      <c r="D11" s="37"/>
      <c r="E11" s="13" t="s">
        <v>9</v>
      </c>
      <c r="F11" s="32"/>
      <c r="G11" s="3" t="e">
        <f>VLOOKUP(F11,Scores!$A$2:$B$217,2,FALSE)</f>
        <v>#N/A</v>
      </c>
      <c r="H11" s="32"/>
      <c r="I11" s="3" t="e">
        <f>VLOOKUP(H11,Scores!$A$2:$B$217,2,FALSE)</f>
        <v>#N/A</v>
      </c>
      <c r="J11" s="32"/>
      <c r="K11" s="3" t="e">
        <f>VLOOKUP(J11,Scores!$A$2:$B$217,2,FALSE)</f>
        <v>#N/A</v>
      </c>
      <c r="L11" s="9"/>
      <c r="M11" s="3" t="e">
        <f>VLOOKUP(L11,Scores!$A$2:$B$217,2,FALSE)</f>
        <v>#N/A</v>
      </c>
      <c r="N11" s="9"/>
      <c r="O11" s="3" t="e">
        <f>VLOOKUP(N11,Scores!$A$2:$B$217,2,FALSE)</f>
        <v>#N/A</v>
      </c>
      <c r="P11" s="9"/>
      <c r="Q11" s="3" t="e">
        <f>VLOOKUP(P11,Scores!$A$2:$B$217,2,FALSE)</f>
        <v>#N/A</v>
      </c>
      <c r="S11" s="3" t="e">
        <f>VLOOKUP(R11,Scores!$A$2:$B$217,2,FALSE)</f>
        <v>#N/A</v>
      </c>
      <c r="T11" s="9"/>
      <c r="U11" s="3" t="e">
        <f>VLOOKUP(T11,Scores!$A$2:$B$217,2,FALSE)</f>
        <v>#N/A</v>
      </c>
      <c r="W11" s="9"/>
      <c r="X11" s="3" t="e">
        <f>VLOOKUP(W11,Scores!$A$2:$B$217,2,FALSE)</f>
        <v>#N/A</v>
      </c>
    </row>
    <row r="12" spans="1:24" ht="15" x14ac:dyDescent="0.25">
      <c r="B12" s="52" t="str">
        <v>Damon Chapman</v>
      </c>
      <c r="C12" s="53" t="e">
        <v>#N/A</v>
      </c>
      <c r="D12" s="37"/>
      <c r="E12" s="13" t="s">
        <v>10</v>
      </c>
      <c r="F12" s="32"/>
      <c r="G12" s="3" t="e">
        <f>VLOOKUP(F12,Scores!$A$2:$B$217,2,FALSE)</f>
        <v>#N/A</v>
      </c>
      <c r="H12" s="32"/>
      <c r="I12" s="3" t="e">
        <f>VLOOKUP(H12,Scores!$A$2:$B$217,2,FALSE)</f>
        <v>#N/A</v>
      </c>
      <c r="J12" s="32"/>
      <c r="K12" s="3" t="e">
        <f>VLOOKUP(J12,Scores!$A$2:$B$217,2,FALSE)</f>
        <v>#N/A</v>
      </c>
      <c r="L12" s="9"/>
      <c r="M12" s="3" t="e">
        <f>VLOOKUP(L12,Scores!$A$2:$B$217,2,FALSE)</f>
        <v>#N/A</v>
      </c>
      <c r="N12" s="31"/>
      <c r="O12" s="3" t="e">
        <f>VLOOKUP(N12,Scores!$A$2:$B$217,2,FALSE)</f>
        <v>#N/A</v>
      </c>
      <c r="P12" s="9"/>
      <c r="Q12" s="3" t="e">
        <f>VLOOKUP(P12,Scores!$A$2:$B$217,2,FALSE)</f>
        <v>#N/A</v>
      </c>
      <c r="S12" s="3" t="e">
        <f>VLOOKUP(R12,Scores!$A$2:$B$217,2,FALSE)</f>
        <v>#N/A</v>
      </c>
      <c r="T12" s="9"/>
      <c r="U12" s="3" t="e">
        <f>VLOOKUP(T12,Scores!$A$2:$B$217,2,FALSE)</f>
        <v>#N/A</v>
      </c>
      <c r="W12" s="9"/>
      <c r="X12" s="3" t="e">
        <f>VLOOKUP(W12,Scores!$A$2:$B$217,2,FALSE)</f>
        <v>#N/A</v>
      </c>
    </row>
    <row r="13" spans="1:24" x14ac:dyDescent="0.2">
      <c r="B13" s="52" t="str">
        <v>Gary Casarsa</v>
      </c>
      <c r="C13" s="53" t="e">
        <v>#N/A</v>
      </c>
      <c r="D13" s="37"/>
      <c r="E13" s="14"/>
    </row>
    <row r="14" spans="1:24" s="7" customFormat="1" x14ac:dyDescent="0.2">
      <c r="B14" s="52" t="str">
        <v>Laurie Seeger</v>
      </c>
      <c r="C14" s="53" t="e">
        <v>#N/A</v>
      </c>
      <c r="D14" s="37"/>
      <c r="E14" s="12"/>
      <c r="F14" s="10" t="s">
        <v>11</v>
      </c>
      <c r="G14" s="11" t="e">
        <f>SMALL(G15:G24,1)+SMALL(G15:G24,2)+SMALL(G15:G24,3)+SMALL(G15:G24,4)+SMALL(G15:G24,5)</f>
        <v>#N/A</v>
      </c>
      <c r="H14" s="10" t="s">
        <v>12</v>
      </c>
      <c r="I14" s="11" t="e">
        <f>SMALL(I15:I24,1)+SMALL(I15:I24,2)+SMALL(I15:I24,3)+SMALL(I15:I24,4)+SMALL(I15:I24,5)</f>
        <v>#N/A</v>
      </c>
      <c r="J14" s="10" t="s">
        <v>13</v>
      </c>
      <c r="K14" s="11" t="e">
        <f>SMALL(K15:K24,1)+SMALL(K15:K24,2)+SMALL(K15:K24,3)+SMALL(K15:K24,4)+SMALL(K15:K24,5)</f>
        <v>#N/A</v>
      </c>
      <c r="L14" s="10" t="s">
        <v>14</v>
      </c>
      <c r="M14" s="11" t="e">
        <f>SMALL(M15:M24,1)+SMALL(M15:M24,2)+SMALL(M15:M24,3)+SMALL(M15:M24,4)+SMALL(M15:M24,5)</f>
        <v>#N/A</v>
      </c>
      <c r="N14" s="10" t="s">
        <v>348</v>
      </c>
      <c r="O14" s="11" t="e">
        <f>SMALL(O15:O24,1)+SMALL(O15:O24,2)+SMALL(O15:O24,3)+SMALL(O15:O24,4)+SMALL(O15:O24,5)</f>
        <v>#N/A</v>
      </c>
      <c r="P14" s="10" t="s">
        <v>15</v>
      </c>
      <c r="Q14" s="11" t="e">
        <f>SMALL(Q15:Q24,1)+SMALL(Q15:Q24,2)+SMALL(Q15:Q24,3)+SMALL(Q15:Q24,4)+SMALL(Q15:Q24,5)</f>
        <v>#N/A</v>
      </c>
      <c r="R14" s="10" t="s">
        <v>16</v>
      </c>
      <c r="S14" s="11" t="e">
        <f>SMALL(S15:S24,1)+SMALL(S15:S24,2)+SMALL(S15:S24,3)+SMALL(S15:S24,4)+SMALL(S15:S24,5)</f>
        <v>#N/A</v>
      </c>
      <c r="T14" s="10"/>
      <c r="U14" s="11"/>
    </row>
    <row r="15" spans="1:24" ht="15" x14ac:dyDescent="0.25">
      <c r="B15" s="52" t="str">
        <v>Mike Coope</v>
      </c>
      <c r="C15" s="53" t="e">
        <v>#N/A</v>
      </c>
      <c r="D15" s="37"/>
      <c r="E15" s="13">
        <v>1</v>
      </c>
      <c r="F15" s="9"/>
      <c r="G15" s="3" t="e">
        <f>VLOOKUP(F15,Scores!$A$2:$B$217,2,FALSE)</f>
        <v>#N/A</v>
      </c>
      <c r="H15" s="9"/>
      <c r="I15" s="3" t="e">
        <f>VLOOKUP(H15,Scores!$A$2:$B$217,2,FALSE)</f>
        <v>#N/A</v>
      </c>
      <c r="J15" s="9"/>
      <c r="K15" s="3" t="e">
        <f>VLOOKUP(J15,Scores!$A$2:$B$217,2,FALSE)</f>
        <v>#N/A</v>
      </c>
      <c r="L15" s="9"/>
      <c r="M15" s="3" t="e">
        <f>VLOOKUP(L15,Scores!$A$2:$B$217,2,FALSE)</f>
        <v>#N/A</v>
      </c>
      <c r="O15" s="3" t="e">
        <f>VLOOKUP(N15,Scores!$A$2:$B$217,2,FALSE)</f>
        <v>#N/A</v>
      </c>
      <c r="P15" s="9"/>
      <c r="Q15" s="3" t="e">
        <f>VLOOKUP(P15,Scores!$A$2:$B$217,2,FALSE)</f>
        <v>#N/A</v>
      </c>
      <c r="S15" s="3" t="e">
        <f>VLOOKUP(R15,Scores!$A$2:$B$217,2,FALSE)</f>
        <v>#N/A</v>
      </c>
    </row>
    <row r="16" spans="1:24" ht="15" x14ac:dyDescent="0.25">
      <c r="B16" s="52" t="str">
        <v>Richard Webster</v>
      </c>
      <c r="C16" s="53" t="e">
        <v>#N/A</v>
      </c>
      <c r="D16" s="37"/>
      <c r="E16" s="13">
        <v>2</v>
      </c>
      <c r="F16" s="9"/>
      <c r="G16" s="3" t="e">
        <f>VLOOKUP(F16,Scores!$A$2:$B$217,2,FALSE)</f>
        <v>#N/A</v>
      </c>
      <c r="H16" s="9"/>
      <c r="I16" s="3" t="e">
        <f>VLOOKUP(H16,Scores!$A$2:$B$217,2,FALSE)</f>
        <v>#N/A</v>
      </c>
      <c r="J16" s="9"/>
      <c r="K16" s="3" t="e">
        <f>VLOOKUP(J16,Scores!$A$2:$B$217,2,FALSE)</f>
        <v>#N/A</v>
      </c>
      <c r="L16" s="9"/>
      <c r="M16" s="3" t="e">
        <f>VLOOKUP(L16,Scores!$A$2:$B$217,2,FALSE)</f>
        <v>#N/A</v>
      </c>
      <c r="N16" s="9"/>
      <c r="O16" s="3" t="e">
        <f>VLOOKUP(N16,Scores!$A$2:$B$217,2,FALSE)</f>
        <v>#N/A</v>
      </c>
      <c r="P16" s="9"/>
      <c r="Q16" s="3" t="e">
        <f>VLOOKUP(P16,Scores!$A$2:$B$217,2,FALSE)</f>
        <v>#N/A</v>
      </c>
      <c r="R16" s="9"/>
      <c r="S16" s="3" t="e">
        <f>VLOOKUP(R16,Scores!$A$2:$B$217,2,FALSE)</f>
        <v>#N/A</v>
      </c>
    </row>
    <row r="17" spans="2:23" ht="15" x14ac:dyDescent="0.25">
      <c r="B17" s="52" t="str">
        <v>Halley Ganges</v>
      </c>
      <c r="C17" s="53" t="e">
        <v>#N/A</v>
      </c>
      <c r="D17" s="37"/>
      <c r="E17" s="13">
        <v>3</v>
      </c>
      <c r="F17" s="9"/>
      <c r="G17" s="3" t="e">
        <f>VLOOKUP(F17,Scores!$A$2:$B$217,2,FALSE)</f>
        <v>#N/A</v>
      </c>
      <c r="H17" s="9"/>
      <c r="I17" s="3" t="e">
        <f>VLOOKUP(H17,Scores!$A$2:$B$217,2,FALSE)</f>
        <v>#N/A</v>
      </c>
      <c r="J17" s="9"/>
      <c r="K17" s="3" t="e">
        <f>VLOOKUP(J17,Scores!$A$2:$B$217,2,FALSE)</f>
        <v>#N/A</v>
      </c>
      <c r="L17" s="9"/>
      <c r="M17" s="3" t="e">
        <f>VLOOKUP(L17,Scores!$A$2:$B$217,2,FALSE)</f>
        <v>#N/A</v>
      </c>
      <c r="N17" s="9"/>
      <c r="O17" s="3" t="e">
        <f>VLOOKUP(N17,Scores!$A$2:$B$217,2,FALSE)</f>
        <v>#N/A</v>
      </c>
      <c r="P17" s="9"/>
      <c r="Q17" s="3" t="e">
        <f>VLOOKUP(P17,Scores!$A$2:$B$217,2,FALSE)</f>
        <v>#N/A</v>
      </c>
      <c r="R17" s="9"/>
      <c r="S17" s="3" t="e">
        <f>VLOOKUP(R17,Scores!$A$2:$B$217,2,FALSE)</f>
        <v>#N/A</v>
      </c>
    </row>
    <row r="18" spans="2:23" ht="15" x14ac:dyDescent="0.25">
      <c r="B18" s="52" t="str">
        <v>Chris Callahan</v>
      </c>
      <c r="C18" s="53" t="e">
        <v>#N/A</v>
      </c>
      <c r="D18" s="37"/>
      <c r="E18" s="13">
        <v>4</v>
      </c>
      <c r="F18" s="9"/>
      <c r="G18" s="3" t="e">
        <f>VLOOKUP(F18,Scores!$A$2:$B$217,2,FALSE)</f>
        <v>#N/A</v>
      </c>
      <c r="H18" s="9"/>
      <c r="I18" s="3" t="e">
        <f>VLOOKUP(H18,Scores!$A$2:$B$217,2,FALSE)</f>
        <v>#N/A</v>
      </c>
      <c r="J18" s="9"/>
      <c r="K18" s="3" t="e">
        <f>VLOOKUP(J18,Scores!$A$2:$B$217,2,FALSE)</f>
        <v>#N/A</v>
      </c>
      <c r="L18" s="9"/>
      <c r="M18" s="3" t="e">
        <f>VLOOKUP(L18,Scores!$A$2:$B$217,2,FALSE)</f>
        <v>#N/A</v>
      </c>
      <c r="N18" s="9"/>
      <c r="O18" s="3" t="e">
        <f>VLOOKUP(N18,Scores!$A$2:$B$217,2,FALSE)</f>
        <v>#N/A</v>
      </c>
      <c r="P18" s="9"/>
      <c r="Q18" s="3" t="e">
        <f>VLOOKUP(P18,Scores!$A$2:$B$217,2,FALSE)</f>
        <v>#N/A</v>
      </c>
      <c r="R18" s="9"/>
      <c r="S18" s="3" t="e">
        <f>VLOOKUP(R18,Scores!$A$2:$B$217,2,FALSE)</f>
        <v>#N/A</v>
      </c>
    </row>
    <row r="19" spans="2:23" ht="15" x14ac:dyDescent="0.25">
      <c r="B19" s="52" t="str">
        <v>Chris Marinis</v>
      </c>
      <c r="C19" s="53" t="e">
        <v>#N/A</v>
      </c>
      <c r="D19" s="37"/>
      <c r="E19" s="13">
        <v>5</v>
      </c>
      <c r="G19" s="3" t="e">
        <f>VLOOKUP(F19,Scores!$A$2:$B$217,2,FALSE)</f>
        <v>#N/A</v>
      </c>
      <c r="H19" s="32"/>
      <c r="I19" s="3" t="e">
        <f>VLOOKUP(H19,Scores!$A$2:$B$217,2,FALSE)</f>
        <v>#N/A</v>
      </c>
      <c r="J19" s="9"/>
      <c r="K19" s="3" t="e">
        <f>VLOOKUP(J19,Scores!$A$2:$B$217,2,FALSE)</f>
        <v>#N/A</v>
      </c>
      <c r="L19" s="9"/>
      <c r="M19" s="3" t="e">
        <f>VLOOKUP(L19,Scores!$A$2:$B$217,2,FALSE)</f>
        <v>#N/A</v>
      </c>
      <c r="N19" s="9"/>
      <c r="O19" s="3" t="e">
        <f>VLOOKUP(N19,Scores!$A$2:$B$217,2,FALSE)</f>
        <v>#N/A</v>
      </c>
      <c r="P19" s="9"/>
      <c r="Q19" s="3" t="e">
        <f>VLOOKUP(P19,Scores!$A$2:$B$217,2,FALSE)</f>
        <v>#N/A</v>
      </c>
      <c r="R19" s="32"/>
      <c r="S19" s="3" t="e">
        <f>VLOOKUP(R19,Scores!$A$2:$B$217,2,FALSE)</f>
        <v>#N/A</v>
      </c>
    </row>
    <row r="20" spans="2:23" ht="15" x14ac:dyDescent="0.25">
      <c r="B20" s="52" t="str">
        <v>Ann Heal</v>
      </c>
      <c r="C20" s="53" t="e">
        <v>#N/A</v>
      </c>
      <c r="D20" s="37"/>
      <c r="E20" s="13">
        <v>6</v>
      </c>
      <c r="F20" s="9"/>
      <c r="G20" s="3" t="e">
        <f>VLOOKUP(F20,Scores!$A$2:$B$217,2,FALSE)</f>
        <v>#N/A</v>
      </c>
      <c r="H20" s="9"/>
      <c r="I20" s="3" t="e">
        <f>VLOOKUP(H20,Scores!$A$2:$B$217,2,FALSE)</f>
        <v>#N/A</v>
      </c>
      <c r="J20" s="9"/>
      <c r="K20" s="3" t="e">
        <f>VLOOKUP(J20,Scores!$A$2:$B$217,2,FALSE)</f>
        <v>#N/A</v>
      </c>
      <c r="L20" s="9"/>
      <c r="M20" s="3" t="e">
        <f>VLOOKUP(L20,Scores!$A$2:$B$217,2,FALSE)</f>
        <v>#N/A</v>
      </c>
      <c r="N20" s="9"/>
      <c r="O20" s="3" t="e">
        <f>VLOOKUP(N20,Scores!$A$2:$B$217,2,FALSE)</f>
        <v>#N/A</v>
      </c>
      <c r="P20" s="9"/>
      <c r="Q20" s="3" t="e">
        <f>VLOOKUP(P20,Scores!$A$2:$B$217,2,FALSE)</f>
        <v>#N/A</v>
      </c>
      <c r="R20" s="9"/>
      <c r="S20" s="3" t="e">
        <f>VLOOKUP(R20,Scores!$A$2:$B$217,2,FALSE)</f>
        <v>#N/A</v>
      </c>
    </row>
    <row r="21" spans="2:23" ht="15" x14ac:dyDescent="0.25">
      <c r="B21" s="52" t="str">
        <v>Mark Brenman</v>
      </c>
      <c r="C21" s="53" t="e">
        <v>#N/A</v>
      </c>
      <c r="D21" s="37"/>
      <c r="E21" s="13">
        <v>7</v>
      </c>
      <c r="F21" s="9"/>
      <c r="G21" s="3" t="e">
        <f>VLOOKUP(F21,Scores!$A$2:$B$217,2,FALSE)</f>
        <v>#N/A</v>
      </c>
      <c r="H21" s="9"/>
      <c r="I21" s="3" t="e">
        <f>VLOOKUP(H21,Scores!$A$2:$B$217,2,FALSE)</f>
        <v>#N/A</v>
      </c>
      <c r="J21" s="9"/>
      <c r="K21" s="3" t="e">
        <f>VLOOKUP(J21,Scores!$A$2:$B$217,2,FALSE)</f>
        <v>#N/A</v>
      </c>
      <c r="L21" s="9"/>
      <c r="M21" s="3" t="e">
        <f>VLOOKUP(L21,Scores!$A$2:$B$217,2,FALSE)</f>
        <v>#N/A</v>
      </c>
      <c r="N21" s="9"/>
      <c r="O21" s="3" t="e">
        <f>VLOOKUP(N21,Scores!$A$2:$B$217,2,FALSE)</f>
        <v>#N/A</v>
      </c>
      <c r="P21" s="9"/>
      <c r="Q21" s="3" t="e">
        <f>VLOOKUP(P21,Scores!$A$2:$B$217,2,FALSE)</f>
        <v>#N/A</v>
      </c>
      <c r="R21" s="9"/>
      <c r="S21" s="3" t="e">
        <f>VLOOKUP(R21,Scores!$A$2:$B$217,2,FALSE)</f>
        <v>#N/A</v>
      </c>
    </row>
    <row r="22" spans="2:23" ht="15" x14ac:dyDescent="0.25">
      <c r="B22" s="52" t="str">
        <v>Sean Christian</v>
      </c>
      <c r="C22" s="53" t="e">
        <v>#N/A</v>
      </c>
      <c r="D22" s="37"/>
      <c r="E22" s="13">
        <v>8</v>
      </c>
      <c r="F22" s="9"/>
      <c r="G22" s="3" t="e">
        <f>VLOOKUP(F22,Scores!$A$2:$B$217,2,FALSE)</f>
        <v>#N/A</v>
      </c>
      <c r="H22" s="9"/>
      <c r="I22" s="3" t="e">
        <f>VLOOKUP(H22,Scores!$A$2:$B$217,2,FALSE)</f>
        <v>#N/A</v>
      </c>
      <c r="J22" s="9"/>
      <c r="K22" s="3" t="e">
        <f>VLOOKUP(J22,Scores!$A$2:$B$217,2,FALSE)</f>
        <v>#N/A</v>
      </c>
      <c r="L22" s="9"/>
      <c r="M22" s="3" t="e">
        <f>VLOOKUP(L22,Scores!$A$2:$B$217,2,FALSE)</f>
        <v>#N/A</v>
      </c>
      <c r="N22" s="9"/>
      <c r="O22" s="3" t="e">
        <f>VLOOKUP(N22,Scores!$A$2:$B$217,2,FALSE)</f>
        <v>#N/A</v>
      </c>
      <c r="P22" s="9"/>
      <c r="Q22" s="3" t="e">
        <f>VLOOKUP(P22,Scores!$A$2:$B$217,2,FALSE)</f>
        <v>#N/A</v>
      </c>
      <c r="R22" s="9"/>
      <c r="S22" s="3" t="e">
        <f>VLOOKUP(R22,Scores!$A$2:$B$217,2,FALSE)</f>
        <v>#N/A</v>
      </c>
      <c r="T22" s="9"/>
    </row>
    <row r="23" spans="2:23" ht="15" x14ac:dyDescent="0.25">
      <c r="B23" s="52" t="str">
        <v>Ken Webster</v>
      </c>
      <c r="C23" s="53" t="e">
        <v>#N/A</v>
      </c>
      <c r="D23" s="37"/>
      <c r="E23" s="13" t="s">
        <v>9</v>
      </c>
      <c r="F23" s="9"/>
      <c r="G23" s="3" t="e">
        <f>VLOOKUP(F23,Scores!$A$2:$B$217,2,FALSE)</f>
        <v>#N/A</v>
      </c>
      <c r="H23" s="9"/>
      <c r="I23" s="3" t="e">
        <f>VLOOKUP(H23,Scores!$A$2:$B$217,2,FALSE)</f>
        <v>#N/A</v>
      </c>
      <c r="J23" s="9"/>
      <c r="K23" s="3" t="e">
        <f>VLOOKUP(J23,Scores!$A$2:$B$217,2,FALSE)</f>
        <v>#N/A</v>
      </c>
      <c r="L23" s="9"/>
      <c r="M23" s="3" t="e">
        <f>VLOOKUP(L23,Scores!$A$2:$B$217,2,FALSE)</f>
        <v>#N/A</v>
      </c>
      <c r="N23" s="9"/>
      <c r="O23" s="3" t="e">
        <f>VLOOKUP(N23,Scores!$A$2:$B$217,2,FALSE)</f>
        <v>#N/A</v>
      </c>
      <c r="P23" s="9"/>
      <c r="Q23" s="3" t="e">
        <f>VLOOKUP(P23,Scores!$A$2:$B$217,2,FALSE)</f>
        <v>#N/A</v>
      </c>
      <c r="S23" s="3" t="e">
        <f>VLOOKUP(R23,Scores!$A$2:$B$217,2,FALSE)</f>
        <v>#N/A</v>
      </c>
    </row>
    <row r="24" spans="2:23" ht="15" x14ac:dyDescent="0.25">
      <c r="B24" s="52" t="str">
        <v>Frank Prestifilippo</v>
      </c>
      <c r="C24" s="53" t="e">
        <v>#N/A</v>
      </c>
      <c r="D24" s="37"/>
      <c r="E24" s="13" t="s">
        <v>10</v>
      </c>
      <c r="F24" s="9"/>
      <c r="G24" s="3" t="e">
        <f>VLOOKUP(F24,Scores!$A$2:$B$217,2,FALSE)</f>
        <v>#N/A</v>
      </c>
      <c r="H24" s="9"/>
      <c r="I24" s="3" t="e">
        <f>VLOOKUP(H24,Scores!$A$2:$B$217,2,FALSE)</f>
        <v>#N/A</v>
      </c>
      <c r="J24" s="9"/>
      <c r="K24" s="3" t="e">
        <f>VLOOKUP(J24,Scores!$A$2:$B$217,2,FALSE)</f>
        <v>#N/A</v>
      </c>
      <c r="L24" s="32"/>
      <c r="M24" s="3" t="e">
        <f>VLOOKUP(L24,Scores!$A$2:$B$217,2,FALSE)</f>
        <v>#N/A</v>
      </c>
      <c r="N24" s="9"/>
      <c r="O24" s="3" t="e">
        <f>VLOOKUP(N24,Scores!$A$2:$B$217,2,FALSE)</f>
        <v>#N/A</v>
      </c>
      <c r="P24" s="32"/>
      <c r="Q24" s="3" t="e">
        <f>VLOOKUP(P24,Scores!$A$2:$B$217,2,FALSE)</f>
        <v>#N/A</v>
      </c>
      <c r="R24" s="9"/>
      <c r="S24" s="3" t="e">
        <f>VLOOKUP(R24,Scores!$A$2:$B$217,2,FALSE)</f>
        <v>#N/A</v>
      </c>
    </row>
    <row r="25" spans="2:23" x14ac:dyDescent="0.2">
      <c r="B25" s="38"/>
      <c r="C25" s="54"/>
      <c r="D25" s="39"/>
      <c r="E25" s="14"/>
    </row>
    <row r="26" spans="2:23" s="7" customFormat="1" x14ac:dyDescent="0.2">
      <c r="B26" s="19"/>
      <c r="C26" s="18"/>
      <c r="D26" s="18"/>
      <c r="E26" s="12"/>
      <c r="F26" s="10" t="s">
        <v>18</v>
      </c>
      <c r="G26" s="11" t="e">
        <f>SMALL(G27:G36,1)+SMALL(G27:G36,2)+SMALL(G27:G36,3)+SMALL(G27:G36,4)+SMALL(G27:G36,5)</f>
        <v>#N/A</v>
      </c>
      <c r="H26" s="10" t="s">
        <v>19</v>
      </c>
      <c r="I26" s="11" t="e">
        <f>SMALL(I27:I36,1)+SMALL(I27:I36,2)+SMALL(I27:I36,3)+SMALL(I27:I36,4)+SMALL(I27:I36,5)</f>
        <v>#N/A</v>
      </c>
      <c r="J26" s="10" t="s">
        <v>20</v>
      </c>
      <c r="K26" s="11" t="e">
        <f>SMALL(K27:K36,1)+SMALL(K27:K36,2)+SMALL(K27:K36,3)+SMALL(K27:K36,4)+SMALL(K27:K36,5)</f>
        <v>#N/A</v>
      </c>
      <c r="L26" s="10" t="s">
        <v>21</v>
      </c>
      <c r="M26" s="11" t="e">
        <f>SMALL(M27:M36,1)+SMALL(M27:M36,2)+SMALL(M27:M36,3)+SMALL(M27:M36,4)+SMALL(M27:M36,5)</f>
        <v>#N/A</v>
      </c>
      <c r="N26" s="10" t="s">
        <v>22</v>
      </c>
      <c r="O26" s="11" t="e">
        <f>SMALL(O27:O36,1)+SMALL(O27:O36,2)+SMALL(O27:O36,3)+SMALL(O27:O36,4)+SMALL(O27:O36,5)</f>
        <v>#N/A</v>
      </c>
      <c r="P26" s="10" t="s">
        <v>23</v>
      </c>
      <c r="Q26" s="11" t="e">
        <f>SMALL(Q27:Q36,1)+SMALL(Q27:Q36,2)+SMALL(Q27:Q36,3)+SMALL(Q27:Q36,4)+SMALL(Q27:Q36,5)</f>
        <v>#N/A</v>
      </c>
      <c r="R26" s="10" t="s">
        <v>24</v>
      </c>
      <c r="S26" s="11" t="e">
        <f>SMALL(S27:S36,1)+SMALL(S27:S36,2)+SMALL(S27:S36,3)+SMALL(S27:S36,4)+SMALL(S27:S36,5)</f>
        <v>#N/A</v>
      </c>
      <c r="T26" s="10"/>
      <c r="U26" s="11"/>
      <c r="V26" s="10"/>
      <c r="W26" s="11"/>
    </row>
    <row r="27" spans="2:23" ht="15" x14ac:dyDescent="0.25">
      <c r="B27" s="33"/>
      <c r="C27" s="18"/>
      <c r="D27" s="18"/>
      <c r="E27" s="13">
        <v>1</v>
      </c>
      <c r="F27" s="9"/>
      <c r="G27" s="3" t="e">
        <f>VLOOKUP(F27,Scores!$A$2:$B$217,2,FALSE)</f>
        <v>#N/A</v>
      </c>
      <c r="I27" s="3" t="e">
        <f>VLOOKUP(H27,Scores!$A$2:$B$217,2,FALSE)</f>
        <v>#N/A</v>
      </c>
      <c r="J27" s="9"/>
      <c r="K27" s="3" t="e">
        <f>VLOOKUP(J27,Scores!$A$2:$B$217,2,FALSE)</f>
        <v>#N/A</v>
      </c>
      <c r="L27" s="9"/>
      <c r="M27" s="3" t="e">
        <f>VLOOKUP(L27,Scores!$A$2:$B$217,2,FALSE)</f>
        <v>#N/A</v>
      </c>
      <c r="N27" s="9"/>
      <c r="O27" s="3" t="e">
        <f>VLOOKUP(N27,Scores!$A$2:$B$217,2,FALSE)</f>
        <v>#N/A</v>
      </c>
      <c r="P27" s="9"/>
      <c r="Q27" s="3" t="e">
        <f>VLOOKUP(P27,Scores!$A$2:$B$217,2,FALSE)</f>
        <v>#N/A</v>
      </c>
      <c r="R27" s="9"/>
      <c r="S27" s="3" t="e">
        <f>VLOOKUP(R27,Scores!$A$2:$B$217,2,FALSE)</f>
        <v>#N/A</v>
      </c>
      <c r="V27" s="9"/>
    </row>
    <row r="28" spans="2:23" ht="15" x14ac:dyDescent="0.25">
      <c r="B28" s="55" t="s">
        <v>398</v>
      </c>
      <c r="E28" s="13">
        <v>2</v>
      </c>
      <c r="F28" s="9"/>
      <c r="G28" s="3" t="e">
        <f>VLOOKUP(F28,Scores!$A$2:$B$217,2,FALSE)</f>
        <v>#N/A</v>
      </c>
      <c r="H28" s="9"/>
      <c r="I28" s="3" t="e">
        <f>VLOOKUP(H28,Scores!$A$2:$B$217,2,FALSE)</f>
        <v>#N/A</v>
      </c>
      <c r="J28" s="9"/>
      <c r="K28" s="3" t="e">
        <f>VLOOKUP(J28,Scores!$A$2:$B$217,2,FALSE)</f>
        <v>#N/A</v>
      </c>
      <c r="L28" s="9"/>
      <c r="M28" s="3" t="e">
        <f>VLOOKUP(L28,Scores!$A$2:$B$217,2,FALSE)</f>
        <v>#N/A</v>
      </c>
      <c r="N28" s="9"/>
      <c r="O28" s="3" t="e">
        <f>VLOOKUP(N28,Scores!$A$2:$B$217,2,FALSE)</f>
        <v>#N/A</v>
      </c>
      <c r="P28" s="9"/>
      <c r="Q28" s="3" t="e">
        <f>VLOOKUP(P28,Scores!$A$2:$B$217,2,FALSE)</f>
        <v>#N/A</v>
      </c>
      <c r="R28" s="9"/>
      <c r="S28" s="3" t="e">
        <f>VLOOKUP(R28,Scores!$A$2:$B$217,2,FALSE)</f>
        <v>#N/A</v>
      </c>
      <c r="V28" s="9"/>
    </row>
    <row r="29" spans="2:23" ht="15" x14ac:dyDescent="0.25">
      <c r="B29" s="56" t="str">
        <f>Scores!A2</f>
        <v>Viktor Hovland</v>
      </c>
      <c r="C29" s="56">
        <f>Scores!B2</f>
        <v>0</v>
      </c>
      <c r="E29" s="13">
        <v>3</v>
      </c>
      <c r="F29" s="9"/>
      <c r="G29" s="3" t="e">
        <f>VLOOKUP(F29,Scores!$A$2:$B$217,2,FALSE)</f>
        <v>#N/A</v>
      </c>
      <c r="H29" s="9"/>
      <c r="I29" s="3" t="e">
        <f>VLOOKUP(H29,Scores!$A$2:$B$217,2,FALSE)</f>
        <v>#N/A</v>
      </c>
      <c r="J29" s="9"/>
      <c r="K29" s="3" t="e">
        <f>VLOOKUP(J29,Scores!$A$2:$B$217,2,FALSE)</f>
        <v>#N/A</v>
      </c>
      <c r="L29" s="9"/>
      <c r="M29" s="3" t="e">
        <f>VLOOKUP(L29,Scores!$A$2:$B$217,2,FALSE)</f>
        <v>#N/A</v>
      </c>
      <c r="N29" s="9"/>
      <c r="O29" s="3" t="e">
        <f>VLOOKUP(N29,Scores!$A$2:$B$217,2,FALSE)</f>
        <v>#N/A</v>
      </c>
      <c r="P29" s="9"/>
      <c r="Q29" s="3" t="e">
        <f>VLOOKUP(P29,Scores!$A$2:$B$217,2,FALSE)</f>
        <v>#N/A</v>
      </c>
      <c r="R29" s="9"/>
      <c r="S29" s="3" t="e">
        <f>VLOOKUP(R29,Scores!$A$2:$B$217,2,FALSE)</f>
        <v>#N/A</v>
      </c>
      <c r="V29" s="9"/>
    </row>
    <row r="30" spans="2:23" ht="15" x14ac:dyDescent="0.25">
      <c r="B30" s="56" t="str">
        <f>Scores!A3</f>
        <v>Xander Schauffele</v>
      </c>
      <c r="C30" s="56">
        <f>Scores!B3</f>
        <v>0</v>
      </c>
      <c r="E30" s="13">
        <v>4</v>
      </c>
      <c r="F30" s="9"/>
      <c r="G30" s="3" t="e">
        <f>VLOOKUP(F30,Scores!$A$2:$B$217,2,FALSE)</f>
        <v>#N/A</v>
      </c>
      <c r="H30" s="9"/>
      <c r="I30" s="3" t="e">
        <f>VLOOKUP(H30,Scores!$A$2:$B$217,2,FALSE)</f>
        <v>#N/A</v>
      </c>
      <c r="J30" s="9"/>
      <c r="K30" s="3" t="e">
        <f>VLOOKUP(J30,Scores!$A$2:$B$217,2,FALSE)</f>
        <v>#N/A</v>
      </c>
      <c r="L30" s="9"/>
      <c r="M30" s="3" t="e">
        <f>VLOOKUP(L30,Scores!$A$2:$B$217,2,FALSE)</f>
        <v>#N/A</v>
      </c>
      <c r="N30" s="9"/>
      <c r="O30" s="3" t="e">
        <f>VLOOKUP(N30,Scores!$A$2:$B$217,2,FALSE)</f>
        <v>#N/A</v>
      </c>
      <c r="P30" s="9"/>
      <c r="Q30" s="3" t="e">
        <f>VLOOKUP(P30,Scores!$A$2:$B$217,2,FALSE)</f>
        <v>#N/A</v>
      </c>
      <c r="R30" s="9"/>
      <c r="S30" s="3" t="e">
        <f>VLOOKUP(R30,Scores!$A$2:$B$217,2,FALSE)</f>
        <v>#N/A</v>
      </c>
      <c r="V30" s="9"/>
    </row>
    <row r="31" spans="2:23" ht="15" x14ac:dyDescent="0.25">
      <c r="B31" s="56" t="str">
        <f>Scores!A4</f>
        <v>Bryson DeChambeau</v>
      </c>
      <c r="C31" s="56">
        <f>Scores!B4</f>
        <v>0</v>
      </c>
      <c r="E31" s="13">
        <v>5</v>
      </c>
      <c r="F31" s="9"/>
      <c r="G31" s="3" t="e">
        <f>VLOOKUP(F31,Scores!$A$2:$B$217,2,FALSE)</f>
        <v>#N/A</v>
      </c>
      <c r="H31" s="9"/>
      <c r="I31" s="3" t="e">
        <f>VLOOKUP(H31,Scores!$A$2:$B$217,2,FALSE)</f>
        <v>#N/A</v>
      </c>
      <c r="J31" s="32"/>
      <c r="K31" s="3" t="e">
        <f>VLOOKUP(J31,Scores!$A$2:$B$217,2,FALSE)</f>
        <v>#N/A</v>
      </c>
      <c r="L31" s="32"/>
      <c r="M31" s="3" t="e">
        <f>VLOOKUP(L31,Scores!$A$2:$B$217,2,FALSE)</f>
        <v>#N/A</v>
      </c>
      <c r="N31" s="32"/>
      <c r="O31" s="3" t="e">
        <f>VLOOKUP(N31,Scores!$A$2:$B$217,2,FALSE)</f>
        <v>#N/A</v>
      </c>
      <c r="P31" s="9"/>
      <c r="Q31" s="3" t="e">
        <f>VLOOKUP(P31,Scores!$A$2:$B$217,2,FALSE)</f>
        <v>#N/A</v>
      </c>
      <c r="R31" s="32"/>
      <c r="S31" s="3" t="e">
        <f>VLOOKUP(R31,Scores!$A$2:$B$217,2,FALSE)</f>
        <v>#N/A</v>
      </c>
      <c r="V31" s="32"/>
    </row>
    <row r="32" spans="2:23" ht="15" x14ac:dyDescent="0.25">
      <c r="B32" s="56" t="str">
        <f>Scores!A5</f>
        <v>Justin Rose</v>
      </c>
      <c r="C32" s="56">
        <f>Scores!B5</f>
        <v>0</v>
      </c>
      <c r="E32" s="13">
        <v>6</v>
      </c>
      <c r="F32" s="9"/>
      <c r="G32" s="3" t="e">
        <f>VLOOKUP(F32,Scores!$A$2:$B$217,2,FALSE)</f>
        <v>#N/A</v>
      </c>
      <c r="H32" s="9"/>
      <c r="I32" s="3" t="e">
        <f>VLOOKUP(H32,Scores!$A$2:$B$217,2,FALSE)</f>
        <v>#N/A</v>
      </c>
      <c r="J32" s="9"/>
      <c r="K32" s="3" t="e">
        <f>VLOOKUP(J32,Scores!$A$2:$B$217,2,FALSE)</f>
        <v>#N/A</v>
      </c>
      <c r="L32" s="9"/>
      <c r="M32" s="3" t="e">
        <f>VLOOKUP(L32,Scores!$A$2:$B$217,2,FALSE)</f>
        <v>#N/A</v>
      </c>
      <c r="N32" s="9"/>
      <c r="O32" s="3" t="e">
        <f>VLOOKUP(N32,Scores!$A$2:$B$217,2,FALSE)</f>
        <v>#N/A</v>
      </c>
      <c r="P32" s="9"/>
      <c r="Q32" s="3" t="e">
        <f>VLOOKUP(P32,Scores!$A$2:$B$217,2,FALSE)</f>
        <v>#N/A</v>
      </c>
      <c r="R32" s="9"/>
      <c r="S32" s="3" t="e">
        <f>VLOOKUP(R32,Scores!$A$2:$B$217,2,FALSE)</f>
        <v>#N/A</v>
      </c>
      <c r="V32" s="9"/>
    </row>
    <row r="33" spans="2:23" ht="15" x14ac:dyDescent="0.25">
      <c r="B33" s="56" t="str">
        <f>Scores!A6</f>
        <v>Collin Morikawa</v>
      </c>
      <c r="C33" s="56">
        <f>Scores!B6</f>
        <v>0</v>
      </c>
      <c r="E33" s="13">
        <v>7</v>
      </c>
      <c r="F33" s="9"/>
      <c r="G33" s="3" t="e">
        <f>VLOOKUP(F33,Scores!$A$2:$B$217,2,FALSE)</f>
        <v>#N/A</v>
      </c>
      <c r="H33" s="9"/>
      <c r="I33" s="3" t="e">
        <f>VLOOKUP(H33,Scores!$A$2:$B$217,2,FALSE)</f>
        <v>#N/A</v>
      </c>
      <c r="J33" s="9"/>
      <c r="K33" s="3" t="e">
        <f>VLOOKUP(J33,Scores!$A$2:$B$217,2,FALSE)</f>
        <v>#N/A</v>
      </c>
      <c r="L33" s="9"/>
      <c r="M33" s="3" t="e">
        <f>VLOOKUP(L33,Scores!$A$2:$B$217,2,FALSE)</f>
        <v>#N/A</v>
      </c>
      <c r="N33" s="9"/>
      <c r="O33" s="3" t="e">
        <f>VLOOKUP(N33,Scores!$A$2:$B$217,2,FALSE)</f>
        <v>#N/A</v>
      </c>
      <c r="P33" s="9"/>
      <c r="Q33" s="3" t="e">
        <f>VLOOKUP(P33,Scores!$A$2:$B$217,2,FALSE)</f>
        <v>#N/A</v>
      </c>
      <c r="R33" s="9"/>
      <c r="S33" s="3" t="e">
        <f>VLOOKUP(R33,Scores!$A$2:$B$217,2,FALSE)</f>
        <v>#N/A</v>
      </c>
      <c r="V33" s="9"/>
    </row>
    <row r="34" spans="2:23" ht="15" x14ac:dyDescent="0.25">
      <c r="B34" s="5"/>
      <c r="E34" s="13">
        <v>8</v>
      </c>
      <c r="F34" s="9"/>
      <c r="G34" s="3" t="e">
        <f>VLOOKUP(F34,Scores!$A$2:$B$217,2,FALSE)</f>
        <v>#N/A</v>
      </c>
      <c r="H34" s="9"/>
      <c r="I34" s="3" t="e">
        <f>VLOOKUP(H34,Scores!$A$2:$B$217,2,FALSE)</f>
        <v>#N/A</v>
      </c>
      <c r="J34" s="9"/>
      <c r="K34" s="3" t="e">
        <f>VLOOKUP(J34,Scores!$A$2:$B$217,2,FALSE)</f>
        <v>#N/A</v>
      </c>
      <c r="L34" s="9"/>
      <c r="M34" s="3" t="e">
        <f>VLOOKUP(L34,Scores!$A$2:$B$217,2,FALSE)</f>
        <v>#N/A</v>
      </c>
      <c r="N34" s="9"/>
      <c r="O34" s="3" t="e">
        <f>VLOOKUP(N34,Scores!$A$2:$B$217,2,FALSE)</f>
        <v>#N/A</v>
      </c>
      <c r="P34" s="9"/>
      <c r="Q34" s="3" t="e">
        <f>VLOOKUP(P34,Scores!$A$2:$B$217,2,FALSE)</f>
        <v>#N/A</v>
      </c>
      <c r="R34" s="9"/>
      <c r="S34" s="3" t="e">
        <f>VLOOKUP(R34,Scores!$A$2:$B$217,2,FALSE)</f>
        <v>#N/A</v>
      </c>
      <c r="T34" s="9"/>
      <c r="V34" s="9"/>
    </row>
    <row r="35" spans="2:23" ht="15" x14ac:dyDescent="0.25">
      <c r="B35" s="55" t="s">
        <v>399</v>
      </c>
      <c r="E35" s="13" t="s">
        <v>9</v>
      </c>
      <c r="F35" s="9"/>
      <c r="G35" s="3" t="e">
        <f>VLOOKUP(F35,Scores!$A$2:$B$217,2,FALSE)</f>
        <v>#N/A</v>
      </c>
      <c r="H35" s="9"/>
      <c r="I35" s="3" t="e">
        <f>VLOOKUP(H35,Scores!$A$2:$B$217,2,FALSE)</f>
        <v>#N/A</v>
      </c>
      <c r="J35" s="9"/>
      <c r="K35" s="3" t="e">
        <f>VLOOKUP(J35,Scores!$A$2:$B$217,2,FALSE)</f>
        <v>#N/A</v>
      </c>
      <c r="L35" s="32"/>
      <c r="M35" s="3" t="e">
        <f>VLOOKUP(L35,Scores!$A$2:$B$217,2,FALSE)</f>
        <v>#N/A</v>
      </c>
      <c r="N35" s="9"/>
      <c r="O35" s="3" t="e">
        <f>VLOOKUP(N35,Scores!$A$2:$B$217,2,FALSE)</f>
        <v>#N/A</v>
      </c>
      <c r="P35" s="9"/>
      <c r="Q35" s="3" t="e">
        <f>VLOOKUP(P35,Scores!$A$2:$B$217,2,FALSE)</f>
        <v>#N/A</v>
      </c>
      <c r="R35" s="9"/>
      <c r="S35" s="3" t="e">
        <f>VLOOKUP(R35,Scores!$A$2:$B$217,2,FALSE)</f>
        <v>#N/A</v>
      </c>
      <c r="V35" s="9"/>
    </row>
    <row r="36" spans="2:23" ht="15" x14ac:dyDescent="0.25">
      <c r="B36" s="57" t="s">
        <v>464</v>
      </c>
      <c r="E36" s="13" t="s">
        <v>10</v>
      </c>
      <c r="F36" s="9"/>
      <c r="G36" s="3" t="e">
        <f>VLOOKUP(F36,Scores!$A$2:$B$217,2,FALSE)</f>
        <v>#N/A</v>
      </c>
      <c r="H36" s="9"/>
      <c r="I36" s="3" t="e">
        <f>VLOOKUP(H36,Scores!$A$2:$B$217,2,FALSE)</f>
        <v>#N/A</v>
      </c>
      <c r="J36" s="9"/>
      <c r="K36" s="3" t="e">
        <f>VLOOKUP(J36,Scores!$A$2:$B$217,2,FALSE)</f>
        <v>#N/A</v>
      </c>
      <c r="L36" s="9"/>
      <c r="M36" s="3" t="e">
        <f>VLOOKUP(L36,Scores!$A$2:$B$217,2,FALSE)</f>
        <v>#N/A</v>
      </c>
      <c r="N36" s="9"/>
      <c r="O36" s="3" t="e">
        <f>VLOOKUP(N36,Scores!$A$2:$B$217,2,FALSE)</f>
        <v>#N/A</v>
      </c>
      <c r="P36" s="9"/>
      <c r="Q36" s="3" t="e">
        <f>VLOOKUP(P36,Scores!$A$2:$B$217,2,FALSE)</f>
        <v>#N/A</v>
      </c>
      <c r="R36" s="9"/>
      <c r="S36" s="3" t="e">
        <f>VLOOKUP(R36,Scores!$A$2:$B$217,2,FALSE)</f>
        <v>#N/A</v>
      </c>
      <c r="V36" s="9"/>
    </row>
    <row r="37" spans="2:23" x14ac:dyDescent="0.2">
      <c r="E37"/>
      <c r="G37" s="3"/>
      <c r="I37" s="3"/>
      <c r="K37" s="3"/>
      <c r="M37" s="3"/>
      <c r="O37" s="3"/>
      <c r="Q37" s="3"/>
      <c r="S37" s="3"/>
    </row>
    <row r="38" spans="2:23" x14ac:dyDescent="0.2">
      <c r="E38" s="8"/>
      <c r="F38" s="7"/>
      <c r="G38" s="1"/>
      <c r="H38" s="7"/>
      <c r="I38" s="1"/>
      <c r="J38" s="7"/>
      <c r="K38" s="1"/>
      <c r="L38" s="7"/>
      <c r="M38" s="1"/>
      <c r="N38" s="7"/>
      <c r="O38" s="1"/>
      <c r="P38" s="7"/>
      <c r="Q38" s="1"/>
      <c r="R38" s="7"/>
      <c r="S38" s="1"/>
      <c r="T38" s="7"/>
      <c r="U38" s="1"/>
      <c r="V38" s="7"/>
      <c r="W38" s="1"/>
    </row>
    <row r="39" spans="2:23" ht="15" x14ac:dyDescent="0.25">
      <c r="E39" s="8"/>
      <c r="F39" s="32"/>
      <c r="G39" s="18"/>
      <c r="I39" s="3"/>
      <c r="J39" s="9"/>
      <c r="K39" s="3"/>
      <c r="L39" s="9"/>
      <c r="M39" s="3"/>
      <c r="N39" s="9"/>
      <c r="O39" s="3"/>
      <c r="P39" s="9"/>
      <c r="Q39" s="3"/>
      <c r="R39" s="9"/>
      <c r="S39" s="3"/>
      <c r="V39" s="9"/>
    </row>
    <row r="40" spans="2:23" ht="15" x14ac:dyDescent="0.25">
      <c r="E40" s="8"/>
      <c r="F40" s="32"/>
      <c r="G40" s="18"/>
      <c r="H40" s="9"/>
      <c r="I40" s="3"/>
      <c r="J40" s="9"/>
      <c r="K40" s="3"/>
      <c r="L40" s="9"/>
      <c r="M40" s="3"/>
      <c r="N40" s="9"/>
      <c r="O40" s="3"/>
      <c r="P40" s="9"/>
      <c r="Q40" s="3"/>
      <c r="R40" s="9"/>
      <c r="S40" s="3"/>
      <c r="V40" s="9"/>
    </row>
    <row r="41" spans="2:23" ht="15" x14ac:dyDescent="0.25">
      <c r="E41" s="8"/>
      <c r="F41" s="32"/>
      <c r="G41" s="18"/>
      <c r="H41" s="9"/>
      <c r="I41" s="3"/>
      <c r="J41" s="9"/>
      <c r="K41" s="3"/>
      <c r="L41" s="9"/>
      <c r="M41" s="3"/>
      <c r="N41" s="9"/>
      <c r="O41" s="3"/>
      <c r="P41" s="9"/>
      <c r="Q41" s="3"/>
      <c r="R41" s="9"/>
      <c r="S41" s="3"/>
      <c r="V41" s="9"/>
    </row>
    <row r="42" spans="2:23" ht="15" x14ac:dyDescent="0.25">
      <c r="E42" s="8"/>
      <c r="F42" s="32"/>
      <c r="G42" s="18"/>
      <c r="H42" s="9"/>
      <c r="I42" s="3"/>
      <c r="J42" s="9"/>
      <c r="K42" s="3"/>
      <c r="L42" s="9"/>
      <c r="M42" s="3"/>
      <c r="N42" s="9"/>
      <c r="O42" s="3"/>
      <c r="P42" s="9"/>
      <c r="Q42" s="3"/>
      <c r="R42" s="9"/>
      <c r="S42" s="3"/>
      <c r="V42" s="9"/>
    </row>
    <row r="43" spans="2:23" ht="15" x14ac:dyDescent="0.25">
      <c r="E43" s="8"/>
      <c r="F43" s="32"/>
      <c r="G43" s="18"/>
      <c r="H43" s="9"/>
      <c r="I43" s="3"/>
      <c r="J43" s="32"/>
      <c r="K43" s="3"/>
      <c r="L43" s="32"/>
      <c r="M43" s="3"/>
      <c r="N43" s="32"/>
      <c r="O43" s="3"/>
      <c r="Q43" s="3"/>
      <c r="R43" s="9"/>
      <c r="S43" s="3"/>
      <c r="V43" s="32"/>
    </row>
    <row r="44" spans="2:23" ht="15" x14ac:dyDescent="0.25">
      <c r="E44" s="8"/>
      <c r="F44" s="32"/>
      <c r="G44" s="18"/>
      <c r="H44" s="9"/>
      <c r="I44" s="3"/>
      <c r="J44" s="9"/>
      <c r="K44" s="3"/>
      <c r="L44" s="9"/>
      <c r="M44" s="3"/>
      <c r="N44" s="9"/>
      <c r="O44" s="3"/>
      <c r="P44" s="9"/>
      <c r="Q44" s="3"/>
      <c r="R44" s="9"/>
      <c r="S44" s="3"/>
      <c r="V44" s="9"/>
    </row>
    <row r="45" spans="2:23" ht="15" x14ac:dyDescent="0.25">
      <c r="E45" s="8"/>
      <c r="F45" s="32"/>
      <c r="G45" s="18"/>
      <c r="H45" s="9"/>
      <c r="I45" s="3"/>
      <c r="J45" s="9"/>
      <c r="K45" s="3"/>
      <c r="L45" s="9"/>
      <c r="M45" s="3"/>
      <c r="N45" s="9"/>
      <c r="O45" s="3"/>
      <c r="P45" s="9"/>
      <c r="Q45" s="3"/>
      <c r="R45" s="9"/>
      <c r="S45" s="3"/>
      <c r="V45" s="9"/>
    </row>
    <row r="46" spans="2:23" ht="15" x14ac:dyDescent="0.25">
      <c r="E46" s="8"/>
      <c r="F46" s="19"/>
      <c r="G46" s="18"/>
      <c r="H46" s="9"/>
      <c r="I46" s="3"/>
      <c r="J46" s="9"/>
      <c r="K46" s="3"/>
      <c r="M46" s="3"/>
      <c r="N46" s="9"/>
      <c r="O46" s="3"/>
      <c r="Q46" s="3"/>
      <c r="R46" s="9"/>
      <c r="S46" s="3"/>
    </row>
    <row r="47" spans="2:23" ht="15" x14ac:dyDescent="0.25">
      <c r="E47" s="8"/>
      <c r="F47" s="32"/>
      <c r="G47" s="18"/>
      <c r="H47" s="9"/>
      <c r="I47" s="3"/>
      <c r="J47" s="9"/>
      <c r="K47" s="3"/>
      <c r="L47" s="9"/>
      <c r="M47" s="3"/>
      <c r="N47" s="9"/>
      <c r="O47" s="3"/>
      <c r="P47" s="9"/>
      <c r="Q47" s="3"/>
      <c r="R47" s="31"/>
      <c r="S47" s="3"/>
      <c r="V47" s="9"/>
    </row>
    <row r="48" spans="2:23" ht="15" x14ac:dyDescent="0.25">
      <c r="E48" s="8"/>
      <c r="F48" s="32"/>
      <c r="G48" s="18"/>
      <c r="H48" s="9"/>
      <c r="I48" s="3"/>
      <c r="J48" s="9"/>
      <c r="K48" s="3"/>
      <c r="L48" s="9"/>
      <c r="M48" s="3"/>
      <c r="N48" s="9"/>
      <c r="O48" s="3"/>
      <c r="P48" s="9"/>
      <c r="Q48" s="3"/>
      <c r="R48" s="9"/>
      <c r="S48" s="3"/>
      <c r="V48" s="9"/>
    </row>
    <row r="49" spans="2:27" x14ac:dyDescent="0.2">
      <c r="E49"/>
      <c r="G49" s="3"/>
      <c r="I49" s="3"/>
      <c r="K49" s="3"/>
      <c r="M49" s="3"/>
      <c r="O49" s="3"/>
      <c r="Q49" s="3"/>
      <c r="S49" s="3"/>
    </row>
    <row r="50" spans="2:27" x14ac:dyDescent="0.2">
      <c r="B50" t="s">
        <v>465</v>
      </c>
      <c r="E50"/>
      <c r="F50" t="str">
        <f>F2</f>
        <v>Joe Magnetico</v>
      </c>
      <c r="G50" t="str">
        <f>H2</f>
        <v>Dean Nardone</v>
      </c>
      <c r="H50" t="str">
        <f>J2</f>
        <v>Lorraine McGill</v>
      </c>
      <c r="I50" t="str">
        <f>L2</f>
        <v>Russ Flagg</v>
      </c>
      <c r="J50" t="str">
        <f>N2</f>
        <v>Bill Seeger</v>
      </c>
      <c r="K50" t="str">
        <f>P2</f>
        <v>Matt Myers</v>
      </c>
      <c r="L50" t="str">
        <f>R2</f>
        <v>Matt Desai</v>
      </c>
      <c r="M50" t="str">
        <f>T2</f>
        <v>Charlie Adams</v>
      </c>
      <c r="N50" t="str">
        <f>P26</f>
        <v>Steve McFadden</v>
      </c>
      <c r="O50" t="str">
        <f>F14</f>
        <v>Damon Chapman</v>
      </c>
      <c r="P50" t="str">
        <f>H14</f>
        <v>Gary Casarsa</v>
      </c>
      <c r="Q50" t="str">
        <f>J14</f>
        <v>Laurie Seeger</v>
      </c>
      <c r="R50" t="str">
        <f>L14</f>
        <v>Mike Coope</v>
      </c>
      <c r="S50" t="str">
        <f>N14</f>
        <v>Richard Webster</v>
      </c>
      <c r="T50" t="str">
        <f>P14</f>
        <v>Halley Ganges</v>
      </c>
      <c r="U50" t="str">
        <f>R14</f>
        <v>Chris Callahan</v>
      </c>
      <c r="V50" t="str">
        <f>N26</f>
        <v>Chris Marinis</v>
      </c>
      <c r="W50" s="3" t="str">
        <f>R26</f>
        <v>Ann Heal</v>
      </c>
      <c r="X50" t="str">
        <f>F26</f>
        <v>Mark Brenman</v>
      </c>
      <c r="Y50" t="str">
        <f>H26</f>
        <v>Sean Christian</v>
      </c>
      <c r="Z50" t="str">
        <f>J26</f>
        <v>Ken Webster</v>
      </c>
      <c r="AA50" t="str">
        <f>L26</f>
        <v>Frank Prestifilippo</v>
      </c>
    </row>
    <row r="51" spans="2:27" x14ac:dyDescent="0.2">
      <c r="B51" t="s">
        <v>462</v>
      </c>
      <c r="E51" t="s">
        <v>79</v>
      </c>
      <c r="F51" s="3" t="e">
        <f>G2</f>
        <v>#N/A</v>
      </c>
      <c r="G51" s="3" t="e">
        <f>I2</f>
        <v>#N/A</v>
      </c>
      <c r="H51" s="3" t="e">
        <f>K2</f>
        <v>#N/A</v>
      </c>
      <c r="I51" s="3" t="e">
        <f>M2</f>
        <v>#N/A</v>
      </c>
      <c r="J51" s="3" t="e">
        <f>O2</f>
        <v>#N/A</v>
      </c>
      <c r="K51" s="3" t="e">
        <f>Q2</f>
        <v>#N/A</v>
      </c>
      <c r="L51" s="3" t="e">
        <f>S2</f>
        <v>#N/A</v>
      </c>
      <c r="M51" s="3" t="e">
        <f>U2</f>
        <v>#N/A</v>
      </c>
      <c r="N51" s="3" t="e">
        <f>Q26</f>
        <v>#N/A</v>
      </c>
      <c r="O51" s="3" t="e">
        <f>G14</f>
        <v>#N/A</v>
      </c>
      <c r="P51" s="3" t="e">
        <f>I14</f>
        <v>#N/A</v>
      </c>
      <c r="Q51" s="3" t="e">
        <f>K14</f>
        <v>#N/A</v>
      </c>
      <c r="R51" s="3" t="e">
        <f>M14</f>
        <v>#N/A</v>
      </c>
      <c r="S51" s="3" t="e">
        <f>O14</f>
        <v>#N/A</v>
      </c>
      <c r="T51" s="3" t="e">
        <f>Q14</f>
        <v>#N/A</v>
      </c>
      <c r="U51" s="3" t="e">
        <f>S14</f>
        <v>#N/A</v>
      </c>
      <c r="V51" s="3" t="e">
        <f>O26</f>
        <v>#N/A</v>
      </c>
      <c r="W51" s="3" t="e">
        <f>S26</f>
        <v>#N/A</v>
      </c>
      <c r="X51" s="3" t="e">
        <f>G26</f>
        <v>#N/A</v>
      </c>
      <c r="Y51" s="3" t="e">
        <f>I26</f>
        <v>#N/A</v>
      </c>
      <c r="Z51" s="3" t="e">
        <f>K26</f>
        <v>#N/A</v>
      </c>
      <c r="AA51" s="3" t="e">
        <f>M26</f>
        <v>#N/A</v>
      </c>
    </row>
    <row r="52" spans="2:27" x14ac:dyDescent="0.2">
      <c r="E52" s="19" t="s">
        <v>376</v>
      </c>
      <c r="F52" s="3"/>
      <c r="G52" s="3"/>
      <c r="H52" s="3"/>
      <c r="I52" s="3"/>
      <c r="J52" s="3"/>
      <c r="K52" s="3"/>
      <c r="L52" s="3"/>
      <c r="M52" s="3"/>
      <c r="N52" s="3"/>
      <c r="O52" s="3"/>
      <c r="P52" s="3"/>
      <c r="Q52" s="3"/>
      <c r="R52" s="3"/>
      <c r="S52" s="3"/>
      <c r="T52" s="3"/>
      <c r="V52" s="3"/>
      <c r="X52" s="3"/>
      <c r="Y52" s="3"/>
      <c r="Z52" s="3"/>
      <c r="AA52" s="3"/>
    </row>
    <row r="53" spans="2:27" x14ac:dyDescent="0.2">
      <c r="E53" s="19"/>
      <c r="F53" s="3"/>
      <c r="G53" s="3"/>
      <c r="H53" s="3"/>
      <c r="I53" s="3"/>
      <c r="J53" s="3"/>
      <c r="K53" s="3"/>
      <c r="L53" s="3"/>
      <c r="M53" s="3"/>
      <c r="N53" s="3"/>
      <c r="O53" s="3"/>
      <c r="P53" s="3"/>
      <c r="Q53" s="3"/>
      <c r="R53" s="3"/>
      <c r="S53" s="3"/>
      <c r="T53" s="3"/>
      <c r="V53" s="3"/>
      <c r="X53" s="3"/>
      <c r="Y53" s="3"/>
      <c r="Z53" s="3"/>
      <c r="AA53" s="3"/>
    </row>
    <row r="54" spans="2:27" x14ac:dyDescent="0.2">
      <c r="E54"/>
      <c r="F54" s="7" t="s">
        <v>25</v>
      </c>
      <c r="G54" s="20">
        <f>SMALL(G55:G62,1)+SMALL(G55:G62,2)+SMALL(G55:G62,3)+SMALL(G55:G62,4)+SMALL(G55:G62,5)</f>
        <v>-41</v>
      </c>
      <c r="I54" s="3"/>
      <c r="K54" s="3"/>
      <c r="M54" s="3"/>
      <c r="O54" s="3"/>
      <c r="Q54" s="3"/>
      <c r="S54" s="3"/>
    </row>
    <row r="55" spans="2:27" x14ac:dyDescent="0.2">
      <c r="E55"/>
      <c r="G55">
        <f>'Top 40'!B36</f>
        <v>-12</v>
      </c>
      <c r="I55"/>
      <c r="M55" s="3"/>
      <c r="O55" s="3"/>
      <c r="Q55" s="3"/>
      <c r="S55" s="3"/>
    </row>
    <row r="56" spans="2:27" x14ac:dyDescent="0.2">
      <c r="E56"/>
      <c r="G56">
        <f>'Top 40'!B37</f>
        <v>-5</v>
      </c>
      <c r="I56"/>
      <c r="M56" s="3"/>
      <c r="O56" s="3"/>
      <c r="Q56" s="3"/>
      <c r="S56" s="3"/>
    </row>
    <row r="57" spans="2:27" x14ac:dyDescent="0.2">
      <c r="G57">
        <f>'Top 40'!B38</f>
        <v>-6</v>
      </c>
      <c r="I57"/>
    </row>
    <row r="58" spans="2:27" x14ac:dyDescent="0.2">
      <c r="G58">
        <f>'Top 40'!B39</f>
        <v>-8</v>
      </c>
      <c r="I58"/>
    </row>
    <row r="59" spans="2:27" x14ac:dyDescent="0.2">
      <c r="G59">
        <f>'Top 40'!B40</f>
        <v>-5</v>
      </c>
      <c r="I59"/>
    </row>
    <row r="60" spans="2:27" x14ac:dyDescent="0.2">
      <c r="G60">
        <f>'Top 40'!B41</f>
        <v>-10</v>
      </c>
      <c r="I60"/>
    </row>
    <row r="61" spans="2:27" x14ac:dyDescent="0.2">
      <c r="G61">
        <f>'Top 40'!B42</f>
        <v>-3</v>
      </c>
      <c r="I61"/>
    </row>
    <row r="62" spans="2:27" x14ac:dyDescent="0.2">
      <c r="G62" s="22">
        <f>'Top 40'!B43</f>
        <v>-5</v>
      </c>
      <c r="I62"/>
    </row>
    <row r="63" spans="2:27" x14ac:dyDescent="0.2">
      <c r="F63" s="21"/>
      <c r="G63" s="19"/>
      <c r="I63"/>
    </row>
    <row r="64" spans="2:27" x14ac:dyDescent="0.2">
      <c r="F64" s="21"/>
      <c r="G64"/>
      <c r="I64"/>
    </row>
    <row r="65" spans="7:9" x14ac:dyDescent="0.2">
      <c r="G65"/>
      <c r="I65"/>
    </row>
    <row r="66" spans="7:9" x14ac:dyDescent="0.2">
      <c r="G66"/>
      <c r="I66"/>
    </row>
    <row r="67" spans="7:9" x14ac:dyDescent="0.2">
      <c r="G67"/>
      <c r="I67"/>
    </row>
    <row r="68" spans="7:9" x14ac:dyDescent="0.2">
      <c r="G68"/>
      <c r="I68"/>
    </row>
    <row r="69" spans="7:9" x14ac:dyDescent="0.2">
      <c r="G69"/>
      <c r="I69"/>
    </row>
    <row r="70" spans="7:9" x14ac:dyDescent="0.2">
      <c r="G70"/>
      <c r="I70"/>
    </row>
    <row r="71" spans="7:9" x14ac:dyDescent="0.2">
      <c r="G71"/>
      <c r="I71"/>
    </row>
    <row r="72" spans="7:9" x14ac:dyDescent="0.2">
      <c r="G72"/>
      <c r="I72"/>
    </row>
    <row r="73" spans="7:9" x14ac:dyDescent="0.2">
      <c r="G73"/>
      <c r="I73"/>
    </row>
    <row r="74" spans="7:9" x14ac:dyDescent="0.2">
      <c r="G74"/>
      <c r="I74"/>
    </row>
    <row r="75" spans="7:9" x14ac:dyDescent="0.2">
      <c r="G75"/>
      <c r="I75"/>
    </row>
    <row r="76" spans="7:9" x14ac:dyDescent="0.2">
      <c r="G76"/>
      <c r="I76"/>
    </row>
    <row r="77" spans="7:9" x14ac:dyDescent="0.2">
      <c r="G77"/>
      <c r="I77"/>
    </row>
    <row r="78" spans="7:9" x14ac:dyDescent="0.2">
      <c r="G78"/>
      <c r="I78"/>
    </row>
    <row r="79" spans="7:9" x14ac:dyDescent="0.2">
      <c r="G79"/>
      <c r="I79"/>
    </row>
    <row r="80" spans="7:9" x14ac:dyDescent="0.2">
      <c r="G80"/>
      <c r="I80"/>
    </row>
    <row r="81" spans="7:9" x14ac:dyDescent="0.2">
      <c r="G81"/>
      <c r="I81"/>
    </row>
    <row r="82" spans="7:9" x14ac:dyDescent="0.2">
      <c r="G82"/>
      <c r="I82"/>
    </row>
    <row r="83" spans="7:9" x14ac:dyDescent="0.2">
      <c r="G83"/>
      <c r="I83"/>
    </row>
  </sheetData>
  <conditionalFormatting sqref="F2:U36">
    <cfRule type="cellIs" dxfId="155" priority="6" operator="equal">
      <formula>50</formula>
    </cfRule>
  </conditionalFormatting>
  <conditionalFormatting sqref="F3:F12 H3:H12 J3:J12 L3:L12 N3:N12 P3:P12 R3:R12 F15:F24 H15:H24 J15:J24 L15:L25 N15:N24 P15:P24 R15:R24 F27:F36 H27:H36 J27:J36 L27:L36 N27:N36 P27:P36 R27:R36 T3:T12">
    <cfRule type="expression" dxfId="154" priority="5">
      <formula>G3=50</formula>
    </cfRule>
  </conditionalFormatting>
  <conditionalFormatting sqref="W2:X9 W11:X12 X10">
    <cfRule type="cellIs" dxfId="153" priority="4" operator="equal">
      <formula>50</formula>
    </cfRule>
  </conditionalFormatting>
  <conditionalFormatting sqref="W3:W9 W11:W12">
    <cfRule type="expression" dxfId="152" priority="3">
      <formula>X3=50</formula>
    </cfRule>
  </conditionalFormatting>
  <conditionalFormatting sqref="W10">
    <cfRule type="cellIs" dxfId="151" priority="2" operator="equal">
      <formula>50</formula>
    </cfRule>
  </conditionalFormatting>
  <conditionalFormatting sqref="W10">
    <cfRule type="expression" dxfId="150" priority="1">
      <formula>X10=50</formula>
    </cfRule>
  </conditionalFormatting>
  <hyperlinks>
    <hyperlink ref="B28" r:id="rId1" display="Leaderboard" xr:uid="{E14DA0E5-6B57-44D4-945A-D16E82AFF75C}"/>
    <hyperlink ref="B35" r:id="rId2" xr:uid="{DAB56853-B1ED-4275-9EC7-731A1275C56B}"/>
  </hyperlinks>
  <pageMargins left="0.7" right="0.7" top="0.75" bottom="0.75" header="0.3" footer="0.3"/>
  <pageSetup orientation="portrait" r:id="rId3"/>
  <webPublishItems count="1">
    <webPublishItem id="19364" divId="JoeMagneticoPGATour_19364" sourceType="range" sourceRef="A1:U36" destinationFile="C:\pga\html\JoeMagnetico.htm" title="Joe Magnetico Golf"/>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F4783F9E-6D2C-4830-AE99-3BCFD6860B6D}">
          <x14:formula1>
            <xm:f>'Top 40'!$C$3:$G$3</xm:f>
          </x14:formula1>
          <xm:sqref>F3 R27 H3 J3 N15 H15 T15 N27 J27 P3 P27 J15 R15 L27 L15 P15 H27 F15 F27 L3 T39 T3 N3 V27 T27 R39 N39 J39 P39 L39 H39 F39 V39 R3 W3</xm:sqref>
        </x14:dataValidation>
        <x14:dataValidation type="list" allowBlank="1" showInputMessage="1" showErrorMessage="1" xr:uid="{97724495-A088-4A43-8C6F-AB90AB13702B}">
          <x14:formula1>
            <xm:f>'Top 40'!$C$5:$G$5</xm:f>
          </x14:formula1>
          <xm:sqref>J17 F17 H29 J29 N29 L5 F5 H5 J5 N5 V41 F29 L29 T17 P29 R17 P17 N17 L17 H17 T5 R29 P5 T29 V29 H41 J41 N41 R41 F41 L41 P41 T41 R5 W5</xm:sqref>
        </x14:dataValidation>
        <x14:dataValidation type="list" allowBlank="1" showInputMessage="1" showErrorMessage="1" xr:uid="{14E8E537-4618-4AA7-8BE3-6D940489984E}">
          <x14:formula1>
            <xm:f>'Top 40'!$C$6:$G$6</xm:f>
          </x14:formula1>
          <xm:sqref>F6 H6 J6 N6 L6 T42 P30 P18 R30 T18 P6 L18 R18 L30 J18 H18 F18 F30 H30 J30 N30 N18 T6 V30 T30 R42 L42 F42 H42 J42 N42 P42 V42 R6 W6</xm:sqref>
        </x14:dataValidation>
        <x14:dataValidation type="list" allowBlank="1" showInputMessage="1" showErrorMessage="1" xr:uid="{174EB624-7C3A-4A2F-8CF6-AC0DC8E03935}">
          <x14:formula1>
            <xm:f>'Top 40'!$C$7:$G$7</xm:f>
          </x14:formula1>
          <xm:sqref>F7 H7 J7 L7 P19 P7 N31 T7 P31 N7 T19 V43 N19 L19 J19 F31 R31 F19 L31 H31 R19 H19 J31 T31 V31 N43 F43 L43 H43 J43 R43 P43 T43 R7 W7</xm:sqref>
        </x14:dataValidation>
        <x14:dataValidation type="list" allowBlank="1" showInputMessage="1" showErrorMessage="1" xr:uid="{C835E67E-9E8E-4188-B719-C3FF93653C7D}">
          <x14:formula1>
            <xm:f>'Top 40'!$C$8:$G$8</xm:f>
          </x14:formula1>
          <xm:sqref>F8 H8 J8 L8 N8 T44 P8 R32 T20 T8 R20 P20 N20 P32 H20 L20 F20 F32 J20 L32 H32 N32 J32 V32 T32 R44 P44 F44 L44 H44 N44 J44 V44 R8 W8</xm:sqref>
        </x14:dataValidation>
        <x14:dataValidation type="list" allowBlank="1" showInputMessage="1" showErrorMessage="1" xr:uid="{834BCFD3-7896-49DB-A5FA-70E6172E3C41}">
          <x14:formula1>
            <xm:f>'Top 40'!$C$9:$G$9</xm:f>
          </x14:formula1>
          <xm:sqref>F9 R9 J9 L9 N9 T45 F21 T9 R33 T21 P33 R21 P9 P21 J21 L21 N21 F33 H21 H33 L33 N33 J33 V33 T33 P45 F45 H45 L45 N45 J45 R45 V45 H9 W9</xm:sqref>
        </x14:dataValidation>
        <x14:dataValidation type="list" allowBlank="1" showInputMessage="1" showErrorMessage="1" xr:uid="{8B077437-FA44-4481-ACEC-898B26BA4CBF}">
          <x14:formula1>
            <xm:f>'Top 40'!$C$10:$G$10</xm:f>
          </x14:formula1>
          <xm:sqref>R46 T46 F46 P46 L46 J46 H46 N46 V46 F10 H10 J10 L10 N10 P10 T34 V34 P34 R34 T22 R22 P22 N22 L22 J22 H22 F22 F34 H34 J34 L34 N34 R10 T10 W10</xm:sqref>
        </x14:dataValidation>
        <x14:dataValidation type="list" allowBlank="1" showInputMessage="1" showErrorMessage="1" xr:uid="{845CD611-A34F-43E3-A2F1-DF9AC65D665F}">
          <x14:formula1>
            <xm:f>'Top 40'!$C$4:$G$4</xm:f>
          </x14:formula1>
          <xm:sqref>F4 H4 J4 P16 N4 P4 L4 N16 V40 P28 T16 R28 R16 H16 L16 T4 J16 F28 H28 N28 L28 J28 F16 T28 V28 P40 F40 H40 N40 R40 L40 J40 T40 R4 W4</xm:sqref>
        </x14:dataValidation>
        <x14:dataValidation type="list" allowBlank="1" showInputMessage="1" showErrorMessage="1" xr:uid="{ED9A60E9-1737-4412-A5CA-479339B481DD}">
          <x14:formula1>
            <xm:f>Field!$A$2:$A$202</xm:f>
          </x14:formula1>
          <xm:sqref>F23:F24 W11:W12 F47:F48 H47:H48 J47:J48 L47:L48 N47:N48 P47:P48 R47:R48 T47:T48 V47:V48 V35:V36 T35:T36 N35:N36 P23:P24 J35:J36 H35:H36 F35:F36 J11:J12 H23:H24 J23:J24 H11:H12 N23:N24 L23:L24 R23:R24 T23:T24 R35:R36 P35:P36 F11:F12 L35:L36 P11:P12 N11:N12 L11:L12 R11:R12 T11:T12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AE5A8-341D-42A2-8C23-AB03C25D06DB}">
  <sheetPr codeName="Sheet6"/>
  <dimension ref="A1:AH83"/>
  <sheetViews>
    <sheetView zoomScaleNormal="100" workbookViewId="0"/>
  </sheetViews>
  <sheetFormatPr defaultColWidth="8.5703125" defaultRowHeight="12.75" x14ac:dyDescent="0.2"/>
  <cols>
    <col min="1" max="1" width="5.28515625" customWidth="1"/>
    <col min="2" max="2" width="18.28515625" customWidth="1"/>
    <col min="3" max="3" width="5.140625" style="3" customWidth="1"/>
    <col min="4" max="4" width="6" style="3" customWidth="1"/>
    <col min="5" max="5" width="8.5703125" style="3"/>
    <col min="6" max="6" width="17.85546875" bestFit="1" customWidth="1"/>
    <col min="7" max="7" width="8.5703125" style="2" customWidth="1"/>
    <col min="8" max="8" width="19.5703125" bestFit="1" customWidth="1"/>
    <col min="9" max="9" width="8.5703125" style="2"/>
    <col min="10" max="10" width="17.85546875" bestFit="1" customWidth="1"/>
    <col min="11" max="11" width="8.5703125" style="2"/>
    <col min="12" max="12" width="17.85546875" bestFit="1" customWidth="1"/>
    <col min="13" max="13" width="8.5703125" style="2"/>
    <col min="14" max="14" width="16.28515625" bestFit="1" customWidth="1"/>
    <col min="15" max="15" width="8.5703125" style="2"/>
    <col min="16" max="16" width="17.85546875" bestFit="1" customWidth="1"/>
    <col min="17" max="17" width="8.5703125" style="2"/>
    <col min="18" max="18" width="17.85546875" bestFit="1" customWidth="1"/>
    <col min="19" max="19" width="8.5703125" style="2"/>
    <col min="20" max="20" width="16.42578125" bestFit="1" customWidth="1"/>
    <col min="21" max="21" width="8.5703125" style="3"/>
    <col min="22" max="22" width="19.42578125" customWidth="1"/>
    <col min="23" max="23" width="8.5703125" style="3"/>
  </cols>
  <sheetData>
    <row r="1" spans="1:21" x14ac:dyDescent="0.2">
      <c r="A1" s="15" t="s">
        <v>345</v>
      </c>
      <c r="B1" s="49" t="s">
        <v>375</v>
      </c>
      <c r="E1" s="8"/>
    </row>
    <row r="2" spans="1:21" s="7" customFormat="1" x14ac:dyDescent="0.2">
      <c r="B2" s="50" t="s">
        <v>1</v>
      </c>
      <c r="C2" s="51"/>
      <c r="D2" s="51" t="s">
        <v>303</v>
      </c>
      <c r="E2" s="12"/>
      <c r="F2" s="10" t="s">
        <v>349</v>
      </c>
      <c r="G2" s="11" t="e">
        <f>SMALL(G3:G12,1)+SMALL(G3:G12,2)+SMALL(G3:G12,3)+SMALL(G3:G12,4)+SMALL(G3:G12,5)</f>
        <v>#N/A</v>
      </c>
      <c r="H2" s="10" t="s">
        <v>350</v>
      </c>
      <c r="I2" s="11" t="e">
        <f>SMALL(I3:I12,1)+SMALL(I3:I12,2)+SMALL(I3:I12,3)+SMALL(I3:I12,4)+SMALL(I3:I12,5)</f>
        <v>#N/A</v>
      </c>
      <c r="J2" s="10" t="s">
        <v>351</v>
      </c>
      <c r="K2" s="11" t="e">
        <f>SMALL(K3:K12,1)+SMALL(K3:K12,2)+SMALL(K3:K12,3)+SMALL(K3:K12,4)+SMALL(K3:K12,5)</f>
        <v>#N/A</v>
      </c>
      <c r="L2" s="10" t="s">
        <v>352</v>
      </c>
      <c r="M2" s="11" t="e">
        <f>SMALL(M3:M12,1)+SMALL(M3:M12,2)+SMALL(M3:M12,3)+SMALL(M3:M12,4)+SMALL(M3:M12,5)</f>
        <v>#N/A</v>
      </c>
      <c r="N2" s="10" t="s">
        <v>353</v>
      </c>
      <c r="O2" s="11" t="e">
        <f>SMALL(O3:O12,1)+SMALL(O3:O12,2)+SMALL(O3:O12,3)+SMALL(O3:O12,4)+SMALL(O3:O12,5)</f>
        <v>#N/A</v>
      </c>
      <c r="P2" s="10" t="s">
        <v>354</v>
      </c>
      <c r="Q2" s="11" t="e">
        <f>SMALL(Q3:Q12,1)+SMALL(Q3:Q12,2)+SMALL(Q3:Q12,3)+SMALL(Q3:Q12,4)+SMALL(Q3:Q12,5)</f>
        <v>#N/A</v>
      </c>
      <c r="R2" s="10" t="s">
        <v>355</v>
      </c>
      <c r="S2" s="11" t="e">
        <f>SMALL(S3:S12,1)+SMALL(S3:S12,2)+SMALL(S3:S12,3)+SMALL(S3:S12,4)+SMALL(S3:S12,5)</f>
        <v>#N/A</v>
      </c>
      <c r="T2" s="10" t="s">
        <v>356</v>
      </c>
      <c r="U2" s="11" t="e">
        <f>SMALL(U3:U12,1)+SMALL(U3:U12,2)+SMALL(U3:U12,3)+SMALL(U3:U12,4)+SMALL(U3:U12,5)</f>
        <v>#N/A</v>
      </c>
    </row>
    <row r="3" spans="1:21" ht="15" x14ac:dyDescent="0.25">
      <c r="B3" s="52" t="str" cm="1">
        <f t="array" ref="B3:C31">TRANSPOSE(_xlfn._xlws.SORT(F50:AH51,2,1,TRUE))</f>
        <v>Webster</v>
      </c>
      <c r="C3" s="53" t="e">
        <v>#N/A</v>
      </c>
      <c r="D3" s="37">
        <f>HLOOKUP(B3,$F$50:$AH$52,3,)</f>
        <v>0</v>
      </c>
      <c r="E3" s="13">
        <v>1</v>
      </c>
      <c r="F3" s="9"/>
      <c r="G3" s="3" t="e">
        <f>VLOOKUP(F3,Scores!$A$2:$B$217,2,FALSE)</f>
        <v>#N/A</v>
      </c>
      <c r="H3" s="9"/>
      <c r="I3" s="3" t="e">
        <f>VLOOKUP(H3,Scores!$A$2:$B$217,2,FALSE)</f>
        <v>#N/A</v>
      </c>
      <c r="J3" s="9"/>
      <c r="K3" s="3" t="e">
        <f>VLOOKUP(J3,Scores!$A$2:$B$217,2,FALSE)</f>
        <v>#N/A</v>
      </c>
      <c r="L3" s="9"/>
      <c r="M3" s="3" t="e">
        <f>VLOOKUP(L3,Scores!$A$2:$B$217,2,FALSE)</f>
        <v>#N/A</v>
      </c>
      <c r="O3" s="3" t="e">
        <f>VLOOKUP(N3,Scores!$A$2:$B$217,2,FALSE)</f>
        <v>#N/A</v>
      </c>
      <c r="P3" s="9"/>
      <c r="Q3" s="3" t="e">
        <f>VLOOKUP(P3,Scores!$A$2:$B$217,2,FALSE)</f>
        <v>#N/A</v>
      </c>
      <c r="S3" s="3" t="e">
        <f>VLOOKUP(R3,Scores!$A$2:$B$217,2,FALSE)</f>
        <v>#N/A</v>
      </c>
      <c r="T3" s="9"/>
      <c r="U3" s="3" t="e">
        <f>VLOOKUP(T3,Scores!$A$2:$B$217,2,FALSE)</f>
        <v>#N/A</v>
      </c>
    </row>
    <row r="4" spans="1:21" ht="15" x14ac:dyDescent="0.25">
      <c r="B4" s="52" t="str">
        <v>Mattson</v>
      </c>
      <c r="C4" s="53" t="e">
        <v>#N/A</v>
      </c>
      <c r="D4" s="37">
        <f>HLOOKUP(B4,$F$50:$AH$52,3,)</f>
        <v>0</v>
      </c>
      <c r="E4" s="13">
        <v>2</v>
      </c>
      <c r="F4" s="9"/>
      <c r="G4" s="3" t="e">
        <f>VLOOKUP(F4,Scores!$A$2:$B$217,2,FALSE)</f>
        <v>#N/A</v>
      </c>
      <c r="H4" s="32"/>
      <c r="I4" s="3" t="e">
        <f>VLOOKUP(H4,Scores!$A$2:$B$217,2,FALSE)</f>
        <v>#N/A</v>
      </c>
      <c r="J4" s="9"/>
      <c r="K4" s="3" t="e">
        <f>VLOOKUP(J4,Scores!$A$2:$B$217,2,FALSE)</f>
        <v>#N/A</v>
      </c>
      <c r="L4" s="9"/>
      <c r="M4" s="3" t="e">
        <f>VLOOKUP(L4,Scores!$A$2:$B$217,2,FALSE)</f>
        <v>#N/A</v>
      </c>
      <c r="N4" s="9"/>
      <c r="O4" s="3" t="e">
        <f>VLOOKUP(N4,Scores!$A$2:$B$217,2,FALSE)</f>
        <v>#N/A</v>
      </c>
      <c r="P4" s="9"/>
      <c r="Q4" s="3" t="e">
        <f>VLOOKUP(P4,Scores!$A$2:$B$217,2,FALSE)</f>
        <v>#N/A</v>
      </c>
      <c r="S4" s="3" t="e">
        <f>VLOOKUP(R4,Scores!$A$2:$B$217,2,FALSE)</f>
        <v>#N/A</v>
      </c>
      <c r="T4" s="9"/>
      <c r="U4" s="3" t="e">
        <f>VLOOKUP(T4,Scores!$A$2:$B$217,2,FALSE)</f>
        <v>#N/A</v>
      </c>
    </row>
    <row r="5" spans="1:21" ht="15" x14ac:dyDescent="0.25">
      <c r="B5" s="52" t="str">
        <v>Holiday</v>
      </c>
      <c r="C5" s="53" t="e">
        <v>#N/A</v>
      </c>
      <c r="D5" s="37">
        <f>HLOOKUP(B5,$F$50:$AH$52,3,)</f>
        <v>0</v>
      </c>
      <c r="E5" s="13">
        <v>3</v>
      </c>
      <c r="F5" s="9"/>
      <c r="G5" s="3" t="e">
        <f>VLOOKUP(F5,Scores!$A$2:$B$217,2,FALSE)</f>
        <v>#N/A</v>
      </c>
      <c r="H5" s="32"/>
      <c r="I5" s="3" t="e">
        <f>VLOOKUP(H5,Scores!$A$2:$B$217,2,FALSE)</f>
        <v>#N/A</v>
      </c>
      <c r="J5" s="9"/>
      <c r="K5" s="3" t="e">
        <f>VLOOKUP(J5,Scores!$A$2:$B$217,2,FALSE)</f>
        <v>#N/A</v>
      </c>
      <c r="L5" s="9"/>
      <c r="M5" s="3" t="e">
        <f>VLOOKUP(L5,Scores!$A$2:$B$217,2,FALSE)</f>
        <v>#N/A</v>
      </c>
      <c r="N5" s="9"/>
      <c r="O5" s="3" t="e">
        <f>VLOOKUP(N5,Scores!$A$2:$B$217,2,FALSE)</f>
        <v>#N/A</v>
      </c>
      <c r="P5" s="9"/>
      <c r="Q5" s="3" t="e">
        <f>VLOOKUP(P5,Scores!$A$2:$B$217,2,FALSE)</f>
        <v>#N/A</v>
      </c>
      <c r="S5" s="3" t="e">
        <f>VLOOKUP(R5,Scores!$A$2:$B$217,2,FALSE)</f>
        <v>#N/A</v>
      </c>
      <c r="T5" s="9"/>
      <c r="U5" s="3" t="e">
        <f>VLOOKUP(T5,Scores!$A$2:$B$217,2,FALSE)</f>
        <v>#N/A</v>
      </c>
    </row>
    <row r="6" spans="1:21" ht="15" x14ac:dyDescent="0.25">
      <c r="B6" s="52" t="str">
        <v>Donasky</v>
      </c>
      <c r="C6" s="53" t="e">
        <v>#N/A</v>
      </c>
      <c r="D6" s="37">
        <f>HLOOKUP(B6,$F$50:$AH$52,3,)</f>
        <v>0</v>
      </c>
      <c r="E6" s="13">
        <v>4</v>
      </c>
      <c r="F6" s="9"/>
      <c r="G6" s="3" t="e">
        <f>VLOOKUP(F6,Scores!$A$2:$B$217,2,FALSE)</f>
        <v>#N/A</v>
      </c>
      <c r="H6" s="32"/>
      <c r="I6" s="3" t="e">
        <f>VLOOKUP(H6,Scores!$A$2:$B$217,2,FALSE)</f>
        <v>#N/A</v>
      </c>
      <c r="J6" s="9"/>
      <c r="K6" s="3" t="e">
        <f>VLOOKUP(J6,Scores!$A$2:$B$217,2,FALSE)</f>
        <v>#N/A</v>
      </c>
      <c r="L6" s="9"/>
      <c r="M6" s="3" t="e">
        <f>VLOOKUP(L6,Scores!$A$2:$B$217,2,FALSE)</f>
        <v>#N/A</v>
      </c>
      <c r="N6" s="9"/>
      <c r="O6" s="3" t="e">
        <f>VLOOKUP(N6,Scores!$A$2:$B$217,2,FALSE)</f>
        <v>#N/A</v>
      </c>
      <c r="P6" s="9"/>
      <c r="Q6" s="3" t="e">
        <f>VLOOKUP(P6,Scores!$A$2:$B$217,2,FALSE)</f>
        <v>#N/A</v>
      </c>
      <c r="S6" s="3" t="e">
        <f>VLOOKUP(R6,Scores!$A$2:$B$217,2,FALSE)</f>
        <v>#N/A</v>
      </c>
      <c r="T6" s="9"/>
      <c r="U6" s="3" t="e">
        <f>VLOOKUP(T6,Scores!$A$2:$B$217,2,FALSE)</f>
        <v>#N/A</v>
      </c>
    </row>
    <row r="7" spans="1:21" ht="15" x14ac:dyDescent="0.25">
      <c r="B7" s="52" t="str">
        <v>Allen</v>
      </c>
      <c r="C7" s="53" t="e">
        <v>#N/A</v>
      </c>
      <c r="D7" s="37">
        <f>HLOOKUP(B7,$F$50:$AH$52,3,)</f>
        <v>0</v>
      </c>
      <c r="E7" s="13">
        <v>5</v>
      </c>
      <c r="F7" s="9"/>
      <c r="G7" s="3" t="e">
        <f>VLOOKUP(F7,Scores!$A$2:$B$217,2,FALSE)</f>
        <v>#N/A</v>
      </c>
      <c r="H7" s="32"/>
      <c r="I7" s="3" t="e">
        <f>VLOOKUP(H7,Scores!$A$2:$B$217,2,FALSE)</f>
        <v>#N/A</v>
      </c>
      <c r="J7" s="9"/>
      <c r="K7" s="3" t="e">
        <f>VLOOKUP(J7,Scores!$A$2:$B$217,2,FALSE)</f>
        <v>#N/A</v>
      </c>
      <c r="L7" s="32"/>
      <c r="M7" s="3" t="e">
        <f>VLOOKUP(L7,Scores!$A$2:$B$217,2,FALSE)</f>
        <v>#N/A</v>
      </c>
      <c r="N7" s="32"/>
      <c r="O7" s="3" t="e">
        <f>VLOOKUP(N7,Scores!$A$2:$B$217,2,FALSE)</f>
        <v>#N/A</v>
      </c>
      <c r="P7" s="9"/>
      <c r="Q7" s="3" t="e">
        <f>VLOOKUP(P7,Scores!$A$2:$B$217,2,FALSE)</f>
        <v>#N/A</v>
      </c>
      <c r="S7" s="3" t="e">
        <f>VLOOKUP(R7,Scores!$A$2:$B$217,2,FALSE)</f>
        <v>#N/A</v>
      </c>
      <c r="T7" s="9"/>
      <c r="U7" s="3" t="e">
        <f>VLOOKUP(T7,Scores!$A$2:$B$217,2,FALSE)</f>
        <v>#N/A</v>
      </c>
    </row>
    <row r="8" spans="1:21" ht="15" x14ac:dyDescent="0.25">
      <c r="B8" s="52" t="str">
        <v>L Hill</v>
      </c>
      <c r="C8" s="53" t="e">
        <v>#N/A</v>
      </c>
      <c r="D8" s="37"/>
      <c r="E8" s="13">
        <v>6</v>
      </c>
      <c r="F8" s="9"/>
      <c r="G8" s="3" t="e">
        <f>VLOOKUP(F8,Scores!$A$2:$B$217,2,FALSE)</f>
        <v>#N/A</v>
      </c>
      <c r="H8" s="32"/>
      <c r="I8" s="3" t="e">
        <f>VLOOKUP(H8,Scores!$A$2:$B$217,2,FALSE)</f>
        <v>#N/A</v>
      </c>
      <c r="J8" s="9"/>
      <c r="K8" s="3" t="e">
        <f>VLOOKUP(J8,Scores!$A$2:$B$217,2,FALSE)</f>
        <v>#N/A</v>
      </c>
      <c r="L8" s="9"/>
      <c r="M8" s="3" t="e">
        <f>VLOOKUP(L8,Scores!$A$2:$B$217,2,FALSE)</f>
        <v>#N/A</v>
      </c>
      <c r="N8" s="9"/>
      <c r="O8" s="3" t="e">
        <f>VLOOKUP(N8,Scores!$A$2:$B$217,2,FALSE)</f>
        <v>#N/A</v>
      </c>
      <c r="P8" s="9"/>
      <c r="Q8" s="3" t="e">
        <f>VLOOKUP(P8,Scores!$A$2:$B$217,2,FALSE)</f>
        <v>#N/A</v>
      </c>
      <c r="S8" s="3" t="e">
        <f>VLOOKUP(R8,Scores!$A$2:$B$217,2,FALSE)</f>
        <v>#N/A</v>
      </c>
      <c r="T8" s="9"/>
      <c r="U8" s="3" t="e">
        <f>VLOOKUP(T8,Scores!$A$2:$B$217,2,FALSE)</f>
        <v>#N/A</v>
      </c>
    </row>
    <row r="9" spans="1:21" ht="15" x14ac:dyDescent="0.25">
      <c r="B9" s="52" t="str">
        <v>Armstrong</v>
      </c>
      <c r="C9" s="53" t="e">
        <v>#N/A</v>
      </c>
      <c r="D9" s="37"/>
      <c r="E9" s="13">
        <v>7</v>
      </c>
      <c r="F9" s="9"/>
      <c r="G9" s="3" t="e">
        <f>VLOOKUP(F9,Scores!$A$2:$B$217,2,FALSE)</f>
        <v>#N/A</v>
      </c>
      <c r="H9" s="9"/>
      <c r="I9" s="3" t="e">
        <f>VLOOKUP(H9,Scores!$A$2:$B$217,2,FALSE)</f>
        <v>#N/A</v>
      </c>
      <c r="J9" s="9"/>
      <c r="K9" s="3" t="e">
        <f>VLOOKUP(J9,Scores!$A$2:$B$217,2,FALSE)</f>
        <v>#N/A</v>
      </c>
      <c r="L9" s="9"/>
      <c r="M9" s="3" t="e">
        <f>VLOOKUP(L9,Scores!$A$2:$B$217,2,FALSE)</f>
        <v>#N/A</v>
      </c>
      <c r="N9" s="9"/>
      <c r="O9" s="3" t="e">
        <f>VLOOKUP(N9,Scores!$A$2:$B$217,2,FALSE)</f>
        <v>#N/A</v>
      </c>
      <c r="P9" s="9"/>
      <c r="Q9" s="3" t="e">
        <f>VLOOKUP(P9,Scores!$A$2:$B$217,2,FALSE)</f>
        <v>#N/A</v>
      </c>
      <c r="S9" s="3" t="e">
        <f>VLOOKUP(R9,Scores!$A$2:$B$217,2,FALSE)</f>
        <v>#N/A</v>
      </c>
      <c r="T9" s="9"/>
      <c r="U9" s="3" t="e">
        <f>VLOOKUP(T9,Scores!$A$2:$B$217,2,FALSE)</f>
        <v>#N/A</v>
      </c>
    </row>
    <row r="10" spans="1:21" ht="15" x14ac:dyDescent="0.25">
      <c r="B10" s="52" t="str">
        <v>Horvath</v>
      </c>
      <c r="C10" s="53" t="e">
        <v>#N/A</v>
      </c>
      <c r="D10" s="37"/>
      <c r="E10" s="13">
        <v>8</v>
      </c>
      <c r="F10" s="9"/>
      <c r="G10" s="3" t="e">
        <f>VLOOKUP(F10,Scores!$A$2:$B$217,2,FALSE)</f>
        <v>#N/A</v>
      </c>
      <c r="H10" s="9"/>
      <c r="I10" s="3" t="e">
        <f>VLOOKUP(H10,Scores!$A$2:$B$217,2,FALSE)</f>
        <v>#N/A</v>
      </c>
      <c r="J10" s="9"/>
      <c r="K10" s="3" t="e">
        <f>VLOOKUP(J10,Scores!$A$2:$B$217,2,FALSE)</f>
        <v>#N/A</v>
      </c>
      <c r="L10" s="9"/>
      <c r="M10" s="3" t="e">
        <f>VLOOKUP(L10,Scores!$A$2:$B$217,2,FALSE)</f>
        <v>#N/A</v>
      </c>
      <c r="N10" s="9"/>
      <c r="O10" s="3" t="e">
        <f>VLOOKUP(N10,Scores!$A$2:$B$217,2,FALSE)</f>
        <v>#N/A</v>
      </c>
      <c r="P10" s="9"/>
      <c r="Q10" s="3" t="e">
        <f>VLOOKUP(P10,Scores!$A$2:$B$217,2,FALSE)</f>
        <v>#N/A</v>
      </c>
      <c r="R10" s="9"/>
      <c r="S10" s="3" t="e">
        <f>VLOOKUP(R10,Scores!$A$2:$B$217,2,FALSE)</f>
        <v>#N/A</v>
      </c>
      <c r="T10" s="9"/>
      <c r="U10" s="3" t="e">
        <f>VLOOKUP(T10,Scores!$A$2:$B$217,2,FALSE)</f>
        <v>#N/A</v>
      </c>
    </row>
    <row r="11" spans="1:21" ht="15" x14ac:dyDescent="0.25">
      <c r="B11" s="52" t="str">
        <v>Chernick</v>
      </c>
      <c r="C11" s="53" t="e">
        <v>#N/A</v>
      </c>
      <c r="D11" s="37"/>
      <c r="E11" s="13" t="s">
        <v>9</v>
      </c>
      <c r="F11" s="32"/>
      <c r="G11" s="3" t="e">
        <f>VLOOKUP(F11,Scores!$A$2:$B$217,2,FALSE)</f>
        <v>#N/A</v>
      </c>
      <c r="H11" s="32"/>
      <c r="I11" s="3" t="e">
        <f>VLOOKUP(H11,Scores!$A$2:$B$217,2,FALSE)</f>
        <v>#N/A</v>
      </c>
      <c r="J11" s="32"/>
      <c r="K11" s="3" t="e">
        <f>VLOOKUP(J11,Scores!$A$2:$B$217,2,FALSE)</f>
        <v>#N/A</v>
      </c>
      <c r="L11" s="9"/>
      <c r="M11" s="3" t="e">
        <f>VLOOKUP(L11,Scores!$A$2:$B$217,2,FALSE)</f>
        <v>#N/A</v>
      </c>
      <c r="N11" s="9"/>
      <c r="O11" s="3" t="e">
        <f>VLOOKUP(N11,Scores!$A$2:$B$217,2,FALSE)</f>
        <v>#N/A</v>
      </c>
      <c r="P11" s="9"/>
      <c r="Q11" s="3" t="e">
        <f>VLOOKUP(P11,Scores!$A$2:$B$217,2,FALSE)</f>
        <v>#N/A</v>
      </c>
      <c r="S11" s="3" t="e">
        <f>VLOOKUP(R11,Scores!$A$2:$B$217,2,FALSE)</f>
        <v>#N/A</v>
      </c>
      <c r="T11" s="9"/>
      <c r="U11" s="3" t="e">
        <f>VLOOKUP(T11,Scores!$A$2:$B$217,2,FALSE)</f>
        <v>#N/A</v>
      </c>
    </row>
    <row r="12" spans="1:21" ht="15" x14ac:dyDescent="0.25">
      <c r="B12" s="52" t="str">
        <v>Rush</v>
      </c>
      <c r="C12" s="53" t="e">
        <v>#N/A</v>
      </c>
      <c r="D12" s="37"/>
      <c r="E12" s="13" t="s">
        <v>10</v>
      </c>
      <c r="F12" s="32"/>
      <c r="G12" s="3" t="e">
        <f>VLOOKUP(F12,Scores!$A$2:$B$217,2,FALSE)</f>
        <v>#N/A</v>
      </c>
      <c r="H12" s="32"/>
      <c r="I12" s="3" t="e">
        <f>VLOOKUP(H12,Scores!$A$2:$B$217,2,FALSE)</f>
        <v>#N/A</v>
      </c>
      <c r="J12" s="32"/>
      <c r="K12" s="3" t="e">
        <f>VLOOKUP(J12,Scores!$A$2:$B$217,2,FALSE)</f>
        <v>#N/A</v>
      </c>
      <c r="L12" s="9"/>
      <c r="M12" s="3" t="e">
        <f>VLOOKUP(L12,Scores!$A$2:$B$217,2,FALSE)</f>
        <v>#N/A</v>
      </c>
      <c r="N12" s="31"/>
      <c r="O12" s="3" t="e">
        <f>VLOOKUP(N12,Scores!$A$2:$B$217,2,FALSE)</f>
        <v>#N/A</v>
      </c>
      <c r="P12" s="9"/>
      <c r="Q12" s="3" t="e">
        <f>VLOOKUP(P12,Scores!$A$2:$B$217,2,FALSE)</f>
        <v>#N/A</v>
      </c>
      <c r="S12" s="3" t="e">
        <f>VLOOKUP(R12,Scores!$A$2:$B$217,2,FALSE)</f>
        <v>#N/A</v>
      </c>
      <c r="T12" s="9"/>
      <c r="U12" s="3" t="e">
        <f>VLOOKUP(T12,Scores!$A$2:$B$217,2,FALSE)</f>
        <v>#N/A</v>
      </c>
    </row>
    <row r="13" spans="1:21" ht="15" x14ac:dyDescent="0.25">
      <c r="B13" s="52" t="str">
        <v>Tsutsumi</v>
      </c>
      <c r="C13" s="53" t="e">
        <v>#N/A</v>
      </c>
      <c r="D13" s="37"/>
      <c r="E13" s="14"/>
      <c r="F13" s="58"/>
      <c r="G13" s="58"/>
      <c r="H13" s="58"/>
      <c r="I13" s="58"/>
      <c r="J13" s="58"/>
      <c r="K13" s="58"/>
      <c r="L13" s="58"/>
      <c r="M13" s="58"/>
    </row>
    <row r="14" spans="1:21" s="7" customFormat="1" x14ac:dyDescent="0.2">
      <c r="B14" s="52" t="str">
        <v>Bernau</v>
      </c>
      <c r="C14" s="53" t="e">
        <v>#N/A</v>
      </c>
      <c r="D14" s="37"/>
      <c r="E14" s="12"/>
      <c r="F14" s="10" t="s">
        <v>357</v>
      </c>
      <c r="G14" s="11" t="e">
        <f>SMALL(G15:G24,1)+SMALL(G15:G24,2)+SMALL(G15:G24,3)+SMALL(G15:G24,4)+SMALL(G15:G24,5)</f>
        <v>#N/A</v>
      </c>
      <c r="H14" s="10" t="s">
        <v>358</v>
      </c>
      <c r="I14" s="11" t="e">
        <f>SMALL(I15:I24,1)+SMALL(I15:I24,2)+SMALL(I15:I24,3)+SMALL(I15:I24,4)+SMALL(I15:I24,5)</f>
        <v>#N/A</v>
      </c>
      <c r="J14" s="10" t="s">
        <v>359</v>
      </c>
      <c r="K14" s="11" t="e">
        <f>SMALL(K15:K24,1)+SMALL(K15:K24,2)+SMALL(K15:K24,3)+SMALL(K15:K24,4)+SMALL(K15:K24,5)</f>
        <v>#N/A</v>
      </c>
      <c r="L14" s="10" t="s">
        <v>360</v>
      </c>
      <c r="M14" s="11" t="e">
        <f>SMALL(M15:M24,1)+SMALL(M15:M24,2)+SMALL(M15:M24,3)+SMALL(M15:M24,4)+SMALL(M15:M24,5)</f>
        <v>#N/A</v>
      </c>
      <c r="N14" s="10" t="s">
        <v>461</v>
      </c>
      <c r="O14" s="11" t="e">
        <f>SMALL(O15:O24,1)+SMALL(O15:O24,2)+SMALL(O15:O24,3)+SMALL(O15:O24,4)+SMALL(O15:O24,5)</f>
        <v>#N/A</v>
      </c>
      <c r="P14" s="10" t="s">
        <v>361</v>
      </c>
      <c r="Q14" s="11" t="e">
        <f>SMALL(Q15:Q24,1)+SMALL(Q15:Q24,2)+SMALL(Q15:Q24,3)+SMALL(Q15:Q24,4)+SMALL(Q15:Q24,5)</f>
        <v>#N/A</v>
      </c>
      <c r="R14" s="10" t="s">
        <v>362</v>
      </c>
      <c r="S14" s="11" t="e">
        <f>SMALL(S15:S24,1)+SMALL(S15:S24,2)+SMALL(S15:S24,3)+SMALL(S15:S24,4)+SMALL(S15:S24,5)</f>
        <v>#N/A</v>
      </c>
      <c r="T14" s="10" t="s">
        <v>363</v>
      </c>
      <c r="U14" s="11" t="e">
        <f>SMALL(U15:U24,1)+SMALL(U15:U24,2)+SMALL(U15:U24,3)+SMALL(U15:U24,4)+SMALL(U15:U24,5)</f>
        <v>#N/A</v>
      </c>
    </row>
    <row r="15" spans="1:21" ht="15" x14ac:dyDescent="0.25">
      <c r="B15" s="52" t="str">
        <v>Dillabaugh</v>
      </c>
      <c r="C15" s="53" t="e">
        <v>#N/A</v>
      </c>
      <c r="D15" s="37"/>
      <c r="E15" s="13">
        <v>1</v>
      </c>
      <c r="F15" s="9"/>
      <c r="G15" s="3" t="e">
        <f>VLOOKUP(F15,Scores!$A$2:$B$217,2,FALSE)</f>
        <v>#N/A</v>
      </c>
      <c r="H15" s="9"/>
      <c r="I15" s="3" t="e">
        <f>VLOOKUP(H15,Scores!$A$2:$B$217,2,FALSE)</f>
        <v>#N/A</v>
      </c>
      <c r="J15" s="9"/>
      <c r="K15" s="3" t="e">
        <f>VLOOKUP(J15,Scores!$A$2:$B$217,2,FALSE)</f>
        <v>#N/A</v>
      </c>
      <c r="L15" s="9"/>
      <c r="M15" s="3" t="e">
        <f>VLOOKUP(L15,Scores!$A$2:$B$217,2,FALSE)</f>
        <v>#N/A</v>
      </c>
      <c r="O15" s="3" t="e">
        <f>VLOOKUP(N15,Scores!$A$2:$B$217,2,FALSE)</f>
        <v>#N/A</v>
      </c>
      <c r="P15" s="9"/>
      <c r="Q15" s="3" t="e">
        <f>VLOOKUP(P15,Scores!$A$2:$B$217,2,FALSE)</f>
        <v>#N/A</v>
      </c>
      <c r="S15" s="3" t="e">
        <f>VLOOKUP(R15,Scores!$A$2:$B$217,2,FALSE)</f>
        <v>#N/A</v>
      </c>
      <c r="T15" s="9"/>
      <c r="U15" s="3" t="e">
        <f>VLOOKUP(T15,Scores!$A$2:$B$217,2,FALSE)</f>
        <v>#N/A</v>
      </c>
    </row>
    <row r="16" spans="1:21" ht="15" x14ac:dyDescent="0.25">
      <c r="B16" s="52" t="str">
        <v>B Hill</v>
      </c>
      <c r="C16" s="53" t="e">
        <v>#N/A</v>
      </c>
      <c r="D16" s="37"/>
      <c r="E16" s="13">
        <v>2</v>
      </c>
      <c r="F16" s="9"/>
      <c r="G16" s="3" t="e">
        <f>VLOOKUP(F16,Scores!$A$2:$B$217,2,FALSE)</f>
        <v>#N/A</v>
      </c>
      <c r="H16" s="9"/>
      <c r="I16" s="3" t="e">
        <f>VLOOKUP(H16,Scores!$A$2:$B$217,2,FALSE)</f>
        <v>#N/A</v>
      </c>
      <c r="J16" s="9"/>
      <c r="K16" s="3" t="e">
        <f>VLOOKUP(J16,Scores!$A$2:$B$217,2,FALSE)</f>
        <v>#N/A</v>
      </c>
      <c r="L16" s="9"/>
      <c r="M16" s="3" t="e">
        <f>VLOOKUP(L16,Scores!$A$2:$B$217,2,FALSE)</f>
        <v>#N/A</v>
      </c>
      <c r="N16" s="9"/>
      <c r="O16" s="3" t="e">
        <f>VLOOKUP(N16,Scores!$A$2:$B$217,2,FALSE)</f>
        <v>#N/A</v>
      </c>
      <c r="P16" s="9"/>
      <c r="Q16" s="3" t="e">
        <f>VLOOKUP(P16,Scores!$A$2:$B$217,2,FALSE)</f>
        <v>#N/A</v>
      </c>
      <c r="R16" s="9"/>
      <c r="S16" s="3" t="e">
        <f>VLOOKUP(R16,Scores!$A$2:$B$217,2,FALSE)</f>
        <v>#N/A</v>
      </c>
      <c r="T16" s="9"/>
      <c r="U16" s="3" t="e">
        <f>VLOOKUP(T16,Scores!$A$2:$B$217,2,FALSE)</f>
        <v>#N/A</v>
      </c>
    </row>
    <row r="17" spans="2:23" ht="15" x14ac:dyDescent="0.25">
      <c r="B17" s="52" t="str">
        <v>Fish</v>
      </c>
      <c r="C17" s="53" t="e">
        <v>#N/A</v>
      </c>
      <c r="D17" s="37"/>
      <c r="E17" s="13">
        <v>3</v>
      </c>
      <c r="F17" s="9"/>
      <c r="G17" s="3" t="e">
        <f>VLOOKUP(F17,Scores!$A$2:$B$217,2,FALSE)</f>
        <v>#N/A</v>
      </c>
      <c r="H17" s="9"/>
      <c r="I17" s="3" t="e">
        <f>VLOOKUP(H17,Scores!$A$2:$B$217,2,FALSE)</f>
        <v>#N/A</v>
      </c>
      <c r="J17" s="9"/>
      <c r="K17" s="3" t="e">
        <f>VLOOKUP(J17,Scores!$A$2:$B$217,2,FALSE)</f>
        <v>#N/A</v>
      </c>
      <c r="L17" s="9"/>
      <c r="M17" s="3" t="e">
        <f>VLOOKUP(L17,Scores!$A$2:$B$217,2,FALSE)</f>
        <v>#N/A</v>
      </c>
      <c r="N17" s="9"/>
      <c r="O17" s="3" t="e">
        <f>VLOOKUP(N17,Scores!$A$2:$B$217,2,FALSE)</f>
        <v>#N/A</v>
      </c>
      <c r="P17" s="9"/>
      <c r="Q17" s="3" t="e">
        <f>VLOOKUP(P17,Scores!$A$2:$B$217,2,FALSE)</f>
        <v>#N/A</v>
      </c>
      <c r="R17" s="9"/>
      <c r="S17" s="3" t="e">
        <f>VLOOKUP(R17,Scores!$A$2:$B$217,2,FALSE)</f>
        <v>#N/A</v>
      </c>
      <c r="T17" s="9"/>
      <c r="U17" s="3" t="e">
        <f>VLOOKUP(T17,Scores!$A$2:$B$217,2,FALSE)</f>
        <v>#N/A</v>
      </c>
    </row>
    <row r="18" spans="2:23" ht="15" x14ac:dyDescent="0.25">
      <c r="B18" s="52" t="str">
        <v>Richard</v>
      </c>
      <c r="C18" s="53" t="e">
        <v>#N/A</v>
      </c>
      <c r="D18" s="37"/>
      <c r="E18" s="13">
        <v>4</v>
      </c>
      <c r="F18" s="9"/>
      <c r="G18" s="3" t="e">
        <f>VLOOKUP(F18,Scores!$A$2:$B$217,2,FALSE)</f>
        <v>#N/A</v>
      </c>
      <c r="H18" s="9"/>
      <c r="I18" s="3" t="e">
        <f>VLOOKUP(H18,Scores!$A$2:$B$217,2,FALSE)</f>
        <v>#N/A</v>
      </c>
      <c r="J18" s="9"/>
      <c r="K18" s="3" t="e">
        <f>VLOOKUP(J18,Scores!$A$2:$B$217,2,FALSE)</f>
        <v>#N/A</v>
      </c>
      <c r="L18" s="9"/>
      <c r="M18" s="3" t="e">
        <f>VLOOKUP(L18,Scores!$A$2:$B$217,2,FALSE)</f>
        <v>#N/A</v>
      </c>
      <c r="N18" s="9"/>
      <c r="O18" s="3" t="e">
        <f>VLOOKUP(N18,Scores!$A$2:$B$217,2,FALSE)</f>
        <v>#N/A</v>
      </c>
      <c r="P18" s="9"/>
      <c r="Q18" s="3" t="e">
        <f>VLOOKUP(P18,Scores!$A$2:$B$217,2,FALSE)</f>
        <v>#N/A</v>
      </c>
      <c r="R18" s="9"/>
      <c r="S18" s="3" t="e">
        <f>VLOOKUP(R18,Scores!$A$2:$B$217,2,FALSE)</f>
        <v>#N/A</v>
      </c>
      <c r="T18" s="9"/>
      <c r="U18" s="3" t="e">
        <f>VLOOKUP(T18,Scores!$A$2:$B$217,2,FALSE)</f>
        <v>#N/A</v>
      </c>
    </row>
    <row r="19" spans="2:23" ht="15" x14ac:dyDescent="0.25">
      <c r="B19" s="52" t="str">
        <v>Rakusin</v>
      </c>
      <c r="C19" s="53" t="e">
        <v>#N/A</v>
      </c>
      <c r="D19" s="37"/>
      <c r="E19" s="13">
        <v>5</v>
      </c>
      <c r="G19" s="3" t="e">
        <f>VLOOKUP(F19,Scores!$A$2:$B$217,2,FALSE)</f>
        <v>#N/A</v>
      </c>
      <c r="H19" s="32"/>
      <c r="I19" s="3" t="e">
        <f>VLOOKUP(H19,Scores!$A$2:$B$217,2,FALSE)</f>
        <v>#N/A</v>
      </c>
      <c r="J19" s="9"/>
      <c r="K19" s="3" t="e">
        <f>VLOOKUP(J19,Scores!$A$2:$B$217,2,FALSE)</f>
        <v>#N/A</v>
      </c>
      <c r="L19" s="9"/>
      <c r="M19" s="3" t="e">
        <f>VLOOKUP(L19,Scores!$A$2:$B$217,2,FALSE)</f>
        <v>#N/A</v>
      </c>
      <c r="N19" s="9"/>
      <c r="O19" s="3" t="e">
        <f>VLOOKUP(N19,Scores!$A$2:$B$217,2,FALSE)</f>
        <v>#N/A</v>
      </c>
      <c r="P19" s="9"/>
      <c r="Q19" s="3" t="e">
        <f>VLOOKUP(P19,Scores!$A$2:$B$217,2,FALSE)</f>
        <v>#N/A</v>
      </c>
      <c r="R19" s="32"/>
      <c r="S19" s="3" t="e">
        <f>VLOOKUP(R19,Scores!$A$2:$B$217,2,FALSE)</f>
        <v>#N/A</v>
      </c>
      <c r="T19" s="9"/>
      <c r="U19" s="3" t="e">
        <f>VLOOKUP(T19,Scores!$A$2:$B$217,2,FALSE)</f>
        <v>#N/A</v>
      </c>
    </row>
    <row r="20" spans="2:23" ht="15" x14ac:dyDescent="0.25">
      <c r="B20" s="52" t="str">
        <v>Howell</v>
      </c>
      <c r="C20" s="53" t="e">
        <v>#N/A</v>
      </c>
      <c r="D20" s="37"/>
      <c r="E20" s="13">
        <v>6</v>
      </c>
      <c r="F20" s="9"/>
      <c r="G20" s="3" t="e">
        <f>VLOOKUP(F20,Scores!$A$2:$B$217,2,FALSE)</f>
        <v>#N/A</v>
      </c>
      <c r="H20" s="9"/>
      <c r="I20" s="3" t="e">
        <f>VLOOKUP(H20,Scores!$A$2:$B$217,2,FALSE)</f>
        <v>#N/A</v>
      </c>
      <c r="J20" s="9"/>
      <c r="K20" s="3" t="e">
        <f>VLOOKUP(J20,Scores!$A$2:$B$217,2,FALSE)</f>
        <v>#N/A</v>
      </c>
      <c r="L20" s="9"/>
      <c r="M20" s="3" t="e">
        <f>VLOOKUP(L20,Scores!$A$2:$B$217,2,FALSE)</f>
        <v>#N/A</v>
      </c>
      <c r="N20" s="9"/>
      <c r="O20" s="3" t="e">
        <f>VLOOKUP(N20,Scores!$A$2:$B$217,2,FALSE)</f>
        <v>#N/A</v>
      </c>
      <c r="P20" s="9"/>
      <c r="Q20" s="3" t="e">
        <f>VLOOKUP(P20,Scores!$A$2:$B$217,2,FALSE)</f>
        <v>#N/A</v>
      </c>
      <c r="R20" s="9"/>
      <c r="S20" s="3" t="e">
        <f>VLOOKUP(R20,Scores!$A$2:$B$217,2,FALSE)</f>
        <v>#N/A</v>
      </c>
      <c r="T20" s="9"/>
      <c r="U20" s="3" t="e">
        <f>VLOOKUP(T20,Scores!$A$2:$B$217,2,FALSE)</f>
        <v>#N/A</v>
      </c>
    </row>
    <row r="21" spans="2:23" ht="15" x14ac:dyDescent="0.25">
      <c r="B21" s="52" t="str">
        <v>Steigmeyer</v>
      </c>
      <c r="C21" s="53" t="e">
        <v>#N/A</v>
      </c>
      <c r="D21" s="37"/>
      <c r="E21" s="13">
        <v>7</v>
      </c>
      <c r="F21" s="9"/>
      <c r="G21" s="3" t="e">
        <f>VLOOKUP(F21,Scores!$A$2:$B$217,2,FALSE)</f>
        <v>#N/A</v>
      </c>
      <c r="H21" s="9"/>
      <c r="I21" s="3" t="e">
        <f>VLOOKUP(H21,Scores!$A$2:$B$217,2,FALSE)</f>
        <v>#N/A</v>
      </c>
      <c r="J21" s="9"/>
      <c r="K21" s="3" t="e">
        <f>VLOOKUP(J21,Scores!$A$2:$B$217,2,FALSE)</f>
        <v>#N/A</v>
      </c>
      <c r="L21" s="9"/>
      <c r="M21" s="3" t="e">
        <f>VLOOKUP(L21,Scores!$A$2:$B$217,2,FALSE)</f>
        <v>#N/A</v>
      </c>
      <c r="N21" s="9"/>
      <c r="O21" s="3" t="e">
        <f>VLOOKUP(N21,Scores!$A$2:$B$217,2,FALSE)</f>
        <v>#N/A</v>
      </c>
      <c r="P21" s="9"/>
      <c r="Q21" s="3" t="e">
        <f>VLOOKUP(P21,Scores!$A$2:$B$217,2,FALSE)</f>
        <v>#N/A</v>
      </c>
      <c r="R21" s="9"/>
      <c r="S21" s="3" t="e">
        <f>VLOOKUP(R21,Scores!$A$2:$B$217,2,FALSE)</f>
        <v>#N/A</v>
      </c>
      <c r="T21" s="9"/>
      <c r="U21" s="3" t="e">
        <f>VLOOKUP(T21,Scores!$A$2:$B$217,2,FALSE)</f>
        <v>#N/A</v>
      </c>
    </row>
    <row r="22" spans="2:23" ht="15" x14ac:dyDescent="0.25">
      <c r="B22" s="52" t="str">
        <v>Balme</v>
      </c>
      <c r="C22" s="53" t="e">
        <v>#N/A</v>
      </c>
      <c r="D22" s="37"/>
      <c r="E22" s="13">
        <v>8</v>
      </c>
      <c r="F22" s="9"/>
      <c r="G22" s="3" t="e">
        <f>VLOOKUP(F22,Scores!$A$2:$B$217,2,FALSE)</f>
        <v>#N/A</v>
      </c>
      <c r="H22" s="9"/>
      <c r="I22" s="3" t="e">
        <f>VLOOKUP(H22,Scores!$A$2:$B$217,2,FALSE)</f>
        <v>#N/A</v>
      </c>
      <c r="J22" s="9"/>
      <c r="K22" s="3" t="e">
        <f>VLOOKUP(J22,Scores!$A$2:$B$217,2,FALSE)</f>
        <v>#N/A</v>
      </c>
      <c r="L22" s="9"/>
      <c r="M22" s="3" t="e">
        <f>VLOOKUP(L22,Scores!$A$2:$B$217,2,FALSE)</f>
        <v>#N/A</v>
      </c>
      <c r="N22" s="9"/>
      <c r="O22" s="3" t="e">
        <f>VLOOKUP(N22,Scores!$A$2:$B$217,2,FALSE)</f>
        <v>#N/A</v>
      </c>
      <c r="P22" s="9"/>
      <c r="Q22" s="3" t="e">
        <f>VLOOKUP(P22,Scores!$A$2:$B$217,2,FALSE)</f>
        <v>#N/A</v>
      </c>
      <c r="R22" s="9"/>
      <c r="S22" s="3" t="e">
        <f>VLOOKUP(R22,Scores!$A$2:$B$217,2,FALSE)</f>
        <v>#N/A</v>
      </c>
      <c r="T22" s="9"/>
      <c r="U22" s="3" t="e">
        <f>VLOOKUP(T22,Scores!$A$2:$B$217,2,FALSE)</f>
        <v>#N/A</v>
      </c>
    </row>
    <row r="23" spans="2:23" ht="15" x14ac:dyDescent="0.25">
      <c r="B23" s="52" t="str">
        <v>McElroy</v>
      </c>
      <c r="C23" s="53" t="e">
        <v>#N/A</v>
      </c>
      <c r="D23" s="37"/>
      <c r="E23" s="13" t="s">
        <v>9</v>
      </c>
      <c r="F23" s="9"/>
      <c r="G23" s="3" t="e">
        <f>VLOOKUP(F23,Scores!$A$2:$B$217,2,FALSE)</f>
        <v>#N/A</v>
      </c>
      <c r="H23" s="9"/>
      <c r="I23" s="3" t="e">
        <f>VLOOKUP(H23,Scores!$A$2:$B$217,2,FALSE)</f>
        <v>#N/A</v>
      </c>
      <c r="J23" s="9"/>
      <c r="K23" s="3" t="e">
        <f>VLOOKUP(J23,Scores!$A$2:$B$217,2,FALSE)</f>
        <v>#N/A</v>
      </c>
      <c r="L23" s="9"/>
      <c r="M23" s="3" t="e">
        <f>VLOOKUP(L23,Scores!$A$2:$B$217,2,FALSE)</f>
        <v>#N/A</v>
      </c>
      <c r="N23" s="9"/>
      <c r="O23" s="3" t="e">
        <f>VLOOKUP(N23,Scores!$A$2:$B$217,2,FALSE)</f>
        <v>#N/A</v>
      </c>
      <c r="P23" s="9"/>
      <c r="Q23" s="3" t="e">
        <f>VLOOKUP(P23,Scores!$A$2:$B$217,2,FALSE)</f>
        <v>#N/A</v>
      </c>
      <c r="S23" s="3" t="e">
        <f>VLOOKUP(R23,Scores!$A$2:$B$217,2,FALSE)</f>
        <v>#N/A</v>
      </c>
      <c r="T23" s="9"/>
      <c r="U23" s="3" t="e">
        <f>VLOOKUP(T23,Scores!$A$2:$B$217,2,FALSE)</f>
        <v>#N/A</v>
      </c>
    </row>
    <row r="24" spans="2:23" ht="15" x14ac:dyDescent="0.25">
      <c r="B24" s="52" t="str">
        <v>Hitchman</v>
      </c>
      <c r="C24" s="53" t="e">
        <v>#N/A</v>
      </c>
      <c r="D24" s="37"/>
      <c r="E24" s="13" t="s">
        <v>10</v>
      </c>
      <c r="F24" s="9"/>
      <c r="G24" s="3" t="e">
        <f>VLOOKUP(F24,Scores!$A$2:$B$217,2,FALSE)</f>
        <v>#N/A</v>
      </c>
      <c r="H24" s="9"/>
      <c r="I24" s="3" t="e">
        <f>VLOOKUP(H24,Scores!$A$2:$B$217,2,FALSE)</f>
        <v>#N/A</v>
      </c>
      <c r="J24" s="9"/>
      <c r="K24" s="3" t="e">
        <f>VLOOKUP(J24,Scores!$A$2:$B$217,2,FALSE)</f>
        <v>#N/A</v>
      </c>
      <c r="L24" s="32"/>
      <c r="M24" s="3" t="e">
        <f>VLOOKUP(L24,Scores!$A$2:$B$217,2,FALSE)</f>
        <v>#N/A</v>
      </c>
      <c r="N24" s="9"/>
      <c r="O24" s="3" t="e">
        <f>VLOOKUP(N24,Scores!$A$2:$B$217,2,FALSE)</f>
        <v>#N/A</v>
      </c>
      <c r="P24" s="32"/>
      <c r="Q24" s="3" t="e">
        <f>VLOOKUP(P24,Scores!$A$2:$B$217,2,FALSE)</f>
        <v>#N/A</v>
      </c>
      <c r="R24" s="9"/>
      <c r="S24" s="3" t="e">
        <f>VLOOKUP(R24,Scores!$A$2:$B$217,2,FALSE)</f>
        <v>#N/A</v>
      </c>
      <c r="T24" s="9"/>
      <c r="U24" s="3" t="e">
        <f>VLOOKUP(T24,Scores!$A$2:$B$217,2,FALSE)</f>
        <v>#N/A</v>
      </c>
    </row>
    <row r="25" spans="2:23" ht="15" x14ac:dyDescent="0.25">
      <c r="B25" s="59" t="str">
        <v>Hempel</v>
      </c>
      <c r="C25" s="60" t="e">
        <v>#N/A</v>
      </c>
      <c r="D25" s="14"/>
      <c r="E25" s="14"/>
      <c r="F25" s="58"/>
      <c r="G25" s="58"/>
      <c r="H25" s="58"/>
      <c r="I25" s="58"/>
      <c r="J25" s="58"/>
      <c r="K25" s="58"/>
      <c r="L25" s="58"/>
      <c r="M25" s="58"/>
    </row>
    <row r="26" spans="2:23" s="7" customFormat="1" x14ac:dyDescent="0.2">
      <c r="B26" s="59" t="str">
        <v>Langer</v>
      </c>
      <c r="C26" s="60" t="e">
        <v>#N/A</v>
      </c>
      <c r="D26" s="61"/>
      <c r="E26" s="12"/>
      <c r="F26" s="10" t="s">
        <v>364</v>
      </c>
      <c r="G26" s="11" t="e">
        <f>SMALL(G27:G36,1)+SMALL(G27:G36,2)+SMALL(G27:G36,3)+SMALL(G27:G36,4)+SMALL(G27:G36,5)</f>
        <v>#N/A</v>
      </c>
      <c r="H26" s="10" t="s">
        <v>365</v>
      </c>
      <c r="I26" s="11" t="e">
        <f>SMALL(I27:I36,1)+SMALL(I27:I36,2)+SMALL(I27:I36,3)+SMALL(I27:I36,4)+SMALL(I27:I36,5)</f>
        <v>#N/A</v>
      </c>
      <c r="J26" s="10" t="s">
        <v>366</v>
      </c>
      <c r="K26" s="11" t="e">
        <f>SMALL(K27:K36,1)+SMALL(K27:K36,2)+SMALL(K27:K36,3)+SMALL(K27:K36,4)+SMALL(K27:K36,5)</f>
        <v>#N/A</v>
      </c>
      <c r="L26" s="10" t="s">
        <v>371</v>
      </c>
      <c r="M26" s="11" t="e">
        <f>SMALL(M27:M36,1)+SMALL(M27:M36,2)+SMALL(M27:M36,3)+SMALL(M27:M36,4)+SMALL(M27:M36,5)</f>
        <v>#N/A</v>
      </c>
      <c r="N26" s="10" t="s">
        <v>367</v>
      </c>
      <c r="O26" s="11" t="e">
        <f>SMALL(O27:O36,1)+SMALL(O27:O36,2)+SMALL(O27:O36,3)+SMALL(O27:O36,4)+SMALL(O27:O36,5)</f>
        <v>#N/A</v>
      </c>
      <c r="P26" s="10" t="s">
        <v>368</v>
      </c>
      <c r="Q26" s="11" t="e">
        <f>SMALL(Q27:Q36,1)+SMALL(Q27:Q36,2)+SMALL(Q27:Q36,3)+SMALL(Q27:Q36,4)+SMALL(Q27:Q36,5)</f>
        <v>#N/A</v>
      </c>
      <c r="R26" s="10" t="s">
        <v>369</v>
      </c>
      <c r="S26" s="11" t="e">
        <f>SMALL(S27:S36,1)+SMALL(S27:S36,2)+SMALL(S27:S36,3)+SMALL(S27:S36,4)+SMALL(S27:S36,5)</f>
        <v>#N/A</v>
      </c>
      <c r="T26" s="10" t="s">
        <v>370</v>
      </c>
      <c r="U26" s="11" t="e">
        <f>SMALL(U27:U36,1)+SMALL(U27:U36,2)+SMALL(U27:U36,3)+SMALL(U27:U36,4)+SMALL(U27:U36,5)</f>
        <v>#N/A</v>
      </c>
      <c r="V26" s="10"/>
      <c r="W26" s="11"/>
    </row>
    <row r="27" spans="2:23" ht="15" x14ac:dyDescent="0.25">
      <c r="B27" s="59" t="str">
        <v>Weiss</v>
      </c>
      <c r="C27" s="53" t="e">
        <v>#N/A</v>
      </c>
      <c r="D27" s="61"/>
      <c r="E27" s="13">
        <v>1</v>
      </c>
      <c r="F27" s="9"/>
      <c r="G27" s="3" t="e">
        <f>VLOOKUP(F27,Scores!$A$2:$B$217,2,FALSE)</f>
        <v>#N/A</v>
      </c>
      <c r="I27" s="3" t="e">
        <f>VLOOKUP(H27,Scores!$A$2:$B$217,2,FALSE)</f>
        <v>#N/A</v>
      </c>
      <c r="J27" s="9"/>
      <c r="K27" s="3" t="e">
        <f>VLOOKUP(J27,Scores!$A$2:$B$217,2,FALSE)</f>
        <v>#N/A</v>
      </c>
      <c r="L27" s="9"/>
      <c r="M27" s="3" t="e">
        <f>VLOOKUP(L27,Scores!$A$2:$B$217,2,FALSE)</f>
        <v>#N/A</v>
      </c>
      <c r="N27" s="9"/>
      <c r="O27" s="3" t="e">
        <f>VLOOKUP(N27,Scores!$A$2:$B$217,2,FALSE)</f>
        <v>#N/A</v>
      </c>
      <c r="P27" s="9"/>
      <c r="Q27" s="3" t="e">
        <f>VLOOKUP(P27,Scores!$A$2:$B$217,2,FALSE)</f>
        <v>#N/A</v>
      </c>
      <c r="R27" s="9"/>
      <c r="S27" s="3" t="e">
        <f>VLOOKUP(R27,Scores!$A$2:$B$217,2,FALSE)</f>
        <v>#N/A</v>
      </c>
      <c r="T27" s="9"/>
      <c r="U27" s="3" t="e">
        <f>VLOOKUP(T27,Scores!$A$2:$B$217,2,FALSE)</f>
        <v>#N/A</v>
      </c>
      <c r="V27" s="9"/>
    </row>
    <row r="28" spans="2:23" ht="15" x14ac:dyDescent="0.25">
      <c r="B28" s="59" t="str">
        <v>Eliason</v>
      </c>
      <c r="C28" s="53" t="e">
        <v>#N/A</v>
      </c>
      <c r="D28" s="14"/>
      <c r="E28" s="13">
        <v>2</v>
      </c>
      <c r="F28" s="9"/>
      <c r="G28" s="3" t="e">
        <f>VLOOKUP(F28,Scores!$A$2:$B$217,2,FALSE)</f>
        <v>#N/A</v>
      </c>
      <c r="H28" s="9"/>
      <c r="I28" s="3" t="e">
        <f>VLOOKUP(H28,Scores!$A$2:$B$217,2,FALSE)</f>
        <v>#N/A</v>
      </c>
      <c r="J28" s="9"/>
      <c r="K28" s="3" t="e">
        <f>VLOOKUP(J28,Scores!$A$2:$B$217,2,FALSE)</f>
        <v>#N/A</v>
      </c>
      <c r="L28" s="9"/>
      <c r="M28" s="3" t="e">
        <f>VLOOKUP(L28,Scores!$A$2:$B$217,2,FALSE)</f>
        <v>#N/A</v>
      </c>
      <c r="N28" s="9"/>
      <c r="O28" s="3" t="e">
        <f>VLOOKUP(N28,Scores!$A$2:$B$217,2,FALSE)</f>
        <v>#N/A</v>
      </c>
      <c r="P28" s="9"/>
      <c r="Q28" s="3" t="e">
        <f>VLOOKUP(P28,Scores!$A$2:$B$217,2,FALSE)</f>
        <v>#N/A</v>
      </c>
      <c r="R28" s="9"/>
      <c r="S28" s="3" t="e">
        <f>VLOOKUP(R28,Scores!$A$2:$B$217,2,FALSE)</f>
        <v>#N/A</v>
      </c>
      <c r="T28" s="9"/>
      <c r="U28" s="3" t="e">
        <f>VLOOKUP(T28,Scores!$A$2:$B$217,2,FALSE)</f>
        <v>#N/A</v>
      </c>
      <c r="V28" s="9"/>
    </row>
    <row r="29" spans="2:23" ht="15" x14ac:dyDescent="0.25">
      <c r="B29" s="59" t="str">
        <v>Stabile</v>
      </c>
      <c r="C29" s="53" t="e">
        <v>#N/A</v>
      </c>
      <c r="D29" s="53"/>
      <c r="E29" s="13">
        <v>3</v>
      </c>
      <c r="F29" s="9"/>
      <c r="G29" s="3" t="e">
        <f>VLOOKUP(F29,Scores!$A$2:$B$217,2,FALSE)</f>
        <v>#N/A</v>
      </c>
      <c r="H29" s="9"/>
      <c r="I29" s="3" t="e">
        <f>VLOOKUP(H29,Scores!$A$2:$B$217,2,FALSE)</f>
        <v>#N/A</v>
      </c>
      <c r="J29" s="9"/>
      <c r="K29" s="3" t="e">
        <f>VLOOKUP(J29,Scores!$A$2:$B$217,2,FALSE)</f>
        <v>#N/A</v>
      </c>
      <c r="L29" s="9"/>
      <c r="M29" s="3" t="e">
        <f>VLOOKUP(L29,Scores!$A$2:$B$217,2,FALSE)</f>
        <v>#N/A</v>
      </c>
      <c r="N29" s="9"/>
      <c r="O29" s="3" t="e">
        <f>VLOOKUP(N29,Scores!$A$2:$B$217,2,FALSE)</f>
        <v>#N/A</v>
      </c>
      <c r="P29" s="9"/>
      <c r="Q29" s="3" t="e">
        <f>VLOOKUP(P29,Scores!$A$2:$B$217,2,FALSE)</f>
        <v>#N/A</v>
      </c>
      <c r="R29" s="9"/>
      <c r="S29" s="3" t="e">
        <f>VLOOKUP(R29,Scores!$A$2:$B$217,2,FALSE)</f>
        <v>#N/A</v>
      </c>
      <c r="T29" s="9"/>
      <c r="U29" s="3" t="e">
        <f>VLOOKUP(T29,Scores!$A$2:$B$217,2,FALSE)</f>
        <v>#N/A</v>
      </c>
      <c r="V29" s="9"/>
    </row>
    <row r="30" spans="2:23" ht="15" x14ac:dyDescent="0.25">
      <c r="B30" s="59" t="str">
        <v>Cruickshank</v>
      </c>
      <c r="C30" s="53" t="e">
        <v>#N/A</v>
      </c>
      <c r="D30" s="62"/>
      <c r="E30" s="13">
        <v>4</v>
      </c>
      <c r="F30" s="9"/>
      <c r="G30" s="3" t="e">
        <f>VLOOKUP(F30,Scores!$A$2:$B$217,2,FALSE)</f>
        <v>#N/A</v>
      </c>
      <c r="H30" s="9"/>
      <c r="I30" s="3" t="e">
        <f>VLOOKUP(H30,Scores!$A$2:$B$217,2,FALSE)</f>
        <v>#N/A</v>
      </c>
      <c r="J30" s="9"/>
      <c r="K30" s="3" t="e">
        <f>VLOOKUP(J30,Scores!$A$2:$B$217,2,FALSE)</f>
        <v>#N/A</v>
      </c>
      <c r="L30" s="9"/>
      <c r="M30" s="3" t="e">
        <f>VLOOKUP(L30,Scores!$A$2:$B$217,2,FALSE)</f>
        <v>#N/A</v>
      </c>
      <c r="N30" s="9"/>
      <c r="O30" s="3" t="e">
        <f>VLOOKUP(N30,Scores!$A$2:$B$217,2,FALSE)</f>
        <v>#N/A</v>
      </c>
      <c r="P30" s="9"/>
      <c r="Q30" s="3" t="e">
        <f>VLOOKUP(P30,Scores!$A$2:$B$217,2,FALSE)</f>
        <v>#N/A</v>
      </c>
      <c r="R30" s="9"/>
      <c r="S30" s="3" t="e">
        <f>VLOOKUP(R30,Scores!$A$2:$B$217,2,FALSE)</f>
        <v>#N/A</v>
      </c>
      <c r="T30" s="9"/>
      <c r="U30" s="3" t="e">
        <f>VLOOKUP(T30,Scores!$A$2:$B$217,2,FALSE)</f>
        <v>#N/A</v>
      </c>
      <c r="V30" s="9"/>
    </row>
    <row r="31" spans="2:23" ht="15" x14ac:dyDescent="0.25">
      <c r="B31" s="63" t="str">
        <v>Isaacson</v>
      </c>
      <c r="C31" s="54" t="e">
        <v>#N/A</v>
      </c>
      <c r="D31" s="64"/>
      <c r="E31" s="13">
        <v>5</v>
      </c>
      <c r="F31" s="9"/>
      <c r="G31" s="3" t="e">
        <f>VLOOKUP(F31,Scores!$A$2:$B$217,2,FALSE)</f>
        <v>#N/A</v>
      </c>
      <c r="H31" s="9"/>
      <c r="I31" s="3" t="e">
        <f>VLOOKUP(H31,Scores!$A$2:$B$217,2,FALSE)</f>
        <v>#N/A</v>
      </c>
      <c r="J31" s="32"/>
      <c r="K31" s="3" t="e">
        <f>VLOOKUP(J31,Scores!$A$2:$B$217,2,FALSE)</f>
        <v>#N/A</v>
      </c>
      <c r="L31" s="32"/>
      <c r="M31" s="3" t="e">
        <f>VLOOKUP(L31,Scores!$A$2:$B$217,2,FALSE)</f>
        <v>#N/A</v>
      </c>
      <c r="N31" s="32"/>
      <c r="O31" s="3" t="e">
        <f>VLOOKUP(N31,Scores!$A$2:$B$217,2,FALSE)</f>
        <v>#N/A</v>
      </c>
      <c r="P31" s="9"/>
      <c r="Q31" s="3" t="e">
        <f>VLOOKUP(P31,Scores!$A$2:$B$217,2,FALSE)</f>
        <v>#N/A</v>
      </c>
      <c r="R31" s="32"/>
      <c r="S31" s="3" t="e">
        <f>VLOOKUP(R31,Scores!$A$2:$B$217,2,FALSE)</f>
        <v>#N/A</v>
      </c>
      <c r="T31" s="9"/>
      <c r="U31" s="3" t="e">
        <f>VLOOKUP(T31,Scores!$A$2:$B$217,2,FALSE)</f>
        <v>#N/A</v>
      </c>
      <c r="V31" s="32"/>
    </row>
    <row r="32" spans="2:23" ht="15" x14ac:dyDescent="0.25">
      <c r="E32" s="13">
        <v>6</v>
      </c>
      <c r="F32" s="9"/>
      <c r="G32" s="3" t="e">
        <f>VLOOKUP(F32,Scores!$A$2:$B$217,2,FALSE)</f>
        <v>#N/A</v>
      </c>
      <c r="H32" s="9"/>
      <c r="I32" s="3" t="e">
        <f>VLOOKUP(H32,Scores!$A$2:$B$217,2,FALSE)</f>
        <v>#N/A</v>
      </c>
      <c r="J32" s="9"/>
      <c r="K32" s="3" t="e">
        <f>VLOOKUP(J32,Scores!$A$2:$B$217,2,FALSE)</f>
        <v>#N/A</v>
      </c>
      <c r="L32" s="9"/>
      <c r="M32" s="3" t="e">
        <f>VLOOKUP(L32,Scores!$A$2:$B$217,2,FALSE)</f>
        <v>#N/A</v>
      </c>
      <c r="N32" s="9"/>
      <c r="O32" s="3" t="e">
        <f>VLOOKUP(N32,Scores!$A$2:$B$217,2,FALSE)</f>
        <v>#N/A</v>
      </c>
      <c r="P32" s="9"/>
      <c r="Q32" s="3" t="e">
        <f>VLOOKUP(P32,Scores!$A$2:$B$217,2,FALSE)</f>
        <v>#N/A</v>
      </c>
      <c r="R32" s="9"/>
      <c r="S32" s="3" t="e">
        <f>VLOOKUP(R32,Scores!$A$2:$B$217,2,FALSE)</f>
        <v>#N/A</v>
      </c>
      <c r="T32" s="9"/>
      <c r="U32" s="3" t="e">
        <f>VLOOKUP(T32,Scores!$A$2:$B$217,2,FALSE)</f>
        <v>#N/A</v>
      </c>
      <c r="V32" s="9"/>
    </row>
    <row r="33" spans="2:23" ht="15" x14ac:dyDescent="0.25">
      <c r="E33" s="13">
        <v>7</v>
      </c>
      <c r="F33" s="9"/>
      <c r="G33" s="3" t="e">
        <f>VLOOKUP(F33,Scores!$A$2:$B$217,2,FALSE)</f>
        <v>#N/A</v>
      </c>
      <c r="H33" s="9"/>
      <c r="I33" s="3" t="e">
        <f>VLOOKUP(H33,Scores!$A$2:$B$217,2,FALSE)</f>
        <v>#N/A</v>
      </c>
      <c r="J33" s="9"/>
      <c r="K33" s="3" t="e">
        <f>VLOOKUP(J33,Scores!$A$2:$B$217,2,FALSE)</f>
        <v>#N/A</v>
      </c>
      <c r="L33" s="9"/>
      <c r="M33" s="3" t="e">
        <f>VLOOKUP(L33,Scores!$A$2:$B$217,2,FALSE)</f>
        <v>#N/A</v>
      </c>
      <c r="N33" s="9"/>
      <c r="O33" s="3" t="e">
        <f>VLOOKUP(N33,Scores!$A$2:$B$217,2,FALSE)</f>
        <v>#N/A</v>
      </c>
      <c r="P33" s="9"/>
      <c r="Q33" s="3" t="e">
        <f>VLOOKUP(P33,Scores!$A$2:$B$217,2,FALSE)</f>
        <v>#N/A</v>
      </c>
      <c r="R33" s="9"/>
      <c r="S33" s="3" t="e">
        <f>VLOOKUP(R33,Scores!$A$2:$B$217,2,FALSE)</f>
        <v>#N/A</v>
      </c>
      <c r="T33" s="9"/>
      <c r="U33" s="3" t="e">
        <f>VLOOKUP(T33,Scores!$A$2:$B$217,2,FALSE)</f>
        <v>#N/A</v>
      </c>
      <c r="V33" s="9"/>
    </row>
    <row r="34" spans="2:23" ht="15" x14ac:dyDescent="0.25">
      <c r="B34" s="55" t="s">
        <v>398</v>
      </c>
      <c r="E34" s="13">
        <v>8</v>
      </c>
      <c r="F34" s="9"/>
      <c r="G34" s="3" t="e">
        <f>VLOOKUP(F34,Scores!$A$2:$B$217,2,FALSE)</f>
        <v>#N/A</v>
      </c>
      <c r="H34" s="9"/>
      <c r="I34" s="3" t="e">
        <f>VLOOKUP(H34,Scores!$A$2:$B$217,2,FALSE)</f>
        <v>#N/A</v>
      </c>
      <c r="J34" s="9"/>
      <c r="K34" s="3" t="e">
        <f>VLOOKUP(J34,Scores!$A$2:$B$217,2,FALSE)</f>
        <v>#N/A</v>
      </c>
      <c r="L34" s="9"/>
      <c r="M34" s="3" t="e">
        <f>VLOOKUP(L34,Scores!$A$2:$B$217,2,FALSE)</f>
        <v>#N/A</v>
      </c>
      <c r="N34" s="9"/>
      <c r="O34" s="3" t="e">
        <f>VLOOKUP(N34,Scores!$A$2:$B$217,2,FALSE)</f>
        <v>#N/A</v>
      </c>
      <c r="P34" s="9"/>
      <c r="Q34" s="3" t="e">
        <f>VLOOKUP(P34,Scores!$A$2:$B$217,2,FALSE)</f>
        <v>#N/A</v>
      </c>
      <c r="R34" s="9"/>
      <c r="S34" s="3" t="e">
        <f>VLOOKUP(R34,Scores!$A$2:$B$217,2,FALSE)</f>
        <v>#N/A</v>
      </c>
      <c r="T34" s="9"/>
      <c r="U34" s="3" t="e">
        <f>VLOOKUP(T34,Scores!$A$2:$B$217,2,FALSE)</f>
        <v>#N/A</v>
      </c>
      <c r="V34" s="9"/>
    </row>
    <row r="35" spans="2:23" ht="15" x14ac:dyDescent="0.25">
      <c r="B35" s="56" t="str">
        <f>Scores!A2</f>
        <v>Viktor Hovland</v>
      </c>
      <c r="C35" s="56">
        <f>Scores!B2</f>
        <v>0</v>
      </c>
      <c r="E35" s="13" t="s">
        <v>9</v>
      </c>
      <c r="F35" s="9"/>
      <c r="G35" s="3" t="e">
        <f>VLOOKUP(F35,Scores!$A$2:$B$217,2,FALSE)</f>
        <v>#N/A</v>
      </c>
      <c r="H35" s="9"/>
      <c r="I35" s="3" t="e">
        <f>VLOOKUP(H35,Scores!$A$2:$B$217,2,FALSE)</f>
        <v>#N/A</v>
      </c>
      <c r="J35" s="9"/>
      <c r="K35" s="3" t="e">
        <f>VLOOKUP(J35,Scores!$A$2:$B$217,2,FALSE)</f>
        <v>#N/A</v>
      </c>
      <c r="L35" s="32"/>
      <c r="M35" s="3" t="e">
        <f>VLOOKUP(L35,Scores!$A$2:$B$217,2,FALSE)</f>
        <v>#N/A</v>
      </c>
      <c r="N35" s="9"/>
      <c r="O35" s="3" t="e">
        <f>VLOOKUP(N35,Scores!$A$2:$B$217,2,FALSE)</f>
        <v>#N/A</v>
      </c>
      <c r="P35" s="9"/>
      <c r="Q35" s="3" t="e">
        <f>VLOOKUP(P35,Scores!$A$2:$B$217,2,FALSE)</f>
        <v>#N/A</v>
      </c>
      <c r="R35" s="9"/>
      <c r="S35" s="3" t="e">
        <f>VLOOKUP(R35,Scores!$A$2:$B$217,2,FALSE)</f>
        <v>#N/A</v>
      </c>
      <c r="T35" s="9"/>
      <c r="U35" s="3" t="e">
        <f>VLOOKUP(T35,Scores!$A$2:$B$217,2,FALSE)</f>
        <v>#N/A</v>
      </c>
      <c r="V35" s="9"/>
    </row>
    <row r="36" spans="2:23" ht="15" x14ac:dyDescent="0.25">
      <c r="B36" s="56" t="str">
        <f>Scores!A3</f>
        <v>Xander Schauffele</v>
      </c>
      <c r="C36" s="56">
        <f>Scores!B3</f>
        <v>0</v>
      </c>
      <c r="E36" s="13" t="s">
        <v>10</v>
      </c>
      <c r="F36" s="9"/>
      <c r="G36" s="3" t="e">
        <f>VLOOKUP(F36,Scores!$A$2:$B$217,2,FALSE)</f>
        <v>#N/A</v>
      </c>
      <c r="H36" s="9"/>
      <c r="I36" s="3" t="e">
        <f>VLOOKUP(H36,Scores!$A$2:$B$217,2,FALSE)</f>
        <v>#N/A</v>
      </c>
      <c r="J36" s="9"/>
      <c r="K36" s="3" t="e">
        <f>VLOOKUP(J36,Scores!$A$2:$B$217,2,FALSE)</f>
        <v>#N/A</v>
      </c>
      <c r="L36" s="9"/>
      <c r="M36" s="3" t="e">
        <f>VLOOKUP(L36,Scores!$A$2:$B$217,2,FALSE)</f>
        <v>#N/A</v>
      </c>
      <c r="N36" s="9"/>
      <c r="O36" s="3" t="e">
        <f>VLOOKUP(N36,Scores!$A$2:$B$217,2,FALSE)</f>
        <v>#N/A</v>
      </c>
      <c r="P36" s="9"/>
      <c r="Q36" s="3" t="e">
        <f>VLOOKUP(P36,Scores!$A$2:$B$217,2,FALSE)</f>
        <v>#N/A</v>
      </c>
      <c r="R36" s="9"/>
      <c r="S36" s="3" t="e">
        <f>VLOOKUP(R36,Scores!$A$2:$B$217,2,FALSE)</f>
        <v>#N/A</v>
      </c>
      <c r="T36" s="9"/>
      <c r="U36" s="3" t="e">
        <f>VLOOKUP(T36,Scores!$A$2:$B$217,2,FALSE)</f>
        <v>#N/A</v>
      </c>
      <c r="V36" s="9"/>
    </row>
    <row r="37" spans="2:23" x14ac:dyDescent="0.2">
      <c r="B37" s="56" t="str">
        <f>Scores!A4</f>
        <v>Bryson DeChambeau</v>
      </c>
      <c r="C37" s="56">
        <f>Scores!B4</f>
        <v>0</v>
      </c>
      <c r="E37"/>
      <c r="G37" s="3"/>
      <c r="I37" s="3"/>
      <c r="K37" s="3"/>
      <c r="M37" s="3"/>
      <c r="O37" s="3"/>
      <c r="Q37" s="3"/>
      <c r="S37" s="3"/>
    </row>
    <row r="38" spans="2:23" x14ac:dyDescent="0.2">
      <c r="B38" s="56" t="str">
        <f>Scores!A5</f>
        <v>Justin Rose</v>
      </c>
      <c r="C38" s="56">
        <f>Scores!B5</f>
        <v>0</v>
      </c>
      <c r="E38" s="12"/>
      <c r="F38" s="10" t="s">
        <v>372</v>
      </c>
      <c r="G38" s="11" t="e">
        <f>SMALL(G39:G48,1)+SMALL(G39:G48,2)+SMALL(G39:G48,3)+SMALL(G39:G48,4)+SMALL(G39:G48,5)</f>
        <v>#N/A</v>
      </c>
      <c r="H38" s="10" t="s">
        <v>373</v>
      </c>
      <c r="I38" s="11" t="e">
        <f>SMALL(I39:I48,1)+SMALL(I39:I48,2)+SMALL(I39:I48,3)+SMALL(I39:I48,4)+SMALL(I39:I48,5)</f>
        <v>#N/A</v>
      </c>
      <c r="J38" s="10" t="s">
        <v>374</v>
      </c>
      <c r="K38" s="11" t="e">
        <f>SMALL(K39:K48,1)+SMALL(K39:K48,2)+SMALL(K39:K48,3)+SMALL(K39:K48,4)+SMALL(K39:K48,5)</f>
        <v>#N/A</v>
      </c>
      <c r="L38" s="10" t="s">
        <v>396</v>
      </c>
      <c r="M38" s="11" t="e">
        <f>SMALL(M39:M48,1)+SMALL(M39:M48,2)+SMALL(M39:M48,3)+SMALL(M39:M48,4)+SMALL(M39:M48,5)</f>
        <v>#N/A</v>
      </c>
      <c r="N38" s="10" t="s">
        <v>397</v>
      </c>
      <c r="O38" s="11" t="e">
        <f>SMALL(O39:O48,1)+SMALL(O39:O48,2)+SMALL(O39:O48,3)+SMALL(O39:O48,4)+SMALL(O39:O48,5)</f>
        <v>#N/A</v>
      </c>
      <c r="P38" s="7"/>
      <c r="Q38" s="1"/>
      <c r="R38" s="7"/>
      <c r="S38" s="1"/>
      <c r="T38" s="7"/>
      <c r="U38" s="1"/>
      <c r="V38" s="7"/>
      <c r="W38" s="1"/>
    </row>
    <row r="39" spans="2:23" ht="15" x14ac:dyDescent="0.25">
      <c r="B39" s="56" t="str">
        <f>Scores!A6</f>
        <v>Collin Morikawa</v>
      </c>
      <c r="C39" s="56">
        <f>Scores!B6</f>
        <v>0</v>
      </c>
      <c r="E39" s="13">
        <v>1</v>
      </c>
      <c r="F39" s="9"/>
      <c r="G39" s="3" t="e">
        <f>VLOOKUP(F39,Scores!$A$2:$B$217,2,FALSE)</f>
        <v>#N/A</v>
      </c>
      <c r="I39" s="3" t="e">
        <f>VLOOKUP(H39,Scores!$A$2:$B$217,2,FALSE)</f>
        <v>#N/A</v>
      </c>
      <c r="J39" s="9"/>
      <c r="K39" s="3" t="e">
        <f>VLOOKUP(J39,Scores!$A$2:$B$217,2,FALSE)</f>
        <v>#N/A</v>
      </c>
      <c r="L39" s="9"/>
      <c r="M39" s="3" t="e">
        <f>VLOOKUP(L39,Scores!$A$2:$B$217,2,FALSE)</f>
        <v>#N/A</v>
      </c>
      <c r="N39" s="9"/>
      <c r="O39" s="3" t="e">
        <f>VLOOKUP(N39,Scores!$A$2:$B$217,2,FALSE)</f>
        <v>#N/A</v>
      </c>
      <c r="P39" s="9"/>
      <c r="Q39" s="3"/>
      <c r="R39" s="9"/>
      <c r="S39" s="3"/>
      <c r="V39" s="9"/>
    </row>
    <row r="40" spans="2:23" ht="15" x14ac:dyDescent="0.25">
      <c r="E40" s="13">
        <v>2</v>
      </c>
      <c r="F40" s="9"/>
      <c r="G40" s="3" t="e">
        <f>VLOOKUP(F40,Scores!$A$2:$B$217,2,FALSE)</f>
        <v>#N/A</v>
      </c>
      <c r="H40" s="9"/>
      <c r="I40" s="3" t="e">
        <f>VLOOKUP(H40,Scores!$A$2:$B$217,2,FALSE)</f>
        <v>#N/A</v>
      </c>
      <c r="J40" s="9"/>
      <c r="K40" s="3" t="e">
        <f>VLOOKUP(J40,Scores!$A$2:$B$217,2,FALSE)</f>
        <v>#N/A</v>
      </c>
      <c r="L40" s="9"/>
      <c r="M40" s="3" t="e">
        <f>VLOOKUP(L40,Scores!$A$2:$B$217,2,FALSE)</f>
        <v>#N/A</v>
      </c>
      <c r="N40" s="9"/>
      <c r="O40" s="3" t="e">
        <f>VLOOKUP(N40,Scores!$A$2:$B$217,2,FALSE)</f>
        <v>#N/A</v>
      </c>
      <c r="P40" s="9"/>
      <c r="Q40" s="3"/>
      <c r="R40" s="9"/>
      <c r="S40" s="3"/>
      <c r="V40" s="9"/>
    </row>
    <row r="41" spans="2:23" ht="15" x14ac:dyDescent="0.25">
      <c r="E41" s="13">
        <v>3</v>
      </c>
      <c r="F41" s="9"/>
      <c r="G41" s="3" t="e">
        <f>VLOOKUP(F41,Scores!$A$2:$B$217,2,FALSE)</f>
        <v>#N/A</v>
      </c>
      <c r="H41" s="9"/>
      <c r="I41" s="3" t="e">
        <f>VLOOKUP(H41,Scores!$A$2:$B$217,2,FALSE)</f>
        <v>#N/A</v>
      </c>
      <c r="J41" s="9"/>
      <c r="K41" s="3" t="e">
        <f>VLOOKUP(J41,Scores!$A$2:$B$217,2,FALSE)</f>
        <v>#N/A</v>
      </c>
      <c r="L41" s="9"/>
      <c r="M41" s="3" t="e">
        <f>VLOOKUP(L41,Scores!$A$2:$B$217,2,FALSE)</f>
        <v>#N/A</v>
      </c>
      <c r="N41" s="9"/>
      <c r="O41" s="3" t="e">
        <f>VLOOKUP(N41,Scores!$A$2:$B$217,2,FALSE)</f>
        <v>#N/A</v>
      </c>
      <c r="P41" s="9"/>
      <c r="Q41" s="3"/>
      <c r="R41" s="9"/>
      <c r="S41" s="3"/>
      <c r="V41" s="9"/>
    </row>
    <row r="42" spans="2:23" ht="15" x14ac:dyDescent="0.25">
      <c r="B42" s="55" t="s">
        <v>399</v>
      </c>
      <c r="E42" s="13">
        <v>4</v>
      </c>
      <c r="F42" s="9"/>
      <c r="G42" s="3" t="e">
        <f>VLOOKUP(F42,Scores!$A$2:$B$217,2,FALSE)</f>
        <v>#N/A</v>
      </c>
      <c r="H42" s="9"/>
      <c r="I42" s="3" t="e">
        <f>VLOOKUP(H42,Scores!$A$2:$B$217,2,FALSE)</f>
        <v>#N/A</v>
      </c>
      <c r="J42" s="9"/>
      <c r="K42" s="3" t="e">
        <f>VLOOKUP(J42,Scores!$A$2:$B$217,2,FALSE)</f>
        <v>#N/A</v>
      </c>
      <c r="L42" s="9"/>
      <c r="M42" s="3" t="e">
        <f>VLOOKUP(L42,Scores!$A$2:$B$217,2,FALSE)</f>
        <v>#N/A</v>
      </c>
      <c r="N42" s="9"/>
      <c r="O42" s="3" t="e">
        <f>VLOOKUP(N42,Scores!$A$2:$B$217,2,FALSE)</f>
        <v>#N/A</v>
      </c>
      <c r="P42" s="9"/>
      <c r="Q42" s="3"/>
      <c r="R42" s="9"/>
      <c r="S42" s="3"/>
      <c r="V42" s="9"/>
    </row>
    <row r="43" spans="2:23" ht="15" x14ac:dyDescent="0.25">
      <c r="B43" s="57" t="s">
        <v>466</v>
      </c>
      <c r="E43" s="13">
        <v>5</v>
      </c>
      <c r="F43" s="9"/>
      <c r="G43" s="3" t="e">
        <f>VLOOKUP(F43,Scores!$A$2:$B$217,2,FALSE)</f>
        <v>#N/A</v>
      </c>
      <c r="H43" s="9"/>
      <c r="I43" s="3" t="e">
        <f>VLOOKUP(H43,Scores!$A$2:$B$217,2,FALSE)</f>
        <v>#N/A</v>
      </c>
      <c r="J43" s="32"/>
      <c r="K43" s="3" t="e">
        <f>VLOOKUP(J43,Scores!$A$2:$B$217,2,FALSE)</f>
        <v>#N/A</v>
      </c>
      <c r="L43" s="32"/>
      <c r="M43" s="3" t="e">
        <f>VLOOKUP(L43,Scores!$A$2:$B$217,2,FALSE)</f>
        <v>#N/A</v>
      </c>
      <c r="N43" s="32"/>
      <c r="O43" s="3" t="e">
        <f>VLOOKUP(N43,Scores!$A$2:$B$217,2,FALSE)</f>
        <v>#N/A</v>
      </c>
      <c r="Q43" s="3"/>
      <c r="R43" s="9"/>
      <c r="S43" s="3"/>
      <c r="V43" s="32"/>
    </row>
    <row r="44" spans="2:23" ht="15" x14ac:dyDescent="0.25">
      <c r="E44" s="13">
        <v>6</v>
      </c>
      <c r="F44" s="9"/>
      <c r="G44" s="3" t="e">
        <f>VLOOKUP(F44,Scores!$A$2:$B$217,2,FALSE)</f>
        <v>#N/A</v>
      </c>
      <c r="H44" s="9"/>
      <c r="I44" s="3" t="e">
        <f>VLOOKUP(H44,Scores!$A$2:$B$217,2,FALSE)</f>
        <v>#N/A</v>
      </c>
      <c r="J44" s="9"/>
      <c r="K44" s="3" t="e">
        <f>VLOOKUP(J44,Scores!$A$2:$B$217,2,FALSE)</f>
        <v>#N/A</v>
      </c>
      <c r="L44" s="9"/>
      <c r="M44" s="3" t="e">
        <f>VLOOKUP(L44,Scores!$A$2:$B$217,2,FALSE)</f>
        <v>#N/A</v>
      </c>
      <c r="N44" s="9"/>
      <c r="O44" s="3" t="e">
        <f>VLOOKUP(N44,Scores!$A$2:$B$217,2,FALSE)</f>
        <v>#N/A</v>
      </c>
      <c r="P44" s="9"/>
      <c r="Q44" s="3"/>
      <c r="R44" s="9"/>
      <c r="S44" s="3"/>
      <c r="V44" s="9"/>
    </row>
    <row r="45" spans="2:23" ht="15" x14ac:dyDescent="0.25">
      <c r="E45" s="13">
        <v>7</v>
      </c>
      <c r="F45" s="9"/>
      <c r="G45" s="3" t="e">
        <f>VLOOKUP(F45,Scores!$A$2:$B$217,2,FALSE)</f>
        <v>#N/A</v>
      </c>
      <c r="H45" s="9"/>
      <c r="I45" s="3" t="e">
        <f>VLOOKUP(H45,Scores!$A$2:$B$217,2,FALSE)</f>
        <v>#N/A</v>
      </c>
      <c r="J45" s="9"/>
      <c r="K45" s="3" t="e">
        <f>VLOOKUP(J45,Scores!$A$2:$B$217,2,FALSE)</f>
        <v>#N/A</v>
      </c>
      <c r="L45" s="9"/>
      <c r="M45" s="3" t="e">
        <f>VLOOKUP(L45,Scores!$A$2:$B$217,2,FALSE)</f>
        <v>#N/A</v>
      </c>
      <c r="N45" s="9"/>
      <c r="O45" s="3" t="e">
        <f>VLOOKUP(N45,Scores!$A$2:$B$217,2,FALSE)</f>
        <v>#N/A</v>
      </c>
      <c r="P45" s="9"/>
      <c r="Q45" s="3"/>
      <c r="R45" s="9"/>
      <c r="S45" s="3"/>
      <c r="V45" s="9"/>
    </row>
    <row r="46" spans="2:23" ht="15" x14ac:dyDescent="0.25">
      <c r="E46" s="13">
        <v>8</v>
      </c>
      <c r="F46" s="9"/>
      <c r="G46" s="3" t="e">
        <f>VLOOKUP(F46,Scores!$A$2:$B$217,2,FALSE)</f>
        <v>#N/A</v>
      </c>
      <c r="H46" s="9"/>
      <c r="I46" s="3" t="e">
        <f>VLOOKUP(H46,Scores!$A$2:$B$217,2,FALSE)</f>
        <v>#N/A</v>
      </c>
      <c r="J46" s="9"/>
      <c r="K46" s="3" t="e">
        <f>VLOOKUP(J46,Scores!$A$2:$B$217,2,FALSE)</f>
        <v>#N/A</v>
      </c>
      <c r="L46" s="9"/>
      <c r="M46" s="3" t="e">
        <f>VLOOKUP(L46,Scores!$A$2:$B$217,2,FALSE)</f>
        <v>#N/A</v>
      </c>
      <c r="N46" s="9"/>
      <c r="O46" s="3" t="e">
        <f>VLOOKUP(N46,Scores!$A$2:$B$217,2,FALSE)</f>
        <v>#N/A</v>
      </c>
      <c r="Q46" s="3"/>
      <c r="R46" s="9"/>
      <c r="S46" s="3"/>
    </row>
    <row r="47" spans="2:23" ht="15" x14ac:dyDescent="0.25">
      <c r="E47" s="13" t="s">
        <v>9</v>
      </c>
      <c r="F47" s="9"/>
      <c r="G47" s="3" t="e">
        <f>VLOOKUP(F47,Scores!$A$2:$B$217,2,FALSE)</f>
        <v>#N/A</v>
      </c>
      <c r="H47" s="9"/>
      <c r="I47" s="3" t="e">
        <f>VLOOKUP(H47,Scores!$A$2:$B$217,2,FALSE)</f>
        <v>#N/A</v>
      </c>
      <c r="J47" s="9"/>
      <c r="K47" s="3" t="e">
        <f>VLOOKUP(J47,Scores!$A$2:$B$217,2,FALSE)</f>
        <v>#N/A</v>
      </c>
      <c r="L47" s="9"/>
      <c r="M47" s="3" t="e">
        <f>VLOOKUP(L47,Scores!$A$2:$B$217,2,FALSE)</f>
        <v>#N/A</v>
      </c>
      <c r="N47" s="9"/>
      <c r="O47" s="3" t="e">
        <f>VLOOKUP(N47,Scores!$A$2:$B$217,2,FALSE)</f>
        <v>#N/A</v>
      </c>
      <c r="P47" s="9"/>
      <c r="Q47" s="3"/>
      <c r="R47" s="31"/>
      <c r="S47" s="3"/>
      <c r="V47" s="9"/>
    </row>
    <row r="48" spans="2:23" ht="15" x14ac:dyDescent="0.25">
      <c r="E48" s="13" t="s">
        <v>10</v>
      </c>
      <c r="F48" s="9"/>
      <c r="G48" s="3" t="e">
        <f>VLOOKUP(F48,Scores!$A$2:$B$217,2,FALSE)</f>
        <v>#N/A</v>
      </c>
      <c r="H48" s="9"/>
      <c r="I48" s="3" t="e">
        <f>VLOOKUP(H48,Scores!$A$2:$B$217,2,FALSE)</f>
        <v>#N/A</v>
      </c>
      <c r="J48" s="9"/>
      <c r="K48" s="18" t="e">
        <f>VLOOKUP(J48,Scores!$A$2:$B$217,2,FALSE)</f>
        <v>#N/A</v>
      </c>
      <c r="L48" s="9"/>
      <c r="M48" s="3" t="e">
        <f>VLOOKUP(L48,Scores!$A$2:$B$217,2,FALSE)</f>
        <v>#N/A</v>
      </c>
      <c r="N48" s="65"/>
      <c r="O48" s="3" t="e">
        <f>VLOOKUP(N48,Scores!$A$2:$B$217,2,FALSE)</f>
        <v>#N/A</v>
      </c>
      <c r="P48" s="9"/>
      <c r="Q48" s="3"/>
      <c r="R48" s="9"/>
      <c r="S48" s="3"/>
      <c r="V48" s="9"/>
    </row>
    <row r="49" spans="5:34" x14ac:dyDescent="0.2">
      <c r="E49"/>
      <c r="G49" s="3"/>
      <c r="I49" s="3"/>
      <c r="K49" s="3"/>
      <c r="M49" s="3"/>
      <c r="O49" s="3"/>
      <c r="Q49" s="3"/>
      <c r="S49" s="3"/>
    </row>
    <row r="50" spans="5:34" x14ac:dyDescent="0.2">
      <c r="E50"/>
      <c r="F50" t="str">
        <f>F2</f>
        <v>Webster</v>
      </c>
      <c r="G50" t="str">
        <f>H2</f>
        <v>Mattson</v>
      </c>
      <c r="H50" t="str">
        <f>J2</f>
        <v>Holiday</v>
      </c>
      <c r="I50" t="str">
        <f>L2</f>
        <v>Donasky</v>
      </c>
      <c r="J50" t="str">
        <f>N2</f>
        <v>Allen</v>
      </c>
      <c r="K50" t="str">
        <f>P2</f>
        <v>L Hill</v>
      </c>
      <c r="L50" t="str">
        <f>R2</f>
        <v>Armstrong</v>
      </c>
      <c r="M50" t="str">
        <f>T2</f>
        <v>Horvath</v>
      </c>
      <c r="N50" t="str">
        <f>F14</f>
        <v>Chernick</v>
      </c>
      <c r="O50" s="19" t="str">
        <f>H14</f>
        <v>Rush</v>
      </c>
      <c r="P50" t="str">
        <f>J14</f>
        <v>Tsutsumi</v>
      </c>
      <c r="Q50" t="str">
        <f>L14</f>
        <v>Bernau</v>
      </c>
      <c r="R50" t="str">
        <f>N14</f>
        <v>Dillabaugh</v>
      </c>
      <c r="S50" t="str">
        <f>P14</f>
        <v>B Hill</v>
      </c>
      <c r="T50" t="str">
        <f>R14</f>
        <v>Fish</v>
      </c>
      <c r="U50" t="str">
        <f>T14</f>
        <v>Richard</v>
      </c>
      <c r="V50" t="str">
        <f>F26</f>
        <v>Rakusin</v>
      </c>
      <c r="W50" s="3" t="str">
        <f>H26</f>
        <v>Howell</v>
      </c>
      <c r="X50" t="str">
        <f>J26</f>
        <v>Steigmeyer</v>
      </c>
      <c r="Y50" t="str">
        <f>L26</f>
        <v>Balme</v>
      </c>
      <c r="Z50" t="str">
        <f>N26</f>
        <v>McElroy</v>
      </c>
      <c r="AA50" t="str">
        <f>P26</f>
        <v>Hitchman</v>
      </c>
      <c r="AB50" t="str">
        <f>R26</f>
        <v>Hempel</v>
      </c>
      <c r="AC50" t="str">
        <f>T26</f>
        <v>Langer</v>
      </c>
      <c r="AD50" t="str">
        <f>F38</f>
        <v>Weiss</v>
      </c>
      <c r="AE50" t="str">
        <f>H38</f>
        <v>Eliason</v>
      </c>
      <c r="AF50" t="str">
        <f>J38</f>
        <v>Stabile</v>
      </c>
      <c r="AG50" t="str">
        <f>L38</f>
        <v>Cruickshank</v>
      </c>
      <c r="AH50" t="str">
        <f>N38</f>
        <v>Isaacson</v>
      </c>
    </row>
    <row r="51" spans="5:34" x14ac:dyDescent="0.2">
      <c r="E51" t="s">
        <v>79</v>
      </c>
      <c r="F51" s="3" t="e">
        <f>G2</f>
        <v>#N/A</v>
      </c>
      <c r="G51" s="3" t="e">
        <f>I2</f>
        <v>#N/A</v>
      </c>
      <c r="H51" s="3" t="e">
        <f>K2</f>
        <v>#N/A</v>
      </c>
      <c r="I51" s="3" t="e">
        <f>M2</f>
        <v>#N/A</v>
      </c>
      <c r="J51" s="3" t="e">
        <f>O2</f>
        <v>#N/A</v>
      </c>
      <c r="K51" s="3" t="e">
        <f>Q2</f>
        <v>#N/A</v>
      </c>
      <c r="L51" s="3" t="e">
        <f>S2</f>
        <v>#N/A</v>
      </c>
      <c r="M51" s="3" t="e">
        <f>U2</f>
        <v>#N/A</v>
      </c>
      <c r="N51" s="3" t="e">
        <f>G14</f>
        <v>#N/A</v>
      </c>
      <c r="O51" s="3" t="e">
        <f>I14</f>
        <v>#N/A</v>
      </c>
      <c r="P51" s="3" t="e">
        <f>K14</f>
        <v>#N/A</v>
      </c>
      <c r="Q51" s="3" t="e">
        <f>M14</f>
        <v>#N/A</v>
      </c>
      <c r="R51" s="3" t="e">
        <f>O14</f>
        <v>#N/A</v>
      </c>
      <c r="S51" s="3" t="e">
        <f>Q14</f>
        <v>#N/A</v>
      </c>
      <c r="T51" s="3" t="e">
        <f>S14</f>
        <v>#N/A</v>
      </c>
      <c r="U51" s="3" t="e">
        <f>U14</f>
        <v>#N/A</v>
      </c>
      <c r="V51" s="3" t="e">
        <f>G26</f>
        <v>#N/A</v>
      </c>
      <c r="W51" s="3" t="e">
        <f>I26</f>
        <v>#N/A</v>
      </c>
      <c r="X51" s="3" t="e">
        <f>K26</f>
        <v>#N/A</v>
      </c>
      <c r="Y51" s="3" t="e">
        <f>M26</f>
        <v>#N/A</v>
      </c>
      <c r="Z51" s="3" t="e">
        <f>O26</f>
        <v>#N/A</v>
      </c>
      <c r="AA51" s="3" t="e">
        <f>Q26</f>
        <v>#N/A</v>
      </c>
      <c r="AB51" t="e">
        <f>S26</f>
        <v>#N/A</v>
      </c>
      <c r="AC51" t="e">
        <f>U26</f>
        <v>#N/A</v>
      </c>
      <c r="AD51" t="e">
        <f>G38</f>
        <v>#N/A</v>
      </c>
      <c r="AE51" t="e">
        <f>I38</f>
        <v>#N/A</v>
      </c>
      <c r="AF51" t="e">
        <f>K38</f>
        <v>#N/A</v>
      </c>
      <c r="AG51" t="e">
        <f>M38</f>
        <v>#N/A</v>
      </c>
      <c r="AH51" t="e">
        <f>O38</f>
        <v>#N/A</v>
      </c>
    </row>
    <row r="52" spans="5:34" x14ac:dyDescent="0.2">
      <c r="E52" t="s">
        <v>376</v>
      </c>
      <c r="F52" s="48"/>
      <c r="G52" s="48"/>
      <c r="H52" s="48"/>
      <c r="I52" s="48"/>
      <c r="J52" s="48"/>
      <c r="K52" s="48"/>
      <c r="L52" s="48"/>
      <c r="M52" s="48"/>
      <c r="N52" s="48"/>
      <c r="O52" s="48"/>
      <c r="P52" s="48"/>
      <c r="Q52" s="48"/>
      <c r="R52" s="48"/>
      <c r="S52" s="48"/>
      <c r="T52" s="48"/>
      <c r="U52" s="48"/>
      <c r="V52" s="48"/>
      <c r="W52" s="48"/>
      <c r="X52" s="48"/>
      <c r="Y52" s="48"/>
      <c r="Z52" s="48"/>
      <c r="AA52" s="48"/>
      <c r="AB52" s="47"/>
      <c r="AC52" s="47"/>
      <c r="AD52" s="47"/>
      <c r="AE52" s="47"/>
      <c r="AF52" s="47"/>
      <c r="AG52" s="47"/>
      <c r="AH52" s="47"/>
    </row>
    <row r="53" spans="5:34" x14ac:dyDescent="0.2">
      <c r="E53"/>
      <c r="F53" s="48"/>
      <c r="G53" s="48"/>
      <c r="H53" s="48"/>
      <c r="I53" s="48"/>
      <c r="J53" s="48"/>
      <c r="K53" s="48"/>
      <c r="L53" s="48"/>
      <c r="M53" s="48"/>
      <c r="N53" s="48"/>
      <c r="O53" s="48"/>
      <c r="P53" s="48"/>
      <c r="Q53" s="48"/>
      <c r="R53" s="48"/>
      <c r="S53" s="48"/>
      <c r="T53" s="48"/>
      <c r="U53" s="48"/>
      <c r="V53" s="48"/>
      <c r="W53" s="48"/>
      <c r="X53" s="48"/>
      <c r="Y53" s="48"/>
      <c r="Z53" s="48"/>
      <c r="AA53" s="48"/>
      <c r="AB53" s="47"/>
      <c r="AC53" s="47"/>
      <c r="AD53" s="47"/>
      <c r="AE53" s="47"/>
      <c r="AF53" s="47"/>
      <c r="AG53" s="47"/>
      <c r="AH53" s="47"/>
    </row>
    <row r="54" spans="5:34" x14ac:dyDescent="0.2">
      <c r="E54"/>
      <c r="F54" s="7" t="s">
        <v>25</v>
      </c>
      <c r="G54" s="20">
        <f>SMALL(G55:G62,1)+SMALL(G55:G62,2)+SMALL(G55:G62,3)+SMALL(G55:G62,4)+SMALL(G55:G62,5)</f>
        <v>-41</v>
      </c>
      <c r="I54" s="3"/>
      <c r="K54" s="3"/>
      <c r="M54" s="3"/>
      <c r="O54" s="3"/>
      <c r="Q54" s="3"/>
      <c r="S54" s="3"/>
    </row>
    <row r="55" spans="5:34" x14ac:dyDescent="0.2">
      <c r="E55"/>
      <c r="G55">
        <f>'Top 40'!B36</f>
        <v>-12</v>
      </c>
      <c r="I55"/>
      <c r="M55" s="3"/>
      <c r="O55" s="3"/>
      <c r="Q55" s="3"/>
      <c r="S55" s="3"/>
    </row>
    <row r="56" spans="5:34" x14ac:dyDescent="0.2">
      <c r="E56"/>
      <c r="G56">
        <f>'Top 40'!B37</f>
        <v>-5</v>
      </c>
      <c r="I56"/>
      <c r="M56" s="3"/>
      <c r="O56" s="3"/>
      <c r="Q56" s="3"/>
      <c r="S56" s="3"/>
    </row>
    <row r="57" spans="5:34" x14ac:dyDescent="0.2">
      <c r="G57">
        <f>'Top 40'!B38</f>
        <v>-6</v>
      </c>
      <c r="I57"/>
    </row>
    <row r="58" spans="5:34" x14ac:dyDescent="0.2">
      <c r="G58">
        <f>'Top 40'!B39</f>
        <v>-8</v>
      </c>
      <c r="I58"/>
    </row>
    <row r="59" spans="5:34" x14ac:dyDescent="0.2">
      <c r="G59">
        <f>'Top 40'!B40</f>
        <v>-5</v>
      </c>
      <c r="I59"/>
    </row>
    <row r="60" spans="5:34" x14ac:dyDescent="0.2">
      <c r="G60">
        <f>'Top 40'!B41</f>
        <v>-10</v>
      </c>
      <c r="I60"/>
    </row>
    <row r="61" spans="5:34" x14ac:dyDescent="0.2">
      <c r="G61">
        <f>'Top 40'!B42</f>
        <v>-3</v>
      </c>
      <c r="I61"/>
    </row>
    <row r="62" spans="5:34" x14ac:dyDescent="0.2">
      <c r="G62" s="22">
        <f>'Top 40'!B43</f>
        <v>-5</v>
      </c>
      <c r="I62"/>
    </row>
    <row r="63" spans="5:34" x14ac:dyDescent="0.2">
      <c r="F63" s="21"/>
      <c r="G63" s="19"/>
      <c r="I63"/>
    </row>
    <row r="64" spans="5:34" x14ac:dyDescent="0.2">
      <c r="F64" s="21"/>
      <c r="G64"/>
      <c r="I64"/>
    </row>
    <row r="65" spans="7:9" x14ac:dyDescent="0.2">
      <c r="G65"/>
      <c r="I65"/>
    </row>
    <row r="66" spans="7:9" x14ac:dyDescent="0.2">
      <c r="G66"/>
      <c r="I66"/>
    </row>
    <row r="67" spans="7:9" x14ac:dyDescent="0.2">
      <c r="G67"/>
      <c r="I67"/>
    </row>
    <row r="68" spans="7:9" x14ac:dyDescent="0.2">
      <c r="G68"/>
      <c r="I68"/>
    </row>
    <row r="69" spans="7:9" x14ac:dyDescent="0.2">
      <c r="G69"/>
      <c r="I69"/>
    </row>
    <row r="70" spans="7:9" x14ac:dyDescent="0.2">
      <c r="G70"/>
      <c r="I70"/>
    </row>
    <row r="71" spans="7:9" x14ac:dyDescent="0.2">
      <c r="G71"/>
      <c r="I71"/>
    </row>
    <row r="72" spans="7:9" x14ac:dyDescent="0.2">
      <c r="G72"/>
      <c r="I72"/>
    </row>
    <row r="73" spans="7:9" x14ac:dyDescent="0.2">
      <c r="G73"/>
      <c r="I73"/>
    </row>
    <row r="74" spans="7:9" x14ac:dyDescent="0.2">
      <c r="G74"/>
      <c r="I74"/>
    </row>
    <row r="75" spans="7:9" x14ac:dyDescent="0.2">
      <c r="G75"/>
      <c r="I75"/>
    </row>
    <row r="76" spans="7:9" x14ac:dyDescent="0.2">
      <c r="G76"/>
      <c r="I76"/>
    </row>
    <row r="77" spans="7:9" x14ac:dyDescent="0.2">
      <c r="G77"/>
      <c r="I77"/>
    </row>
    <row r="78" spans="7:9" x14ac:dyDescent="0.2">
      <c r="G78"/>
      <c r="I78"/>
    </row>
    <row r="79" spans="7:9" x14ac:dyDescent="0.2">
      <c r="G79"/>
      <c r="I79"/>
    </row>
    <row r="80" spans="7:9" x14ac:dyDescent="0.2">
      <c r="G80"/>
      <c r="I80"/>
    </row>
    <row r="81" spans="7:9" x14ac:dyDescent="0.2">
      <c r="G81"/>
      <c r="I81"/>
    </row>
    <row r="82" spans="7:9" x14ac:dyDescent="0.2">
      <c r="G82"/>
      <c r="I82"/>
    </row>
    <row r="83" spans="7:9" x14ac:dyDescent="0.2">
      <c r="G83"/>
      <c r="I83"/>
    </row>
  </sheetData>
  <conditionalFormatting sqref="F2:U2 F13:U14 F3:F12 H3:H12 J3:J12 L3:L12 N3:N12 P3:P12 R3:R12 T3:T12 F25:U26 F15:F24 H15:H24 J15:J24 L15:L24 N15:N24 P15:P24 R15:R24 T15:T24 F27:F36 T27:T36 R27:R36 P27:P36 N27:N36 L27:L36 J27:J36 H27:H36">
    <cfRule type="cellIs" dxfId="149" priority="36" operator="equal">
      <formula>50</formula>
    </cfRule>
  </conditionalFormatting>
  <conditionalFormatting sqref="F38:K38 F39:F48 H39:H48 J39:J48">
    <cfRule type="cellIs" dxfId="148" priority="35" operator="equal">
      <formula>50</formula>
    </cfRule>
  </conditionalFormatting>
  <conditionalFormatting sqref="F1:U2 F13:U14 F3:F12 H3:H12 J3:J12 L3:L12 N3:N12 P3:P12 R3:R12 T3:T12 F25:U26 F15:F24 H15:H24 J15:J24 L15:L24 N15:N24 P15:P24 R15:R24 T15:T24 F37:U38 F27:F36 T27:T36 R27:R36 P27:P36 N27:N36 L27:L36 J27:J36 H27:H36 F39:F48 H39:H48 J39:J48 L39:L48 N39:N48 P39:U48">
    <cfRule type="expression" dxfId="147" priority="32">
      <formula>G1=50</formula>
    </cfRule>
  </conditionalFormatting>
  <conditionalFormatting sqref="L38:M38 L39:L48">
    <cfRule type="cellIs" dxfId="146" priority="31" operator="equal">
      <formula>50</formula>
    </cfRule>
  </conditionalFormatting>
  <conditionalFormatting sqref="N38:O38 N39:N48">
    <cfRule type="cellIs" dxfId="145" priority="30" operator="equal">
      <formula>50</formula>
    </cfRule>
  </conditionalFormatting>
  <conditionalFormatting sqref="G3:G12">
    <cfRule type="cellIs" dxfId="144" priority="29" operator="equal">
      <formula>50</formula>
    </cfRule>
  </conditionalFormatting>
  <conditionalFormatting sqref="I3:I12">
    <cfRule type="cellIs" dxfId="143" priority="28" operator="equal">
      <formula>50</formula>
    </cfRule>
  </conditionalFormatting>
  <conditionalFormatting sqref="K3:K12">
    <cfRule type="cellIs" dxfId="142" priority="27" operator="equal">
      <formula>50</formula>
    </cfRule>
  </conditionalFormatting>
  <conditionalFormatting sqref="M3:M12">
    <cfRule type="cellIs" dxfId="141" priority="26" operator="equal">
      <formula>50</formula>
    </cfRule>
  </conditionalFormatting>
  <conditionalFormatting sqref="O3:O12">
    <cfRule type="cellIs" dxfId="140" priority="25" operator="equal">
      <formula>50</formula>
    </cfRule>
  </conditionalFormatting>
  <conditionalFormatting sqref="Q3:Q12">
    <cfRule type="cellIs" dxfId="139" priority="24" operator="equal">
      <formula>50</formula>
    </cfRule>
  </conditionalFormatting>
  <conditionalFormatting sqref="S3:S12">
    <cfRule type="cellIs" dxfId="138" priority="23" operator="equal">
      <formula>50</formula>
    </cfRule>
  </conditionalFormatting>
  <conditionalFormatting sqref="U3:U12">
    <cfRule type="cellIs" dxfId="137" priority="22" operator="equal">
      <formula>50</formula>
    </cfRule>
  </conditionalFormatting>
  <conditionalFormatting sqref="G15:G24">
    <cfRule type="cellIs" dxfId="136" priority="21" operator="equal">
      <formula>50</formula>
    </cfRule>
  </conditionalFormatting>
  <conditionalFormatting sqref="I15:I24">
    <cfRule type="cellIs" dxfId="135" priority="20" operator="equal">
      <formula>50</formula>
    </cfRule>
  </conditionalFormatting>
  <conditionalFormatting sqref="K15:K24">
    <cfRule type="cellIs" dxfId="134" priority="19" operator="equal">
      <formula>50</formula>
    </cfRule>
  </conditionalFormatting>
  <conditionalFormatting sqref="M15:M24">
    <cfRule type="cellIs" dxfId="133" priority="18" operator="equal">
      <formula>50</formula>
    </cfRule>
  </conditionalFormatting>
  <conditionalFormatting sqref="O15:O24">
    <cfRule type="cellIs" dxfId="132" priority="17" operator="equal">
      <formula>50</formula>
    </cfRule>
  </conditionalFormatting>
  <conditionalFormatting sqref="Q15:Q24">
    <cfRule type="cellIs" dxfId="131" priority="16" operator="equal">
      <formula>50</formula>
    </cfRule>
  </conditionalFormatting>
  <conditionalFormatting sqref="S15:S24">
    <cfRule type="cellIs" dxfId="130" priority="15" operator="equal">
      <formula>50</formula>
    </cfRule>
  </conditionalFormatting>
  <conditionalFormatting sqref="U15:U24">
    <cfRule type="cellIs" dxfId="129" priority="14" operator="equal">
      <formula>50</formula>
    </cfRule>
  </conditionalFormatting>
  <conditionalFormatting sqref="U27:U36">
    <cfRule type="cellIs" dxfId="128" priority="13" operator="equal">
      <formula>50</formula>
    </cfRule>
  </conditionalFormatting>
  <conditionalFormatting sqref="S27:S36">
    <cfRule type="cellIs" dxfId="127" priority="12" operator="equal">
      <formula>50</formula>
    </cfRule>
  </conditionalFormatting>
  <conditionalFormatting sqref="Q27:Q36">
    <cfRule type="cellIs" dxfId="126" priority="11" operator="equal">
      <formula>50</formula>
    </cfRule>
  </conditionalFormatting>
  <conditionalFormatting sqref="O27:O36">
    <cfRule type="cellIs" dxfId="125" priority="10" operator="equal">
      <formula>50</formula>
    </cfRule>
  </conditionalFormatting>
  <conditionalFormatting sqref="M27:M36">
    <cfRule type="cellIs" dxfId="124" priority="9" operator="equal">
      <formula>50</formula>
    </cfRule>
  </conditionalFormatting>
  <conditionalFormatting sqref="K27:K36">
    <cfRule type="cellIs" dxfId="123" priority="8" operator="equal">
      <formula>50</formula>
    </cfRule>
  </conditionalFormatting>
  <conditionalFormatting sqref="I27:I36">
    <cfRule type="cellIs" dxfId="122" priority="7" operator="equal">
      <formula>50</formula>
    </cfRule>
  </conditionalFormatting>
  <conditionalFormatting sqref="G27:G36">
    <cfRule type="cellIs" dxfId="121" priority="6" operator="equal">
      <formula>50</formula>
    </cfRule>
  </conditionalFormatting>
  <conditionalFormatting sqref="G39:G48">
    <cfRule type="cellIs" dxfId="120" priority="5" operator="equal">
      <formula>50</formula>
    </cfRule>
  </conditionalFormatting>
  <conditionalFormatting sqref="I39:I48">
    <cfRule type="cellIs" dxfId="119" priority="4" operator="equal">
      <formula>50</formula>
    </cfRule>
  </conditionalFormatting>
  <conditionalFormatting sqref="K39:K48">
    <cfRule type="cellIs" dxfId="118" priority="3" operator="equal">
      <formula>50</formula>
    </cfRule>
  </conditionalFormatting>
  <conditionalFormatting sqref="M39:M48">
    <cfRule type="cellIs" dxfId="117" priority="2" operator="equal">
      <formula>50</formula>
    </cfRule>
  </conditionalFormatting>
  <conditionalFormatting sqref="O39:O48">
    <cfRule type="cellIs" dxfId="116" priority="1" operator="equal">
      <formula>50</formula>
    </cfRule>
  </conditionalFormatting>
  <hyperlinks>
    <hyperlink ref="B34" r:id="rId1" display="Leaderboard" xr:uid="{8E1217F7-76C8-4712-8FC1-9AABA379101E}"/>
    <hyperlink ref="B42" r:id="rId2" xr:uid="{A96A5A88-EB34-407F-AFFB-920A44F3167E}"/>
  </hyperlinks>
  <pageMargins left="0.7" right="0.7" top="0.75" bottom="0.75" header="0.3" footer="0.3"/>
  <pageSetup orientation="portrait" r:id="rId3"/>
  <webPublishItems count="1">
    <webPublishItem id="4339" divId="JoeMagneticoMicroPGATour_4339" sourceType="range" sourceRef="A1:U48" destinationFile="C:\pga\html\Micro.htm" title="Micro Golf"/>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BDAF8FE9-50AD-4726-9A86-185C749D6572}">
          <x14:formula1>
            <xm:f>'Top 40'!$C$4:$G$4</xm:f>
          </x14:formula1>
          <xm:sqref>F4 H4 J4 P16 N4 P4 L4 N16 V40 P28 R4 R28 R16 H16 L16 T4 J16 F28 H28 N28 L28 J28 F16 T16 V28 P40 T28 T40 L40 R40 J40 F40 H40 N40</xm:sqref>
        </x14:dataValidation>
        <x14:dataValidation type="list" allowBlank="1" showInputMessage="1" showErrorMessage="1" xr:uid="{C356999E-A4D5-4A7F-8328-41A150635177}">
          <x14:formula1>
            <xm:f>'Top 40'!$C$10:$G$10</xm:f>
          </x14:formula1>
          <xm:sqref>R46 T46 H34 P46 T22 J34 L34 L46 V46 F10 H10 J10 L10 N10 P10 N34 V34 P34 R34 R10 R22 P22 N22 L22 J22 H22 F22 F34 H46 J46 F46 N46</xm:sqref>
        </x14:dataValidation>
        <x14:dataValidation type="list" allowBlank="1" showInputMessage="1" showErrorMessage="1" xr:uid="{293C3A1C-9DCD-42CD-AC01-07F42D14EA99}">
          <x14:formula1>
            <xm:f>'Top 40'!$C$9:$G$9</xm:f>
          </x14:formula1>
          <xm:sqref>F9 R9 J9 L9 N9 T45 F21 T9 R33 H9 P33 R21 P9 P21 J21 L21 N21 F33 H21 H33 L33 N33 J33 V33 T21 P45 R45 V45 J45 L45 T33 F45 H45 N45</xm:sqref>
        </x14:dataValidation>
        <x14:dataValidation type="list" allowBlank="1" showInputMessage="1" showErrorMessage="1" xr:uid="{7617910B-1E23-47DE-BD1F-0952CD3A8484}">
          <x14:formula1>
            <xm:f>'Top 40'!$C$8:$G$8</xm:f>
          </x14:formula1>
          <xm:sqref>F8 H8 J8 L8 N8 T44 P8 R32 R8 T8 R20 P20 N20 P32 H20 L20 F20 F32 J20 L32 H32 N32 J32 V32 T20 R44 P44 T32 J44 V44 L44 F44 H44 N44</xm:sqref>
        </x14:dataValidation>
        <x14:dataValidation type="list" allowBlank="1" showInputMessage="1" showErrorMessage="1" xr:uid="{82008EA4-6855-45E2-B5BF-BC150F61BD79}">
          <x14:formula1>
            <xm:f>'Top 40'!$C$7:$G$7</xm:f>
          </x14:formula1>
          <xm:sqref>F7 H7 J7 L7 P19 P7 N31 T7 P31 N7 R7 V43 N19 L19 J19 F31 R31 F19 L31 H31 R19 H19 J31 T19 V31 L43 P43 J43 T43 T31 R43 F43 H43 N43</xm:sqref>
        </x14:dataValidation>
        <x14:dataValidation type="list" allowBlank="1" showInputMessage="1" showErrorMessage="1" xr:uid="{FDF5CE8E-024B-4794-8DFB-4141E8C98A02}">
          <x14:formula1>
            <xm:f>'Top 40'!$C$6:$G$6</xm:f>
          </x14:formula1>
          <xm:sqref>F6 H6 J6 N6 L6 T42 P30 P18 R30 R6 P6 L18 R18 L30 J18 H18 F18 F30 H30 J30 N30 N18 T6 V30 T18 R42 J42 P42 V42 T30 L42 F42 H42 N42</xm:sqref>
        </x14:dataValidation>
        <x14:dataValidation type="list" allowBlank="1" showInputMessage="1" showErrorMessage="1" xr:uid="{EDF91C6A-89AA-49F1-9D49-A8D31E76FFE1}">
          <x14:formula1>
            <xm:f>'Top 40'!$C$5:$G$5</xm:f>
          </x14:formula1>
          <xm:sqref>J17 F17 H29 J29 N29 L5 F5 H5 J5 N5 V41 F29 L29 R5 P29 R17 P17 N17 L17 H17 T5 R29 P5 T17 V29 P41 T41 L41 R41 T29 F41 H41 J41 N41</xm:sqref>
        </x14:dataValidation>
        <x14:dataValidation type="list" allowBlank="1" showInputMessage="1" showErrorMessage="1" xr:uid="{C7F47260-6710-4FB2-A501-FC258D7F9F3B}">
          <x14:formula1>
            <xm:f>'Top 40'!$C$3:$G$3</xm:f>
          </x14:formula1>
          <xm:sqref>F3 R27 H3 J3 N15 H15 R3 N27 J27 P3 P27 J15 R15 L27 L15 P15 H27 F15 F27 L3 T39 T3 N3 V27 T15 R39 L39 T27 P39 F39 V39 J39 H39 N39</xm:sqref>
        </x14:dataValidation>
        <x14:dataValidation type="list" allowBlank="1" showInputMessage="1" showErrorMessage="1" xr:uid="{85CA328B-10A6-4AFC-B853-2A9FF9087F76}">
          <x14:formula1>
            <xm:f>Field!$A$2:$A$202</xm:f>
          </x14:formula1>
          <xm:sqref>F23:F24 N47:N48 R11:R12 T34:T36 L11:L12 L47:L48 P47:P48 R47:R48 T47:T48 V47:V48 V35:V36 F47:F48 N35:N36 P23:P24 J35:J36 H35:H36 F35:F36 J11:J12 H23:H24 J23:J24 H11:H12 N23:N24 L23:L24 R23:R24 T10:T12 R35:R36 P35:P36 F11:F12 L35:L36 P11:P12 N11:N12 J47:J48 H47:H48 T23:T24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619A3-4E8B-4C80-891D-6611E539AA9E}">
  <sheetPr codeName="Sheet2"/>
  <dimension ref="A1:D157"/>
  <sheetViews>
    <sheetView zoomScaleNormal="100" workbookViewId="0">
      <selection sqref="A1:B157"/>
    </sheetView>
  </sheetViews>
  <sheetFormatPr defaultRowHeight="13.5" customHeight="1" x14ac:dyDescent="0.2"/>
  <cols>
    <col min="1" max="1" width="21.5703125" bestFit="1" customWidth="1"/>
    <col min="2" max="2" width="11.42578125" style="3" bestFit="1" customWidth="1"/>
  </cols>
  <sheetData>
    <row r="1" spans="1:4" ht="12.75" x14ac:dyDescent="0.2">
      <c r="A1" t="s">
        <v>56</v>
      </c>
      <c r="B1" s="3" t="s">
        <v>57</v>
      </c>
    </row>
    <row r="2" spans="1:4" ht="12.75" x14ac:dyDescent="0.2">
      <c r="A2" t="s">
        <v>53</v>
      </c>
      <c r="B2" s="3">
        <v>0</v>
      </c>
    </row>
    <row r="3" spans="1:4" ht="12.75" x14ac:dyDescent="0.2">
      <c r="A3" t="s">
        <v>36</v>
      </c>
      <c r="B3" s="3">
        <v>0</v>
      </c>
      <c r="D3" s="19"/>
    </row>
    <row r="4" spans="1:4" ht="12.75" x14ac:dyDescent="0.2">
      <c r="A4" t="s">
        <v>385</v>
      </c>
      <c r="B4" s="3">
        <v>0</v>
      </c>
    </row>
    <row r="5" spans="1:4" ht="12.75" x14ac:dyDescent="0.2">
      <c r="A5" t="s">
        <v>60</v>
      </c>
      <c r="B5" s="3">
        <v>0</v>
      </c>
    </row>
    <row r="6" spans="1:4" ht="12.75" x14ac:dyDescent="0.2">
      <c r="A6" t="s">
        <v>44</v>
      </c>
      <c r="B6" s="3">
        <v>0</v>
      </c>
    </row>
    <row r="7" spans="1:4" ht="12.75" x14ac:dyDescent="0.2">
      <c r="A7" t="s">
        <v>291</v>
      </c>
      <c r="B7" s="3">
        <v>0</v>
      </c>
    </row>
    <row r="8" spans="1:4" ht="12.75" x14ac:dyDescent="0.2">
      <c r="A8" t="s">
        <v>190</v>
      </c>
      <c r="B8" s="3">
        <v>0</v>
      </c>
    </row>
    <row r="9" spans="1:4" ht="12.75" x14ac:dyDescent="0.2">
      <c r="A9" t="s">
        <v>225</v>
      </c>
      <c r="B9" s="3">
        <v>0</v>
      </c>
    </row>
    <row r="10" spans="1:4" ht="12.75" x14ac:dyDescent="0.2">
      <c r="A10" t="s">
        <v>26</v>
      </c>
      <c r="B10" s="3">
        <v>0</v>
      </c>
    </row>
    <row r="11" spans="1:4" ht="12.75" x14ac:dyDescent="0.2">
      <c r="A11" t="s">
        <v>330</v>
      </c>
      <c r="B11" s="3">
        <v>0</v>
      </c>
    </row>
    <row r="12" spans="1:4" ht="12.75" x14ac:dyDescent="0.2">
      <c r="A12" t="s">
        <v>244</v>
      </c>
      <c r="B12" s="3">
        <v>0</v>
      </c>
    </row>
    <row r="13" spans="1:4" ht="12.75" x14ac:dyDescent="0.2">
      <c r="A13" t="s">
        <v>27</v>
      </c>
      <c r="B13" s="3">
        <v>0</v>
      </c>
    </row>
    <row r="14" spans="1:4" ht="12.75" x14ac:dyDescent="0.2">
      <c r="A14" t="s">
        <v>41</v>
      </c>
      <c r="B14" s="3">
        <v>0</v>
      </c>
    </row>
    <row r="15" spans="1:4" ht="12.75" x14ac:dyDescent="0.2">
      <c r="A15" t="s">
        <v>162</v>
      </c>
      <c r="B15" s="3">
        <v>0</v>
      </c>
    </row>
    <row r="16" spans="1:4" ht="12.75" x14ac:dyDescent="0.2">
      <c r="A16" t="s">
        <v>423</v>
      </c>
      <c r="B16" s="3">
        <v>0</v>
      </c>
    </row>
    <row r="17" spans="1:2" ht="12.75" x14ac:dyDescent="0.2">
      <c r="A17" t="s">
        <v>298</v>
      </c>
      <c r="B17" s="3">
        <v>0</v>
      </c>
    </row>
    <row r="18" spans="1:2" ht="12.75" x14ac:dyDescent="0.2">
      <c r="A18" t="s">
        <v>61</v>
      </c>
      <c r="B18" s="3">
        <v>0</v>
      </c>
    </row>
    <row r="19" spans="1:2" ht="12.75" x14ac:dyDescent="0.2">
      <c r="A19" t="s">
        <v>334</v>
      </c>
      <c r="B19" s="3">
        <v>0</v>
      </c>
    </row>
    <row r="20" spans="1:2" ht="12.75" x14ac:dyDescent="0.2">
      <c r="A20" t="s">
        <v>54</v>
      </c>
      <c r="B20" s="3">
        <v>0</v>
      </c>
    </row>
    <row r="21" spans="1:2" ht="12.75" x14ac:dyDescent="0.2">
      <c r="A21" t="s">
        <v>265</v>
      </c>
      <c r="B21" s="3">
        <v>0</v>
      </c>
    </row>
    <row r="22" spans="1:2" ht="12.75" x14ac:dyDescent="0.2">
      <c r="A22" t="s">
        <v>450</v>
      </c>
      <c r="B22" s="3">
        <v>0</v>
      </c>
    </row>
    <row r="23" spans="1:2" ht="12.75" x14ac:dyDescent="0.2">
      <c r="A23" t="s">
        <v>67</v>
      </c>
      <c r="B23" s="3">
        <v>0</v>
      </c>
    </row>
    <row r="24" spans="1:2" ht="12.75" x14ac:dyDescent="0.2">
      <c r="A24" t="s">
        <v>34</v>
      </c>
      <c r="B24" s="3">
        <v>0</v>
      </c>
    </row>
    <row r="25" spans="1:2" ht="12.75" x14ac:dyDescent="0.2">
      <c r="A25" t="s">
        <v>59</v>
      </c>
      <c r="B25" s="3">
        <v>0</v>
      </c>
    </row>
    <row r="26" spans="1:2" ht="12.75" x14ac:dyDescent="0.2">
      <c r="A26" t="s">
        <v>33</v>
      </c>
      <c r="B26" s="3">
        <v>0</v>
      </c>
    </row>
    <row r="27" spans="1:2" ht="12.75" x14ac:dyDescent="0.2">
      <c r="A27" t="s">
        <v>383</v>
      </c>
      <c r="B27" s="3">
        <v>0</v>
      </c>
    </row>
    <row r="28" spans="1:2" ht="12.75" x14ac:dyDescent="0.2">
      <c r="A28" t="s">
        <v>42</v>
      </c>
      <c r="B28" s="3">
        <v>0</v>
      </c>
    </row>
    <row r="29" spans="1:2" ht="12.75" x14ac:dyDescent="0.2">
      <c r="A29" t="s">
        <v>32</v>
      </c>
      <c r="B29" s="3">
        <v>0</v>
      </c>
    </row>
    <row r="30" spans="1:2" ht="12.75" x14ac:dyDescent="0.2">
      <c r="A30" t="s">
        <v>230</v>
      </c>
      <c r="B30" s="3">
        <v>0</v>
      </c>
    </row>
    <row r="31" spans="1:2" ht="12.75" x14ac:dyDescent="0.2">
      <c r="A31" t="s">
        <v>72</v>
      </c>
      <c r="B31" s="3">
        <v>0</v>
      </c>
    </row>
    <row r="32" spans="1:2" ht="12.75" x14ac:dyDescent="0.2">
      <c r="A32" t="s">
        <v>408</v>
      </c>
      <c r="B32" s="3">
        <v>0</v>
      </c>
    </row>
    <row r="33" spans="1:2" ht="12.75" x14ac:dyDescent="0.2">
      <c r="A33" t="s">
        <v>283</v>
      </c>
      <c r="B33" s="3">
        <v>0</v>
      </c>
    </row>
    <row r="34" spans="1:2" ht="12.75" x14ac:dyDescent="0.2">
      <c r="A34" t="s">
        <v>39</v>
      </c>
      <c r="B34" s="3">
        <v>0</v>
      </c>
    </row>
    <row r="35" spans="1:2" ht="12.75" x14ac:dyDescent="0.2">
      <c r="A35" t="s">
        <v>40</v>
      </c>
      <c r="B35" s="3">
        <v>0</v>
      </c>
    </row>
    <row r="36" spans="1:2" ht="12.75" x14ac:dyDescent="0.2">
      <c r="A36" t="s">
        <v>445</v>
      </c>
      <c r="B36" s="3">
        <v>0</v>
      </c>
    </row>
    <row r="37" spans="1:2" ht="12.75" x14ac:dyDescent="0.2">
      <c r="A37" t="s">
        <v>404</v>
      </c>
      <c r="B37" s="3">
        <v>0</v>
      </c>
    </row>
    <row r="38" spans="1:2" ht="12.75" x14ac:dyDescent="0.2">
      <c r="A38" t="s">
        <v>30</v>
      </c>
      <c r="B38" s="3">
        <v>0</v>
      </c>
    </row>
    <row r="39" spans="1:2" ht="12.75" x14ac:dyDescent="0.2">
      <c r="A39" t="s">
        <v>73</v>
      </c>
      <c r="B39" s="3">
        <v>0</v>
      </c>
    </row>
    <row r="40" spans="1:2" ht="12.75" x14ac:dyDescent="0.2">
      <c r="A40" t="s">
        <v>289</v>
      </c>
      <c r="B40" s="3">
        <v>0</v>
      </c>
    </row>
    <row r="41" spans="1:2" ht="12.75" x14ac:dyDescent="0.2">
      <c r="A41" t="s">
        <v>218</v>
      </c>
      <c r="B41" s="3">
        <v>0</v>
      </c>
    </row>
    <row r="42" spans="1:2" ht="12.75" x14ac:dyDescent="0.2">
      <c r="A42" t="s">
        <v>413</v>
      </c>
      <c r="B42" s="3">
        <v>0</v>
      </c>
    </row>
    <row r="43" spans="1:2" ht="12.75" x14ac:dyDescent="0.2">
      <c r="A43" t="s">
        <v>285</v>
      </c>
      <c r="B43" s="3">
        <v>0</v>
      </c>
    </row>
    <row r="44" spans="1:2" ht="12.75" x14ac:dyDescent="0.2">
      <c r="A44" t="s">
        <v>386</v>
      </c>
      <c r="B44" s="3">
        <v>0</v>
      </c>
    </row>
    <row r="45" spans="1:2" ht="12.75" x14ac:dyDescent="0.2">
      <c r="A45" t="s">
        <v>315</v>
      </c>
      <c r="B45" s="3">
        <v>0</v>
      </c>
    </row>
    <row r="46" spans="1:2" ht="12.75" x14ac:dyDescent="0.2">
      <c r="A46" t="s">
        <v>63</v>
      </c>
      <c r="B46" s="3">
        <v>0</v>
      </c>
    </row>
    <row r="47" spans="1:2" ht="12.75" x14ac:dyDescent="0.2">
      <c r="A47" t="s">
        <v>66</v>
      </c>
      <c r="B47" s="3">
        <v>0</v>
      </c>
    </row>
    <row r="48" spans="1:2" ht="12.75" x14ac:dyDescent="0.2">
      <c r="A48" t="s">
        <v>29</v>
      </c>
      <c r="B48" s="3">
        <v>0</v>
      </c>
    </row>
    <row r="49" spans="1:2" ht="12.75" x14ac:dyDescent="0.2">
      <c r="A49" t="s">
        <v>310</v>
      </c>
      <c r="B49" s="3">
        <v>0</v>
      </c>
    </row>
    <row r="50" spans="1:2" ht="12.75" x14ac:dyDescent="0.2">
      <c r="A50" t="s">
        <v>47</v>
      </c>
      <c r="B50" s="3">
        <v>0</v>
      </c>
    </row>
    <row r="51" spans="1:2" ht="12.75" x14ac:dyDescent="0.2">
      <c r="A51" t="s">
        <v>336</v>
      </c>
      <c r="B51" s="3">
        <v>0</v>
      </c>
    </row>
    <row r="52" spans="1:2" ht="12.75" x14ac:dyDescent="0.2">
      <c r="A52" t="s">
        <v>50</v>
      </c>
      <c r="B52" s="3">
        <v>0</v>
      </c>
    </row>
    <row r="53" spans="1:2" ht="12.75" x14ac:dyDescent="0.2">
      <c r="A53" t="s">
        <v>236</v>
      </c>
      <c r="B53" s="3">
        <v>0</v>
      </c>
    </row>
    <row r="54" spans="1:2" ht="12.75" x14ac:dyDescent="0.2">
      <c r="A54" t="s">
        <v>68</v>
      </c>
      <c r="B54" s="3">
        <v>0</v>
      </c>
    </row>
    <row r="55" spans="1:2" ht="12.75" x14ac:dyDescent="0.2">
      <c r="A55" t="s">
        <v>318</v>
      </c>
      <c r="B55" s="3">
        <v>0</v>
      </c>
    </row>
    <row r="56" spans="1:2" ht="12.75" x14ac:dyDescent="0.2">
      <c r="A56" t="s">
        <v>31</v>
      </c>
      <c r="B56" s="3">
        <v>0</v>
      </c>
    </row>
    <row r="57" spans="1:2" ht="12.75" x14ac:dyDescent="0.2">
      <c r="A57" t="s">
        <v>446</v>
      </c>
      <c r="B57" s="3">
        <v>0</v>
      </c>
    </row>
    <row r="58" spans="1:2" ht="12.75" x14ac:dyDescent="0.2">
      <c r="A58" t="s">
        <v>384</v>
      </c>
      <c r="B58" s="3">
        <v>0</v>
      </c>
    </row>
    <row r="59" spans="1:2" ht="12.75" x14ac:dyDescent="0.2">
      <c r="A59" t="s">
        <v>393</v>
      </c>
      <c r="B59" s="3">
        <v>0</v>
      </c>
    </row>
    <row r="60" spans="1:2" ht="12.75" x14ac:dyDescent="0.2">
      <c r="A60" t="s">
        <v>416</v>
      </c>
      <c r="B60" s="3">
        <v>0</v>
      </c>
    </row>
    <row r="61" spans="1:2" ht="12.75" x14ac:dyDescent="0.2">
      <c r="A61" t="s">
        <v>438</v>
      </c>
      <c r="B61" s="3">
        <v>0</v>
      </c>
    </row>
    <row r="62" spans="1:2" ht="12.75" x14ac:dyDescent="0.2">
      <c r="A62" t="s">
        <v>71</v>
      </c>
      <c r="B62" s="3">
        <v>0</v>
      </c>
    </row>
    <row r="63" spans="1:2" ht="12.75" x14ac:dyDescent="0.2">
      <c r="A63" t="s">
        <v>347</v>
      </c>
      <c r="B63" s="3">
        <v>0</v>
      </c>
    </row>
    <row r="64" spans="1:2" ht="12.75" x14ac:dyDescent="0.2">
      <c r="A64" t="s">
        <v>456</v>
      </c>
      <c r="B64" s="3">
        <v>0</v>
      </c>
    </row>
    <row r="65" spans="1:2" ht="12.75" x14ac:dyDescent="0.2">
      <c r="A65" t="s">
        <v>37</v>
      </c>
      <c r="B65" s="3">
        <v>0</v>
      </c>
    </row>
    <row r="66" spans="1:2" ht="12.75" x14ac:dyDescent="0.2">
      <c r="A66" t="s">
        <v>64</v>
      </c>
      <c r="B66" s="3">
        <v>0</v>
      </c>
    </row>
    <row r="67" spans="1:2" ht="12.75" x14ac:dyDescent="0.2">
      <c r="A67" t="s">
        <v>52</v>
      </c>
      <c r="B67" s="3">
        <v>0</v>
      </c>
    </row>
    <row r="68" spans="1:2" ht="12.75" x14ac:dyDescent="0.2">
      <c r="A68" t="s">
        <v>135</v>
      </c>
      <c r="B68" s="3">
        <v>0</v>
      </c>
    </row>
    <row r="69" spans="1:2" ht="12.75" x14ac:dyDescent="0.2">
      <c r="A69" t="s">
        <v>430</v>
      </c>
      <c r="B69" s="3">
        <v>0</v>
      </c>
    </row>
    <row r="70" spans="1:2" ht="12.75" x14ac:dyDescent="0.2">
      <c r="A70" t="s">
        <v>443</v>
      </c>
      <c r="B70" s="3">
        <v>0</v>
      </c>
    </row>
    <row r="71" spans="1:2" ht="12.75" x14ac:dyDescent="0.2">
      <c r="A71" t="s">
        <v>402</v>
      </c>
      <c r="B71" s="3">
        <v>0</v>
      </c>
    </row>
    <row r="72" spans="1:2" ht="12.75" x14ac:dyDescent="0.2">
      <c r="A72" t="s">
        <v>394</v>
      </c>
      <c r="B72" s="3">
        <v>0</v>
      </c>
    </row>
    <row r="73" spans="1:2" ht="12.75" x14ac:dyDescent="0.2">
      <c r="A73" t="s">
        <v>454</v>
      </c>
      <c r="B73" s="3">
        <v>0</v>
      </c>
    </row>
    <row r="74" spans="1:2" ht="12.75" x14ac:dyDescent="0.2">
      <c r="A74" t="s">
        <v>391</v>
      </c>
      <c r="B74" s="3">
        <v>0</v>
      </c>
    </row>
    <row r="75" spans="1:2" ht="12.75" x14ac:dyDescent="0.2">
      <c r="A75" t="s">
        <v>412</v>
      </c>
      <c r="B75" s="3">
        <v>0</v>
      </c>
    </row>
    <row r="76" spans="1:2" ht="12.75" x14ac:dyDescent="0.2">
      <c r="A76" t="s">
        <v>222</v>
      </c>
      <c r="B76" s="3">
        <v>0</v>
      </c>
    </row>
    <row r="77" spans="1:2" ht="12.75" x14ac:dyDescent="0.2">
      <c r="A77" t="s">
        <v>323</v>
      </c>
      <c r="B77" s="3">
        <v>0</v>
      </c>
    </row>
    <row r="78" spans="1:2" ht="12.75" x14ac:dyDescent="0.2">
      <c r="A78" t="s">
        <v>418</v>
      </c>
      <c r="B78" s="3">
        <v>0</v>
      </c>
    </row>
    <row r="79" spans="1:2" ht="12.75" x14ac:dyDescent="0.2">
      <c r="A79" t="s">
        <v>70</v>
      </c>
      <c r="B79" s="3">
        <v>0</v>
      </c>
    </row>
    <row r="80" spans="1:2" ht="12.75" x14ac:dyDescent="0.2">
      <c r="A80" t="s">
        <v>424</v>
      </c>
      <c r="B80" s="3">
        <v>0</v>
      </c>
    </row>
    <row r="81" spans="1:2" ht="12.75" x14ac:dyDescent="0.2">
      <c r="A81" t="s">
        <v>389</v>
      </c>
      <c r="B81" s="3">
        <v>0</v>
      </c>
    </row>
    <row r="82" spans="1:2" ht="12.75" x14ac:dyDescent="0.2">
      <c r="A82" t="s">
        <v>455</v>
      </c>
      <c r="B82" s="3">
        <v>0</v>
      </c>
    </row>
    <row r="83" spans="1:2" ht="12.75" x14ac:dyDescent="0.2">
      <c r="A83" t="s">
        <v>240</v>
      </c>
      <c r="B83" s="3">
        <v>0</v>
      </c>
    </row>
    <row r="84" spans="1:2" ht="12.75" x14ac:dyDescent="0.2">
      <c r="A84" t="s">
        <v>415</v>
      </c>
      <c r="B84" s="3">
        <v>0</v>
      </c>
    </row>
    <row r="85" spans="1:2" ht="12.75" x14ac:dyDescent="0.2">
      <c r="A85" t="s">
        <v>392</v>
      </c>
      <c r="B85" s="3">
        <v>0</v>
      </c>
    </row>
    <row r="86" spans="1:2" ht="12.75" x14ac:dyDescent="0.2">
      <c r="A86" t="s">
        <v>35</v>
      </c>
      <c r="B86" s="3">
        <v>0</v>
      </c>
    </row>
    <row r="87" spans="1:2" ht="12.75" x14ac:dyDescent="0.2">
      <c r="A87" t="s">
        <v>28</v>
      </c>
      <c r="B87" s="3">
        <v>0</v>
      </c>
    </row>
    <row r="88" spans="1:2" ht="12.75" x14ac:dyDescent="0.2">
      <c r="A88" t="s">
        <v>428</v>
      </c>
      <c r="B88" s="3">
        <v>0</v>
      </c>
    </row>
    <row r="89" spans="1:2" ht="12.75" x14ac:dyDescent="0.2">
      <c r="A89" t="s">
        <v>282</v>
      </c>
      <c r="B89" s="3">
        <v>0</v>
      </c>
    </row>
    <row r="90" spans="1:2" ht="12.75" x14ac:dyDescent="0.2">
      <c r="A90" t="s">
        <v>69</v>
      </c>
      <c r="B90" s="3">
        <v>0</v>
      </c>
    </row>
    <row r="91" spans="1:2" ht="12.75" x14ac:dyDescent="0.2">
      <c r="A91" t="s">
        <v>333</v>
      </c>
      <c r="B91" s="3">
        <v>0</v>
      </c>
    </row>
    <row r="92" spans="1:2" ht="12.75" x14ac:dyDescent="0.2">
      <c r="A92" t="s">
        <v>436</v>
      </c>
      <c r="B92" s="3">
        <v>0</v>
      </c>
    </row>
    <row r="93" spans="1:2" ht="12.75" x14ac:dyDescent="0.2">
      <c r="A93" t="s">
        <v>440</v>
      </c>
      <c r="B93" s="3">
        <v>0</v>
      </c>
    </row>
    <row r="94" spans="1:2" ht="12.75" x14ac:dyDescent="0.2">
      <c r="A94" t="s">
        <v>338</v>
      </c>
      <c r="B94" s="3">
        <v>0</v>
      </c>
    </row>
    <row r="95" spans="1:2" ht="12.75" x14ac:dyDescent="0.2">
      <c r="A95" t="s">
        <v>46</v>
      </c>
      <c r="B95" s="3">
        <v>0</v>
      </c>
    </row>
    <row r="96" spans="1:2" ht="12.75" x14ac:dyDescent="0.2">
      <c r="A96" t="s">
        <v>437</v>
      </c>
      <c r="B96" s="3">
        <v>0</v>
      </c>
    </row>
    <row r="97" spans="1:2" ht="12.75" x14ac:dyDescent="0.2">
      <c r="A97" t="s">
        <v>232</v>
      </c>
      <c r="B97" s="3">
        <v>0</v>
      </c>
    </row>
    <row r="98" spans="1:2" ht="12.75" x14ac:dyDescent="0.2">
      <c r="A98" t="s">
        <v>344</v>
      </c>
      <c r="B98" s="3">
        <v>0</v>
      </c>
    </row>
    <row r="99" spans="1:2" ht="12.75" x14ac:dyDescent="0.2">
      <c r="A99" t="s">
        <v>427</v>
      </c>
      <c r="B99" s="3">
        <v>0</v>
      </c>
    </row>
    <row r="100" spans="1:2" ht="12.75" x14ac:dyDescent="0.2">
      <c r="A100" t="s">
        <v>45</v>
      </c>
      <c r="B100" s="3">
        <v>0</v>
      </c>
    </row>
    <row r="101" spans="1:2" ht="12.75" x14ac:dyDescent="0.2">
      <c r="A101" t="s">
        <v>51</v>
      </c>
      <c r="B101" s="3">
        <v>0</v>
      </c>
    </row>
    <row r="102" spans="1:2" ht="12.75" x14ac:dyDescent="0.2">
      <c r="A102" t="s">
        <v>314</v>
      </c>
      <c r="B102" s="3">
        <v>0</v>
      </c>
    </row>
    <row r="103" spans="1:2" ht="12.75" x14ac:dyDescent="0.2">
      <c r="A103" t="s">
        <v>422</v>
      </c>
      <c r="B103" s="3">
        <v>0</v>
      </c>
    </row>
    <row r="104" spans="1:2" ht="12.75" x14ac:dyDescent="0.2">
      <c r="A104" t="s">
        <v>260</v>
      </c>
      <c r="B104" s="3">
        <v>0</v>
      </c>
    </row>
    <row r="105" spans="1:2" ht="12.75" x14ac:dyDescent="0.2">
      <c r="A105" t="s">
        <v>49</v>
      </c>
      <c r="B105" s="3">
        <v>0</v>
      </c>
    </row>
    <row r="106" spans="1:2" ht="12.75" x14ac:dyDescent="0.2">
      <c r="A106" t="s">
        <v>451</v>
      </c>
      <c r="B106" s="3">
        <v>0</v>
      </c>
    </row>
    <row r="107" spans="1:2" ht="12.75" x14ac:dyDescent="0.2">
      <c r="A107" t="s">
        <v>326</v>
      </c>
      <c r="B107" s="3">
        <v>0</v>
      </c>
    </row>
    <row r="108" spans="1:2" ht="12.75" x14ac:dyDescent="0.2">
      <c r="A108" t="s">
        <v>420</v>
      </c>
      <c r="B108" s="3">
        <v>0</v>
      </c>
    </row>
    <row r="109" spans="1:2" ht="12.75" x14ac:dyDescent="0.2">
      <c r="A109" t="s">
        <v>38</v>
      </c>
      <c r="B109" s="3">
        <v>0</v>
      </c>
    </row>
    <row r="110" spans="1:2" ht="12.75" x14ac:dyDescent="0.2">
      <c r="A110" t="s">
        <v>432</v>
      </c>
      <c r="B110" s="3">
        <v>0</v>
      </c>
    </row>
    <row r="111" spans="1:2" ht="12.75" x14ac:dyDescent="0.2">
      <c r="A111" t="s">
        <v>215</v>
      </c>
      <c r="B111" s="3">
        <v>0</v>
      </c>
    </row>
    <row r="112" spans="1:2" ht="12.75" x14ac:dyDescent="0.2">
      <c r="A112" t="s">
        <v>405</v>
      </c>
      <c r="B112" s="3">
        <v>0</v>
      </c>
    </row>
    <row r="113" spans="1:2" ht="12.75" x14ac:dyDescent="0.2">
      <c r="A113" t="s">
        <v>48</v>
      </c>
      <c r="B113" s="3">
        <v>0</v>
      </c>
    </row>
    <row r="114" spans="1:2" ht="12.75" x14ac:dyDescent="0.2">
      <c r="A114" t="s">
        <v>448</v>
      </c>
      <c r="B114" s="3">
        <v>0</v>
      </c>
    </row>
    <row r="115" spans="1:2" ht="12.75" x14ac:dyDescent="0.2">
      <c r="A115" t="s">
        <v>453</v>
      </c>
      <c r="B115" s="3">
        <v>0</v>
      </c>
    </row>
    <row r="116" spans="1:2" ht="12.75" x14ac:dyDescent="0.2">
      <c r="A116" t="s">
        <v>65</v>
      </c>
      <c r="B116" s="3">
        <v>0</v>
      </c>
    </row>
    <row r="117" spans="1:2" ht="12.75" x14ac:dyDescent="0.2">
      <c r="A117" t="s">
        <v>387</v>
      </c>
      <c r="B117" s="3">
        <v>0</v>
      </c>
    </row>
    <row r="118" spans="1:2" ht="12.75" x14ac:dyDescent="0.2">
      <c r="A118" t="s">
        <v>55</v>
      </c>
      <c r="B118" s="3">
        <v>0</v>
      </c>
    </row>
    <row r="119" spans="1:2" ht="12.75" x14ac:dyDescent="0.2">
      <c r="A119" t="s">
        <v>332</v>
      </c>
      <c r="B119" s="3">
        <v>0</v>
      </c>
    </row>
    <row r="120" spans="1:2" ht="12.75" x14ac:dyDescent="0.2">
      <c r="A120" t="s">
        <v>417</v>
      </c>
      <c r="B120" s="3">
        <v>0</v>
      </c>
    </row>
    <row r="121" spans="1:2" ht="12.75" x14ac:dyDescent="0.2">
      <c r="A121" t="s">
        <v>390</v>
      </c>
      <c r="B121" s="3">
        <v>0</v>
      </c>
    </row>
    <row r="122" spans="1:2" ht="12.75" x14ac:dyDescent="0.2">
      <c r="A122" t="s">
        <v>320</v>
      </c>
      <c r="B122" s="3">
        <v>0</v>
      </c>
    </row>
    <row r="123" spans="1:2" ht="12.75" x14ac:dyDescent="0.2">
      <c r="A123" t="s">
        <v>441</v>
      </c>
      <c r="B123" s="3">
        <v>0</v>
      </c>
    </row>
    <row r="124" spans="1:2" ht="12.75" x14ac:dyDescent="0.2">
      <c r="A124" t="s">
        <v>407</v>
      </c>
      <c r="B124" s="3">
        <v>0</v>
      </c>
    </row>
    <row r="125" spans="1:2" ht="12.75" x14ac:dyDescent="0.2">
      <c r="A125" t="s">
        <v>328</v>
      </c>
      <c r="B125" s="3">
        <v>0</v>
      </c>
    </row>
    <row r="126" spans="1:2" ht="12.75" x14ac:dyDescent="0.2">
      <c r="A126" t="s">
        <v>439</v>
      </c>
      <c r="B126" s="3">
        <v>0</v>
      </c>
    </row>
    <row r="127" spans="1:2" ht="12.75" x14ac:dyDescent="0.2">
      <c r="A127" t="s">
        <v>452</v>
      </c>
      <c r="B127" s="3">
        <v>0</v>
      </c>
    </row>
    <row r="128" spans="1:2" ht="12.75" x14ac:dyDescent="0.2">
      <c r="A128" t="s">
        <v>58</v>
      </c>
      <c r="B128" s="3">
        <v>0</v>
      </c>
    </row>
    <row r="129" spans="1:2" ht="12.75" x14ac:dyDescent="0.2">
      <c r="A129" t="s">
        <v>43</v>
      </c>
      <c r="B129" s="3">
        <v>0</v>
      </c>
    </row>
    <row r="130" spans="1:2" ht="12.75" x14ac:dyDescent="0.2">
      <c r="A130" t="s">
        <v>62</v>
      </c>
      <c r="B130" s="3">
        <v>0</v>
      </c>
    </row>
    <row r="131" spans="1:2" ht="12.75" x14ac:dyDescent="0.2">
      <c r="A131" t="s">
        <v>442</v>
      </c>
      <c r="B131" s="3">
        <v>0</v>
      </c>
    </row>
    <row r="132" spans="1:2" ht="12.75" x14ac:dyDescent="0.2">
      <c r="A132" t="s">
        <v>444</v>
      </c>
      <c r="B132" s="3">
        <v>0</v>
      </c>
    </row>
    <row r="133" spans="1:2" ht="12.75" x14ac:dyDescent="0.2">
      <c r="A133" t="s">
        <v>425</v>
      </c>
      <c r="B133" s="3">
        <v>0</v>
      </c>
    </row>
    <row r="134" spans="1:2" ht="12.75" x14ac:dyDescent="0.2">
      <c r="A134" t="s">
        <v>388</v>
      </c>
      <c r="B134" s="3">
        <v>0</v>
      </c>
    </row>
    <row r="135" spans="1:2" ht="12.75" x14ac:dyDescent="0.2">
      <c r="A135" t="s">
        <v>395</v>
      </c>
      <c r="B135" s="3">
        <v>0</v>
      </c>
    </row>
    <row r="136" spans="1:2" ht="12.75" x14ac:dyDescent="0.2">
      <c r="A136" t="s">
        <v>401</v>
      </c>
      <c r="B136" s="3">
        <v>0</v>
      </c>
    </row>
    <row r="137" spans="1:2" ht="12.75" x14ac:dyDescent="0.2">
      <c r="A137" t="s">
        <v>431</v>
      </c>
      <c r="B137" s="3">
        <v>0</v>
      </c>
    </row>
    <row r="138" spans="1:2" ht="12.75" x14ac:dyDescent="0.2">
      <c r="A138" t="s">
        <v>421</v>
      </c>
      <c r="B138" s="3">
        <v>0</v>
      </c>
    </row>
    <row r="139" spans="1:2" ht="12.75" x14ac:dyDescent="0.2">
      <c r="A139" t="s">
        <v>250</v>
      </c>
      <c r="B139" s="3">
        <v>0</v>
      </c>
    </row>
    <row r="140" spans="1:2" ht="12.75" x14ac:dyDescent="0.2">
      <c r="A140" t="s">
        <v>449</v>
      </c>
      <c r="B140" s="3">
        <v>0</v>
      </c>
    </row>
    <row r="141" spans="1:2" ht="12.75" x14ac:dyDescent="0.2">
      <c r="A141" t="s">
        <v>447</v>
      </c>
      <c r="B141" s="3">
        <v>0</v>
      </c>
    </row>
    <row r="142" spans="1:2" ht="12.75" x14ac:dyDescent="0.2">
      <c r="A142" t="s">
        <v>410</v>
      </c>
      <c r="B142" s="3">
        <v>0</v>
      </c>
    </row>
    <row r="143" spans="1:2" ht="12.75" x14ac:dyDescent="0.2">
      <c r="A143" t="s">
        <v>403</v>
      </c>
      <c r="B143" s="3">
        <v>0</v>
      </c>
    </row>
    <row r="144" spans="1:2" ht="12.75" x14ac:dyDescent="0.2">
      <c r="A144" t="s">
        <v>411</v>
      </c>
      <c r="B144" s="3">
        <v>0</v>
      </c>
    </row>
    <row r="145" spans="1:2" ht="12.75" x14ac:dyDescent="0.2">
      <c r="A145" t="s">
        <v>266</v>
      </c>
      <c r="B145" s="3">
        <v>0</v>
      </c>
    </row>
    <row r="146" spans="1:2" ht="12.75" x14ac:dyDescent="0.2">
      <c r="A146" t="s">
        <v>308</v>
      </c>
      <c r="B146" s="3">
        <v>0</v>
      </c>
    </row>
    <row r="147" spans="1:2" ht="12.75" x14ac:dyDescent="0.2">
      <c r="A147" t="s">
        <v>434</v>
      </c>
      <c r="B147" s="3">
        <v>0</v>
      </c>
    </row>
    <row r="148" spans="1:2" ht="12.75" x14ac:dyDescent="0.2">
      <c r="A148" t="s">
        <v>346</v>
      </c>
      <c r="B148" s="3">
        <v>0</v>
      </c>
    </row>
    <row r="149" spans="1:2" ht="12.75" x14ac:dyDescent="0.2">
      <c r="A149" t="s">
        <v>435</v>
      </c>
      <c r="B149" s="3">
        <v>0</v>
      </c>
    </row>
    <row r="150" spans="1:2" ht="12.75" x14ac:dyDescent="0.2">
      <c r="A150" t="s">
        <v>409</v>
      </c>
      <c r="B150" s="3">
        <v>0</v>
      </c>
    </row>
    <row r="151" spans="1:2" ht="12.75" x14ac:dyDescent="0.2">
      <c r="A151" t="s">
        <v>433</v>
      </c>
      <c r="B151" s="3">
        <v>0</v>
      </c>
    </row>
    <row r="152" spans="1:2" ht="12.75" x14ac:dyDescent="0.2">
      <c r="A152" t="s">
        <v>426</v>
      </c>
      <c r="B152" s="3">
        <v>0</v>
      </c>
    </row>
    <row r="153" spans="1:2" ht="12.75" x14ac:dyDescent="0.2">
      <c r="A153" t="s">
        <v>406</v>
      </c>
      <c r="B153" s="3">
        <v>0</v>
      </c>
    </row>
    <row r="154" spans="1:2" ht="12.75" x14ac:dyDescent="0.2">
      <c r="A154" t="s">
        <v>429</v>
      </c>
      <c r="B154" s="3">
        <v>0</v>
      </c>
    </row>
    <row r="155" spans="1:2" ht="12.75" x14ac:dyDescent="0.2">
      <c r="A155" t="s">
        <v>414</v>
      </c>
      <c r="B155" s="3">
        <v>0</v>
      </c>
    </row>
    <row r="156" spans="1:2" ht="12.75" x14ac:dyDescent="0.2">
      <c r="A156" t="s">
        <v>341</v>
      </c>
      <c r="B156" s="3">
        <v>0</v>
      </c>
    </row>
    <row r="157" spans="1:2" ht="12.75" x14ac:dyDescent="0.2">
      <c r="A157" t="s">
        <v>419</v>
      </c>
      <c r="B157" s="3">
        <v>0</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40F9D-737D-49FE-9B49-48FF09251BDD}">
  <sheetPr codeName="Sheet4"/>
  <dimension ref="A1:B160"/>
  <sheetViews>
    <sheetView zoomScaleNormal="100" workbookViewId="0"/>
  </sheetViews>
  <sheetFormatPr defaultRowHeight="12.75" x14ac:dyDescent="0.2"/>
  <cols>
    <col min="1" max="1" width="21.5703125" bestFit="1" customWidth="1"/>
    <col min="2" max="2" width="11.28515625" bestFit="1" customWidth="1"/>
  </cols>
  <sheetData>
    <row r="1" spans="1:2" x14ac:dyDescent="0.2">
      <c r="A1" t="s">
        <v>74</v>
      </c>
      <c r="B1" t="s">
        <v>75</v>
      </c>
    </row>
    <row r="2" spans="1:2" x14ac:dyDescent="0.2">
      <c r="A2" s="40" t="s">
        <v>53</v>
      </c>
      <c r="B2" t="s">
        <v>76</v>
      </c>
    </row>
    <row r="3" spans="1:2" x14ac:dyDescent="0.2">
      <c r="A3" s="40" t="s">
        <v>36</v>
      </c>
      <c r="B3" t="s">
        <v>76</v>
      </c>
    </row>
    <row r="4" spans="1:2" x14ac:dyDescent="0.2">
      <c r="A4" s="40" t="s">
        <v>385</v>
      </c>
      <c r="B4" t="s">
        <v>76</v>
      </c>
    </row>
    <row r="5" spans="1:2" x14ac:dyDescent="0.2">
      <c r="A5" s="40" t="s">
        <v>60</v>
      </c>
      <c r="B5" t="s">
        <v>76</v>
      </c>
    </row>
    <row r="6" spans="1:2" x14ac:dyDescent="0.2">
      <c r="A6" s="40" t="s">
        <v>44</v>
      </c>
      <c r="B6" t="s">
        <v>76</v>
      </c>
    </row>
    <row r="7" spans="1:2" x14ac:dyDescent="0.2">
      <c r="A7" s="40" t="s">
        <v>291</v>
      </c>
      <c r="B7" t="s">
        <v>76</v>
      </c>
    </row>
    <row r="8" spans="1:2" x14ac:dyDescent="0.2">
      <c r="A8" s="40" t="s">
        <v>190</v>
      </c>
      <c r="B8" t="s">
        <v>76</v>
      </c>
    </row>
    <row r="9" spans="1:2" x14ac:dyDescent="0.2">
      <c r="A9" s="40" t="s">
        <v>225</v>
      </c>
      <c r="B9" t="s">
        <v>76</v>
      </c>
    </row>
    <row r="10" spans="1:2" x14ac:dyDescent="0.2">
      <c r="A10" s="40" t="s">
        <v>26</v>
      </c>
      <c r="B10" t="s">
        <v>76</v>
      </c>
    </row>
    <row r="11" spans="1:2" x14ac:dyDescent="0.2">
      <c r="A11" s="40" t="s">
        <v>330</v>
      </c>
      <c r="B11" t="s">
        <v>76</v>
      </c>
    </row>
    <row r="12" spans="1:2" x14ac:dyDescent="0.2">
      <c r="A12" s="40" t="s">
        <v>244</v>
      </c>
      <c r="B12" t="s">
        <v>76</v>
      </c>
    </row>
    <row r="13" spans="1:2" x14ac:dyDescent="0.2">
      <c r="A13" s="40" t="s">
        <v>27</v>
      </c>
      <c r="B13" t="s">
        <v>76</v>
      </c>
    </row>
    <row r="14" spans="1:2" x14ac:dyDescent="0.2">
      <c r="A14" s="40" t="s">
        <v>41</v>
      </c>
      <c r="B14" t="s">
        <v>76</v>
      </c>
    </row>
    <row r="15" spans="1:2" x14ac:dyDescent="0.2">
      <c r="A15" s="40" t="s">
        <v>162</v>
      </c>
      <c r="B15" t="s">
        <v>76</v>
      </c>
    </row>
    <row r="16" spans="1:2" x14ac:dyDescent="0.2">
      <c r="A16" s="40" t="s">
        <v>423</v>
      </c>
      <c r="B16" t="s">
        <v>76</v>
      </c>
    </row>
    <row r="17" spans="1:2" x14ac:dyDescent="0.2">
      <c r="A17" s="40" t="s">
        <v>298</v>
      </c>
      <c r="B17" t="s">
        <v>76</v>
      </c>
    </row>
    <row r="18" spans="1:2" x14ac:dyDescent="0.2">
      <c r="A18" s="40" t="s">
        <v>61</v>
      </c>
      <c r="B18" t="s">
        <v>76</v>
      </c>
    </row>
    <row r="19" spans="1:2" x14ac:dyDescent="0.2">
      <c r="A19" s="40" t="s">
        <v>334</v>
      </c>
      <c r="B19" t="s">
        <v>76</v>
      </c>
    </row>
    <row r="20" spans="1:2" x14ac:dyDescent="0.2">
      <c r="A20" s="40" t="s">
        <v>54</v>
      </c>
      <c r="B20" t="s">
        <v>76</v>
      </c>
    </row>
    <row r="21" spans="1:2" x14ac:dyDescent="0.2">
      <c r="A21" s="40" t="s">
        <v>265</v>
      </c>
      <c r="B21" t="s">
        <v>76</v>
      </c>
    </row>
    <row r="22" spans="1:2" x14ac:dyDescent="0.2">
      <c r="A22" s="40" t="s">
        <v>450</v>
      </c>
      <c r="B22" t="s">
        <v>76</v>
      </c>
    </row>
    <row r="23" spans="1:2" x14ac:dyDescent="0.2">
      <c r="A23" s="40" t="s">
        <v>67</v>
      </c>
      <c r="B23" t="s">
        <v>76</v>
      </c>
    </row>
    <row r="24" spans="1:2" x14ac:dyDescent="0.2">
      <c r="A24" s="40" t="s">
        <v>34</v>
      </c>
      <c r="B24" t="s">
        <v>76</v>
      </c>
    </row>
    <row r="25" spans="1:2" x14ac:dyDescent="0.2">
      <c r="A25" s="40" t="s">
        <v>59</v>
      </c>
      <c r="B25" t="s">
        <v>76</v>
      </c>
    </row>
    <row r="26" spans="1:2" x14ac:dyDescent="0.2">
      <c r="A26" s="40" t="s">
        <v>33</v>
      </c>
      <c r="B26" t="s">
        <v>76</v>
      </c>
    </row>
    <row r="27" spans="1:2" x14ac:dyDescent="0.2">
      <c r="A27" s="40" t="s">
        <v>383</v>
      </c>
      <c r="B27" t="s">
        <v>76</v>
      </c>
    </row>
    <row r="28" spans="1:2" x14ac:dyDescent="0.2">
      <c r="A28" s="40" t="s">
        <v>42</v>
      </c>
      <c r="B28" t="s">
        <v>76</v>
      </c>
    </row>
    <row r="29" spans="1:2" x14ac:dyDescent="0.2">
      <c r="A29" s="40" t="s">
        <v>32</v>
      </c>
      <c r="B29" t="s">
        <v>76</v>
      </c>
    </row>
    <row r="30" spans="1:2" x14ac:dyDescent="0.2">
      <c r="A30" s="40" t="s">
        <v>230</v>
      </c>
      <c r="B30" t="s">
        <v>76</v>
      </c>
    </row>
    <row r="31" spans="1:2" x14ac:dyDescent="0.2">
      <c r="A31" s="40" t="s">
        <v>72</v>
      </c>
      <c r="B31" t="s">
        <v>76</v>
      </c>
    </row>
    <row r="32" spans="1:2" x14ac:dyDescent="0.2">
      <c r="A32" s="40" t="s">
        <v>408</v>
      </c>
      <c r="B32" t="s">
        <v>76</v>
      </c>
    </row>
    <row r="33" spans="1:2" x14ac:dyDescent="0.2">
      <c r="A33" s="40" t="s">
        <v>283</v>
      </c>
      <c r="B33" t="s">
        <v>76</v>
      </c>
    </row>
    <row r="34" spans="1:2" x14ac:dyDescent="0.2">
      <c r="A34" s="40" t="s">
        <v>39</v>
      </c>
      <c r="B34" t="s">
        <v>76</v>
      </c>
    </row>
    <row r="35" spans="1:2" x14ac:dyDescent="0.2">
      <c r="A35" s="40" t="s">
        <v>40</v>
      </c>
      <c r="B35" t="s">
        <v>76</v>
      </c>
    </row>
    <row r="36" spans="1:2" x14ac:dyDescent="0.2">
      <c r="A36" s="40" t="s">
        <v>445</v>
      </c>
      <c r="B36" t="s">
        <v>76</v>
      </c>
    </row>
    <row r="37" spans="1:2" x14ac:dyDescent="0.2">
      <c r="A37" s="40" t="s">
        <v>404</v>
      </c>
      <c r="B37" t="s">
        <v>76</v>
      </c>
    </row>
    <row r="38" spans="1:2" x14ac:dyDescent="0.2">
      <c r="A38" s="40" t="s">
        <v>30</v>
      </c>
      <c r="B38" t="s">
        <v>76</v>
      </c>
    </row>
    <row r="39" spans="1:2" x14ac:dyDescent="0.2">
      <c r="A39" s="40" t="s">
        <v>73</v>
      </c>
      <c r="B39" t="s">
        <v>76</v>
      </c>
    </row>
    <row r="40" spans="1:2" x14ac:dyDescent="0.2">
      <c r="A40" s="40" t="s">
        <v>289</v>
      </c>
      <c r="B40" t="s">
        <v>76</v>
      </c>
    </row>
    <row r="41" spans="1:2" x14ac:dyDescent="0.2">
      <c r="A41" s="40" t="s">
        <v>218</v>
      </c>
      <c r="B41" t="s">
        <v>76</v>
      </c>
    </row>
    <row r="42" spans="1:2" x14ac:dyDescent="0.2">
      <c r="A42" s="40" t="s">
        <v>413</v>
      </c>
      <c r="B42" t="s">
        <v>76</v>
      </c>
    </row>
    <row r="43" spans="1:2" x14ac:dyDescent="0.2">
      <c r="A43" s="40" t="s">
        <v>285</v>
      </c>
      <c r="B43" t="s">
        <v>76</v>
      </c>
    </row>
    <row r="44" spans="1:2" x14ac:dyDescent="0.2">
      <c r="A44" s="40" t="s">
        <v>386</v>
      </c>
      <c r="B44" t="s">
        <v>76</v>
      </c>
    </row>
    <row r="45" spans="1:2" x14ac:dyDescent="0.2">
      <c r="A45" s="40" t="s">
        <v>315</v>
      </c>
      <c r="B45" t="s">
        <v>76</v>
      </c>
    </row>
    <row r="46" spans="1:2" x14ac:dyDescent="0.2">
      <c r="A46" s="40" t="s">
        <v>63</v>
      </c>
      <c r="B46" t="s">
        <v>76</v>
      </c>
    </row>
    <row r="47" spans="1:2" x14ac:dyDescent="0.2">
      <c r="A47" s="40" t="s">
        <v>66</v>
      </c>
      <c r="B47" t="s">
        <v>76</v>
      </c>
    </row>
    <row r="48" spans="1:2" x14ac:dyDescent="0.2">
      <c r="A48" s="40" t="s">
        <v>29</v>
      </c>
      <c r="B48" t="s">
        <v>76</v>
      </c>
    </row>
    <row r="49" spans="1:2" x14ac:dyDescent="0.2">
      <c r="A49" s="40" t="s">
        <v>310</v>
      </c>
      <c r="B49" t="s">
        <v>76</v>
      </c>
    </row>
    <row r="50" spans="1:2" x14ac:dyDescent="0.2">
      <c r="A50" s="40" t="s">
        <v>47</v>
      </c>
      <c r="B50" t="s">
        <v>76</v>
      </c>
    </row>
    <row r="51" spans="1:2" x14ac:dyDescent="0.2">
      <c r="A51" s="40" t="s">
        <v>336</v>
      </c>
      <c r="B51" t="s">
        <v>76</v>
      </c>
    </row>
    <row r="52" spans="1:2" x14ac:dyDescent="0.2">
      <c r="A52" s="40" t="s">
        <v>50</v>
      </c>
      <c r="B52" t="s">
        <v>76</v>
      </c>
    </row>
    <row r="53" spans="1:2" x14ac:dyDescent="0.2">
      <c r="A53" s="40" t="s">
        <v>236</v>
      </c>
      <c r="B53" t="s">
        <v>76</v>
      </c>
    </row>
    <row r="54" spans="1:2" x14ac:dyDescent="0.2">
      <c r="A54" s="40" t="s">
        <v>68</v>
      </c>
      <c r="B54" t="s">
        <v>76</v>
      </c>
    </row>
    <row r="55" spans="1:2" x14ac:dyDescent="0.2">
      <c r="A55" s="40" t="s">
        <v>318</v>
      </c>
      <c r="B55" t="s">
        <v>76</v>
      </c>
    </row>
    <row r="56" spans="1:2" x14ac:dyDescent="0.2">
      <c r="A56" s="40" t="s">
        <v>31</v>
      </c>
      <c r="B56" t="s">
        <v>76</v>
      </c>
    </row>
    <row r="57" spans="1:2" x14ac:dyDescent="0.2">
      <c r="A57" s="40" t="s">
        <v>446</v>
      </c>
      <c r="B57" t="s">
        <v>76</v>
      </c>
    </row>
    <row r="58" spans="1:2" x14ac:dyDescent="0.2">
      <c r="A58" s="40" t="s">
        <v>384</v>
      </c>
      <c r="B58" t="s">
        <v>76</v>
      </c>
    </row>
    <row r="59" spans="1:2" x14ac:dyDescent="0.2">
      <c r="A59" s="40" t="s">
        <v>393</v>
      </c>
      <c r="B59" t="s">
        <v>76</v>
      </c>
    </row>
    <row r="60" spans="1:2" x14ac:dyDescent="0.2">
      <c r="A60" s="40" t="s">
        <v>416</v>
      </c>
      <c r="B60" t="s">
        <v>76</v>
      </c>
    </row>
    <row r="61" spans="1:2" x14ac:dyDescent="0.2">
      <c r="A61" s="40" t="s">
        <v>438</v>
      </c>
      <c r="B61" t="s">
        <v>76</v>
      </c>
    </row>
    <row r="62" spans="1:2" x14ac:dyDescent="0.2">
      <c r="A62" s="40" t="s">
        <v>71</v>
      </c>
      <c r="B62" t="s">
        <v>76</v>
      </c>
    </row>
    <row r="63" spans="1:2" x14ac:dyDescent="0.2">
      <c r="A63" s="40" t="s">
        <v>347</v>
      </c>
      <c r="B63" t="s">
        <v>76</v>
      </c>
    </row>
    <row r="64" spans="1:2" x14ac:dyDescent="0.2">
      <c r="A64" s="40" t="s">
        <v>456</v>
      </c>
      <c r="B64" t="s">
        <v>76</v>
      </c>
    </row>
    <row r="65" spans="1:2" x14ac:dyDescent="0.2">
      <c r="A65" s="40" t="s">
        <v>37</v>
      </c>
      <c r="B65" t="s">
        <v>76</v>
      </c>
    </row>
    <row r="66" spans="1:2" x14ac:dyDescent="0.2">
      <c r="A66" s="40" t="s">
        <v>64</v>
      </c>
      <c r="B66" t="s">
        <v>76</v>
      </c>
    </row>
    <row r="67" spans="1:2" x14ac:dyDescent="0.2">
      <c r="A67" s="40" t="s">
        <v>52</v>
      </c>
      <c r="B67" t="s">
        <v>76</v>
      </c>
    </row>
    <row r="68" spans="1:2" x14ac:dyDescent="0.2">
      <c r="A68" s="40" t="s">
        <v>135</v>
      </c>
      <c r="B68" t="s">
        <v>76</v>
      </c>
    </row>
    <row r="69" spans="1:2" x14ac:dyDescent="0.2">
      <c r="A69" s="40" t="s">
        <v>430</v>
      </c>
      <c r="B69" t="s">
        <v>76</v>
      </c>
    </row>
    <row r="70" spans="1:2" x14ac:dyDescent="0.2">
      <c r="A70" s="40" t="s">
        <v>443</v>
      </c>
      <c r="B70" t="s">
        <v>76</v>
      </c>
    </row>
    <row r="71" spans="1:2" x14ac:dyDescent="0.2">
      <c r="A71" s="40" t="s">
        <v>402</v>
      </c>
      <c r="B71" t="s">
        <v>76</v>
      </c>
    </row>
    <row r="72" spans="1:2" x14ac:dyDescent="0.2">
      <c r="A72" s="40" t="s">
        <v>394</v>
      </c>
      <c r="B72" t="s">
        <v>76</v>
      </c>
    </row>
    <row r="73" spans="1:2" x14ac:dyDescent="0.2">
      <c r="A73" s="40" t="s">
        <v>454</v>
      </c>
      <c r="B73" t="s">
        <v>76</v>
      </c>
    </row>
    <row r="74" spans="1:2" x14ac:dyDescent="0.2">
      <c r="A74" s="40" t="s">
        <v>391</v>
      </c>
      <c r="B74" t="s">
        <v>76</v>
      </c>
    </row>
    <row r="75" spans="1:2" x14ac:dyDescent="0.2">
      <c r="A75" s="40" t="s">
        <v>412</v>
      </c>
      <c r="B75" t="s">
        <v>76</v>
      </c>
    </row>
    <row r="76" spans="1:2" x14ac:dyDescent="0.2">
      <c r="A76" s="40" t="s">
        <v>222</v>
      </c>
      <c r="B76" t="s">
        <v>76</v>
      </c>
    </row>
    <row r="77" spans="1:2" x14ac:dyDescent="0.2">
      <c r="A77" s="40" t="s">
        <v>323</v>
      </c>
      <c r="B77" t="s">
        <v>76</v>
      </c>
    </row>
    <row r="78" spans="1:2" x14ac:dyDescent="0.2">
      <c r="A78" s="40" t="s">
        <v>418</v>
      </c>
      <c r="B78" t="s">
        <v>76</v>
      </c>
    </row>
    <row r="79" spans="1:2" x14ac:dyDescent="0.2">
      <c r="A79" s="40" t="s">
        <v>70</v>
      </c>
      <c r="B79" t="s">
        <v>76</v>
      </c>
    </row>
    <row r="80" spans="1:2" x14ac:dyDescent="0.2">
      <c r="A80" s="40" t="s">
        <v>424</v>
      </c>
      <c r="B80" t="s">
        <v>76</v>
      </c>
    </row>
    <row r="81" spans="1:2" x14ac:dyDescent="0.2">
      <c r="A81" s="40" t="s">
        <v>389</v>
      </c>
      <c r="B81" t="s">
        <v>76</v>
      </c>
    </row>
    <row r="82" spans="1:2" x14ac:dyDescent="0.2">
      <c r="A82" s="40" t="s">
        <v>455</v>
      </c>
      <c r="B82" t="s">
        <v>76</v>
      </c>
    </row>
    <row r="83" spans="1:2" x14ac:dyDescent="0.2">
      <c r="A83" s="40" t="s">
        <v>240</v>
      </c>
      <c r="B83" t="s">
        <v>76</v>
      </c>
    </row>
    <row r="84" spans="1:2" x14ac:dyDescent="0.2">
      <c r="A84" s="40" t="s">
        <v>415</v>
      </c>
      <c r="B84" t="s">
        <v>76</v>
      </c>
    </row>
    <row r="85" spans="1:2" x14ac:dyDescent="0.2">
      <c r="A85" s="40" t="s">
        <v>392</v>
      </c>
      <c r="B85" t="s">
        <v>76</v>
      </c>
    </row>
    <row r="86" spans="1:2" x14ac:dyDescent="0.2">
      <c r="A86" s="40" t="s">
        <v>35</v>
      </c>
      <c r="B86" t="s">
        <v>76</v>
      </c>
    </row>
    <row r="87" spans="1:2" x14ac:dyDescent="0.2">
      <c r="A87" s="40" t="s">
        <v>28</v>
      </c>
      <c r="B87" t="s">
        <v>76</v>
      </c>
    </row>
    <row r="88" spans="1:2" x14ac:dyDescent="0.2">
      <c r="A88" s="40" t="s">
        <v>428</v>
      </c>
      <c r="B88" t="s">
        <v>76</v>
      </c>
    </row>
    <row r="89" spans="1:2" x14ac:dyDescent="0.2">
      <c r="A89" s="40" t="s">
        <v>282</v>
      </c>
      <c r="B89" t="s">
        <v>76</v>
      </c>
    </row>
    <row r="90" spans="1:2" x14ac:dyDescent="0.2">
      <c r="A90" s="40" t="s">
        <v>69</v>
      </c>
      <c r="B90" t="s">
        <v>76</v>
      </c>
    </row>
    <row r="91" spans="1:2" x14ac:dyDescent="0.2">
      <c r="A91" s="40" t="s">
        <v>333</v>
      </c>
      <c r="B91" t="s">
        <v>76</v>
      </c>
    </row>
    <row r="92" spans="1:2" x14ac:dyDescent="0.2">
      <c r="A92" s="40" t="s">
        <v>436</v>
      </c>
      <c r="B92" t="s">
        <v>76</v>
      </c>
    </row>
    <row r="93" spans="1:2" x14ac:dyDescent="0.2">
      <c r="A93" s="40" t="s">
        <v>440</v>
      </c>
      <c r="B93" t="s">
        <v>76</v>
      </c>
    </row>
    <row r="94" spans="1:2" x14ac:dyDescent="0.2">
      <c r="A94" s="40" t="s">
        <v>338</v>
      </c>
      <c r="B94" t="s">
        <v>76</v>
      </c>
    </row>
    <row r="95" spans="1:2" x14ac:dyDescent="0.2">
      <c r="A95" s="40" t="s">
        <v>46</v>
      </c>
      <c r="B95" t="s">
        <v>76</v>
      </c>
    </row>
    <row r="96" spans="1:2" x14ac:dyDescent="0.2">
      <c r="A96" s="40" t="s">
        <v>437</v>
      </c>
      <c r="B96" t="s">
        <v>76</v>
      </c>
    </row>
    <row r="97" spans="1:2" x14ac:dyDescent="0.2">
      <c r="A97" s="40" t="s">
        <v>232</v>
      </c>
      <c r="B97" t="s">
        <v>76</v>
      </c>
    </row>
    <row r="98" spans="1:2" x14ac:dyDescent="0.2">
      <c r="A98" s="40" t="s">
        <v>344</v>
      </c>
      <c r="B98" t="s">
        <v>76</v>
      </c>
    </row>
    <row r="99" spans="1:2" x14ac:dyDescent="0.2">
      <c r="A99" s="40" t="s">
        <v>427</v>
      </c>
      <c r="B99" t="s">
        <v>76</v>
      </c>
    </row>
    <row r="100" spans="1:2" x14ac:dyDescent="0.2">
      <c r="A100" s="40" t="s">
        <v>45</v>
      </c>
      <c r="B100" t="s">
        <v>76</v>
      </c>
    </row>
    <row r="101" spans="1:2" x14ac:dyDescent="0.2">
      <c r="A101" s="40" t="s">
        <v>51</v>
      </c>
      <c r="B101" t="s">
        <v>76</v>
      </c>
    </row>
    <row r="102" spans="1:2" x14ac:dyDescent="0.2">
      <c r="A102" s="40" t="s">
        <v>314</v>
      </c>
      <c r="B102" t="s">
        <v>76</v>
      </c>
    </row>
    <row r="103" spans="1:2" x14ac:dyDescent="0.2">
      <c r="A103" s="40" t="s">
        <v>422</v>
      </c>
      <c r="B103" t="s">
        <v>76</v>
      </c>
    </row>
    <row r="104" spans="1:2" x14ac:dyDescent="0.2">
      <c r="A104" s="40" t="s">
        <v>260</v>
      </c>
      <c r="B104" t="s">
        <v>76</v>
      </c>
    </row>
    <row r="105" spans="1:2" x14ac:dyDescent="0.2">
      <c r="A105" s="40" t="s">
        <v>49</v>
      </c>
      <c r="B105" t="s">
        <v>76</v>
      </c>
    </row>
    <row r="106" spans="1:2" x14ac:dyDescent="0.2">
      <c r="A106" s="40" t="s">
        <v>451</v>
      </c>
      <c r="B106" t="s">
        <v>76</v>
      </c>
    </row>
    <row r="107" spans="1:2" x14ac:dyDescent="0.2">
      <c r="A107" s="40" t="s">
        <v>326</v>
      </c>
      <c r="B107" t="s">
        <v>76</v>
      </c>
    </row>
    <row r="108" spans="1:2" x14ac:dyDescent="0.2">
      <c r="A108" s="40" t="s">
        <v>420</v>
      </c>
      <c r="B108" t="s">
        <v>76</v>
      </c>
    </row>
    <row r="109" spans="1:2" x14ac:dyDescent="0.2">
      <c r="A109" s="40" t="s">
        <v>38</v>
      </c>
      <c r="B109" t="s">
        <v>76</v>
      </c>
    </row>
    <row r="110" spans="1:2" x14ac:dyDescent="0.2">
      <c r="A110" s="40" t="s">
        <v>432</v>
      </c>
      <c r="B110" t="s">
        <v>76</v>
      </c>
    </row>
    <row r="111" spans="1:2" x14ac:dyDescent="0.2">
      <c r="A111" s="40" t="s">
        <v>215</v>
      </c>
      <c r="B111" t="s">
        <v>76</v>
      </c>
    </row>
    <row r="112" spans="1:2" x14ac:dyDescent="0.2">
      <c r="A112" s="40" t="s">
        <v>405</v>
      </c>
      <c r="B112" t="s">
        <v>76</v>
      </c>
    </row>
    <row r="113" spans="1:2" x14ac:dyDescent="0.2">
      <c r="A113" s="40" t="s">
        <v>48</v>
      </c>
      <c r="B113" t="s">
        <v>76</v>
      </c>
    </row>
    <row r="114" spans="1:2" x14ac:dyDescent="0.2">
      <c r="A114" s="40" t="s">
        <v>448</v>
      </c>
      <c r="B114" t="s">
        <v>76</v>
      </c>
    </row>
    <row r="115" spans="1:2" x14ac:dyDescent="0.2">
      <c r="A115" s="40" t="s">
        <v>453</v>
      </c>
      <c r="B115" t="s">
        <v>76</v>
      </c>
    </row>
    <row r="116" spans="1:2" x14ac:dyDescent="0.2">
      <c r="A116" s="40" t="s">
        <v>65</v>
      </c>
      <c r="B116" t="s">
        <v>76</v>
      </c>
    </row>
    <row r="117" spans="1:2" x14ac:dyDescent="0.2">
      <c r="A117" s="40" t="s">
        <v>387</v>
      </c>
      <c r="B117" t="s">
        <v>76</v>
      </c>
    </row>
    <row r="118" spans="1:2" x14ac:dyDescent="0.2">
      <c r="A118" s="40" t="s">
        <v>55</v>
      </c>
      <c r="B118" t="s">
        <v>76</v>
      </c>
    </row>
    <row r="119" spans="1:2" x14ac:dyDescent="0.2">
      <c r="A119" s="40" t="s">
        <v>332</v>
      </c>
      <c r="B119" t="s">
        <v>76</v>
      </c>
    </row>
    <row r="120" spans="1:2" x14ac:dyDescent="0.2">
      <c r="A120" s="40" t="s">
        <v>417</v>
      </c>
      <c r="B120" t="s">
        <v>76</v>
      </c>
    </row>
    <row r="121" spans="1:2" x14ac:dyDescent="0.2">
      <c r="A121" s="40" t="s">
        <v>390</v>
      </c>
      <c r="B121" t="s">
        <v>76</v>
      </c>
    </row>
    <row r="122" spans="1:2" x14ac:dyDescent="0.2">
      <c r="A122" s="40" t="s">
        <v>320</v>
      </c>
      <c r="B122" t="s">
        <v>76</v>
      </c>
    </row>
    <row r="123" spans="1:2" x14ac:dyDescent="0.2">
      <c r="A123" s="40" t="s">
        <v>441</v>
      </c>
      <c r="B123" t="s">
        <v>76</v>
      </c>
    </row>
    <row r="124" spans="1:2" x14ac:dyDescent="0.2">
      <c r="A124" s="40" t="s">
        <v>407</v>
      </c>
      <c r="B124" t="s">
        <v>76</v>
      </c>
    </row>
    <row r="125" spans="1:2" x14ac:dyDescent="0.2">
      <c r="A125" s="40" t="s">
        <v>328</v>
      </c>
      <c r="B125" t="s">
        <v>76</v>
      </c>
    </row>
    <row r="126" spans="1:2" x14ac:dyDescent="0.2">
      <c r="A126" s="40" t="s">
        <v>439</v>
      </c>
      <c r="B126" t="s">
        <v>76</v>
      </c>
    </row>
    <row r="127" spans="1:2" x14ac:dyDescent="0.2">
      <c r="A127" s="40" t="s">
        <v>452</v>
      </c>
      <c r="B127" t="s">
        <v>76</v>
      </c>
    </row>
    <row r="128" spans="1:2" x14ac:dyDescent="0.2">
      <c r="A128" s="40" t="s">
        <v>58</v>
      </c>
      <c r="B128" t="s">
        <v>76</v>
      </c>
    </row>
    <row r="129" spans="1:2" x14ac:dyDescent="0.2">
      <c r="A129" s="40" t="s">
        <v>43</v>
      </c>
      <c r="B129" t="s">
        <v>76</v>
      </c>
    </row>
    <row r="130" spans="1:2" x14ac:dyDescent="0.2">
      <c r="A130" s="40" t="s">
        <v>62</v>
      </c>
      <c r="B130" t="s">
        <v>76</v>
      </c>
    </row>
    <row r="131" spans="1:2" x14ac:dyDescent="0.2">
      <c r="A131" s="40" t="s">
        <v>442</v>
      </c>
      <c r="B131" t="s">
        <v>76</v>
      </c>
    </row>
    <row r="132" spans="1:2" x14ac:dyDescent="0.2">
      <c r="A132" s="40" t="s">
        <v>444</v>
      </c>
      <c r="B132" t="s">
        <v>76</v>
      </c>
    </row>
    <row r="133" spans="1:2" x14ac:dyDescent="0.2">
      <c r="A133" s="40" t="s">
        <v>425</v>
      </c>
      <c r="B133" t="s">
        <v>76</v>
      </c>
    </row>
    <row r="134" spans="1:2" x14ac:dyDescent="0.2">
      <c r="A134" s="40" t="s">
        <v>388</v>
      </c>
      <c r="B134" t="s">
        <v>76</v>
      </c>
    </row>
    <row r="135" spans="1:2" x14ac:dyDescent="0.2">
      <c r="A135" s="40" t="s">
        <v>395</v>
      </c>
      <c r="B135" t="s">
        <v>76</v>
      </c>
    </row>
    <row r="136" spans="1:2" x14ac:dyDescent="0.2">
      <c r="A136" s="40" t="s">
        <v>401</v>
      </c>
      <c r="B136" t="s">
        <v>76</v>
      </c>
    </row>
    <row r="137" spans="1:2" x14ac:dyDescent="0.2">
      <c r="A137" s="40" t="s">
        <v>431</v>
      </c>
      <c r="B137" t="s">
        <v>76</v>
      </c>
    </row>
    <row r="138" spans="1:2" x14ac:dyDescent="0.2">
      <c r="A138" s="40" t="s">
        <v>421</v>
      </c>
      <c r="B138" t="s">
        <v>76</v>
      </c>
    </row>
    <row r="139" spans="1:2" x14ac:dyDescent="0.2">
      <c r="A139" s="40" t="s">
        <v>250</v>
      </c>
      <c r="B139" t="s">
        <v>76</v>
      </c>
    </row>
    <row r="140" spans="1:2" x14ac:dyDescent="0.2">
      <c r="A140" s="40" t="s">
        <v>449</v>
      </c>
      <c r="B140" t="s">
        <v>76</v>
      </c>
    </row>
    <row r="141" spans="1:2" x14ac:dyDescent="0.2">
      <c r="A141" s="40" t="s">
        <v>447</v>
      </c>
      <c r="B141" t="s">
        <v>76</v>
      </c>
    </row>
    <row r="142" spans="1:2" x14ac:dyDescent="0.2">
      <c r="A142" s="40" t="s">
        <v>410</v>
      </c>
      <c r="B142" t="s">
        <v>76</v>
      </c>
    </row>
    <row r="143" spans="1:2" x14ac:dyDescent="0.2">
      <c r="A143" s="40" t="s">
        <v>403</v>
      </c>
      <c r="B143" t="s">
        <v>76</v>
      </c>
    </row>
    <row r="144" spans="1:2" x14ac:dyDescent="0.2">
      <c r="A144" s="40" t="s">
        <v>411</v>
      </c>
      <c r="B144" t="s">
        <v>76</v>
      </c>
    </row>
    <row r="145" spans="1:2" x14ac:dyDescent="0.2">
      <c r="A145" s="40" t="s">
        <v>266</v>
      </c>
      <c r="B145" t="s">
        <v>76</v>
      </c>
    </row>
    <row r="146" spans="1:2" x14ac:dyDescent="0.2">
      <c r="A146" s="40" t="s">
        <v>308</v>
      </c>
      <c r="B146" t="s">
        <v>76</v>
      </c>
    </row>
    <row r="147" spans="1:2" x14ac:dyDescent="0.2">
      <c r="A147" s="40" t="s">
        <v>434</v>
      </c>
      <c r="B147" t="s">
        <v>76</v>
      </c>
    </row>
    <row r="148" spans="1:2" x14ac:dyDescent="0.2">
      <c r="A148" s="40" t="s">
        <v>346</v>
      </c>
      <c r="B148" t="s">
        <v>76</v>
      </c>
    </row>
    <row r="149" spans="1:2" x14ac:dyDescent="0.2">
      <c r="A149" s="40" t="s">
        <v>435</v>
      </c>
      <c r="B149" t="s">
        <v>76</v>
      </c>
    </row>
    <row r="150" spans="1:2" x14ac:dyDescent="0.2">
      <c r="A150" s="40" t="s">
        <v>409</v>
      </c>
      <c r="B150" t="s">
        <v>76</v>
      </c>
    </row>
    <row r="151" spans="1:2" x14ac:dyDescent="0.2">
      <c r="A151" s="40" t="s">
        <v>433</v>
      </c>
      <c r="B151" t="s">
        <v>76</v>
      </c>
    </row>
    <row r="152" spans="1:2" x14ac:dyDescent="0.2">
      <c r="A152" s="40" t="s">
        <v>426</v>
      </c>
      <c r="B152" t="s">
        <v>76</v>
      </c>
    </row>
    <row r="153" spans="1:2" x14ac:dyDescent="0.2">
      <c r="A153" s="40" t="s">
        <v>406</v>
      </c>
      <c r="B153" t="s">
        <v>76</v>
      </c>
    </row>
    <row r="154" spans="1:2" x14ac:dyDescent="0.2">
      <c r="A154" s="40" t="s">
        <v>429</v>
      </c>
      <c r="B154" t="s">
        <v>76</v>
      </c>
    </row>
    <row r="155" spans="1:2" x14ac:dyDescent="0.2">
      <c r="A155" s="40" t="s">
        <v>414</v>
      </c>
      <c r="B155" t="s">
        <v>76</v>
      </c>
    </row>
    <row r="156" spans="1:2" x14ac:dyDescent="0.2">
      <c r="A156" s="40" t="s">
        <v>341</v>
      </c>
      <c r="B156" t="s">
        <v>76</v>
      </c>
    </row>
    <row r="157" spans="1:2" x14ac:dyDescent="0.2">
      <c r="A157" s="40" t="s">
        <v>419</v>
      </c>
      <c r="B157" t="s">
        <v>76</v>
      </c>
    </row>
    <row r="159" spans="1:2" ht="13.5" thickBot="1" x14ac:dyDescent="0.25"/>
    <row r="160" spans="1:2" ht="13.5" thickBot="1" x14ac:dyDescent="0.25">
      <c r="A160" s="16"/>
    </row>
  </sheetData>
  <pageMargins left="0.7" right="0.7" top="0.75" bottom="0.75" header="0.3" footer="0.3"/>
  <pageSetup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6D4BF-E208-4DD9-B852-810F79E58206}">
  <sheetPr codeName="Sheet11"/>
  <dimension ref="A1:AA83"/>
  <sheetViews>
    <sheetView tabSelected="1" zoomScaleNormal="100" workbookViewId="0"/>
  </sheetViews>
  <sheetFormatPr defaultColWidth="8.5703125" defaultRowHeight="12.75" x14ac:dyDescent="0.2"/>
  <cols>
    <col min="1" max="1" width="2.85546875" customWidth="1"/>
    <col min="2" max="2" width="18.28515625" customWidth="1"/>
    <col min="3" max="3" width="5.140625" style="3" customWidth="1"/>
    <col min="4" max="4" width="6" style="3" customWidth="1"/>
    <col min="5" max="5" width="7.140625" style="3" customWidth="1"/>
    <col min="6" max="6" width="19.140625" customWidth="1"/>
    <col min="7" max="7" width="7.7109375" style="2" customWidth="1"/>
    <col min="8" max="8" width="19.5703125" bestFit="1" customWidth="1"/>
    <col min="9" max="9" width="7.7109375" style="2" customWidth="1"/>
    <col min="10" max="10" width="18.85546875" customWidth="1"/>
    <col min="11" max="11" width="7.7109375" style="2" customWidth="1"/>
    <col min="12" max="12" width="19" customWidth="1"/>
    <col min="13" max="13" width="7.7109375" style="2" customWidth="1"/>
    <col min="14" max="14" width="19.28515625" customWidth="1"/>
    <col min="15" max="15" width="7.7109375" style="2" customWidth="1"/>
    <col min="16" max="16" width="19.28515625" customWidth="1"/>
    <col min="17" max="17" width="7.7109375" style="2" customWidth="1"/>
    <col min="18" max="18" width="18.85546875" customWidth="1"/>
    <col min="19" max="19" width="7.7109375" style="2" customWidth="1"/>
    <col min="20" max="20" width="18.85546875" customWidth="1"/>
    <col min="21" max="21" width="7.7109375" style="3" customWidth="1"/>
    <col min="22" max="22" width="19.42578125" customWidth="1"/>
    <col min="23" max="23" width="8.5703125" style="3"/>
  </cols>
  <sheetData>
    <row r="1" spans="1:24" x14ac:dyDescent="0.2">
      <c r="A1" s="15"/>
      <c r="B1" s="49" t="s">
        <v>375</v>
      </c>
      <c r="E1" s="8"/>
    </row>
    <row r="2" spans="1:24" s="7" customFormat="1" x14ac:dyDescent="0.2">
      <c r="B2" s="50" t="s">
        <v>1</v>
      </c>
      <c r="C2" s="51"/>
      <c r="D2" s="98" t="s">
        <v>303</v>
      </c>
      <c r="E2" s="12"/>
      <c r="F2" s="10" t="s">
        <v>2</v>
      </c>
      <c r="G2" s="11">
        <f>SMALL(G3:G12,1)+SMALL(G3:G12,2)+SMALL(G3:G12,3)+SMALL(G3:G12,4)+SMALL(G3:G12,5)</f>
        <v>-29</v>
      </c>
      <c r="H2" s="10" t="s">
        <v>348</v>
      </c>
      <c r="I2" s="11">
        <f>SMALL(I3:I12,1)+SMALL(I3:I12,2)+SMALL(I3:I12,3)+SMALL(I3:I12,4)+SMALL(I3:I12,5)</f>
        <v>-37</v>
      </c>
      <c r="J2" s="10" t="s">
        <v>3</v>
      </c>
      <c r="K2" s="11">
        <f>SMALL(K3:K12,1)+SMALL(K3:K12,2)+SMALL(K3:K12,3)+SMALL(K3:K12,4)+SMALL(K3:K12,5)</f>
        <v>-7</v>
      </c>
      <c r="L2" s="10" t="s">
        <v>8</v>
      </c>
      <c r="M2" s="11">
        <f>SMALL(M3:M12,1)+SMALL(M3:M12,2)+SMALL(M3:M12,3)+SMALL(M3:M12,4)+SMALL(M3:M12,5)</f>
        <v>-28</v>
      </c>
      <c r="N2" s="10" t="s">
        <v>5</v>
      </c>
      <c r="O2" s="11">
        <f>SMALL(O3:O12,1)+SMALL(O3:O12,2)+SMALL(O3:O12,3)+SMALL(O3:O12,4)+SMALL(O3:O12,5)</f>
        <v>-21</v>
      </c>
      <c r="P2" s="10" t="s">
        <v>12</v>
      </c>
      <c r="Q2" s="11">
        <f>SMALL(Q3:Q12,1)+SMALL(Q3:Q12,2)+SMALL(Q3:Q12,3)+SMALL(Q3:Q12,4)+SMALL(Q3:Q12,5)</f>
        <v>-27</v>
      </c>
      <c r="R2" s="10" t="s">
        <v>15</v>
      </c>
      <c r="S2" s="11">
        <f>SMALL(S3:S13,1)+SMALL(S3:S13,2)+SMALL(S3:S13,3)+SMALL(S3:S13,4)+SMALL(S3:S13,5)</f>
        <v>-6</v>
      </c>
      <c r="T2" s="10" t="s">
        <v>17</v>
      </c>
      <c r="U2" s="11">
        <f>SMALL(U3:U12,1)+SMALL(U3:U12,2)+SMALL(U3:U12,3)+SMALL(U3:U12,4)+SMALL(U3:U12,5)</f>
        <v>-18</v>
      </c>
      <c r="W2" s="10" t="s">
        <v>400</v>
      </c>
      <c r="X2" s="11" t="e">
        <f>SMALL(X3:X12,1)+SMALL(X3:X12,2)+SMALL(X3:X12,3)+SMALL(X3:X12,4)+SMALL(X3:X12,5)</f>
        <v>#N/A</v>
      </c>
    </row>
    <row r="3" spans="1:24" ht="15" x14ac:dyDescent="0.25">
      <c r="B3" s="52" t="str" cm="1">
        <f t="array" ref="B3:C24">TRANSPOSE(_xlfn._xlws.SORT(F50:AA51,2,1,TRUE))</f>
        <v>Chris Callahan</v>
      </c>
      <c r="C3" s="53">
        <v>-41</v>
      </c>
      <c r="D3" s="99">
        <f t="shared" ref="D3:D10" si="0">HLOOKUP(B3,$F$50:$AA$52,3,)</f>
        <v>-18</v>
      </c>
      <c r="E3" s="13">
        <v>1</v>
      </c>
      <c r="F3" s="9" t="s">
        <v>36</v>
      </c>
      <c r="G3" s="3">
        <f>VLOOKUP(F3,ESPNScores!$A$2:B$206,2,FALSE)</f>
        <v>13</v>
      </c>
      <c r="H3" s="9" t="s">
        <v>27</v>
      </c>
      <c r="I3" s="3">
        <f>VLOOKUP(H3,ESPNScores!$A$2:D$217,2,FALSE)</f>
        <v>-12</v>
      </c>
      <c r="J3" s="9" t="s">
        <v>36</v>
      </c>
      <c r="K3" s="3">
        <f>VLOOKUP(J3,ESPNScores!$A$2:F$217,2,FALSE)</f>
        <v>13</v>
      </c>
      <c r="L3" s="9" t="s">
        <v>27</v>
      </c>
      <c r="M3" s="3">
        <f>VLOOKUP(L3,ESPNScores!$A$2:H$217,2,FALSE)</f>
        <v>-12</v>
      </c>
      <c r="N3" t="s">
        <v>44</v>
      </c>
      <c r="O3" s="3">
        <f>VLOOKUP(N3,ESPNScores!$A$2:J$217,2,FALSE)</f>
        <v>-7</v>
      </c>
      <c r="P3" s="9" t="s">
        <v>26</v>
      </c>
      <c r="Q3" s="3">
        <f>VLOOKUP(P3,ESPNScores!$A$2:L$217,2,FALSE)</f>
        <v>-4</v>
      </c>
      <c r="R3" t="s">
        <v>392</v>
      </c>
      <c r="S3" s="3">
        <f>VLOOKUP(R3,ESPNScores!$A$2:N$217,2,FALSE)</f>
        <v>50</v>
      </c>
      <c r="T3" s="9" t="s">
        <v>26</v>
      </c>
      <c r="U3" s="3">
        <f>VLOOKUP(T3,ESPNScores!$A$2:P$217,2,FALSE)</f>
        <v>-4</v>
      </c>
      <c r="W3" s="9"/>
      <c r="X3" s="3" t="e">
        <f>VLOOKUP(W3,Scores!$A$2:$B$217,2,FALSE)</f>
        <v>#N/A</v>
      </c>
    </row>
    <row r="4" spans="1:24" ht="15" x14ac:dyDescent="0.25">
      <c r="B4" s="52" t="str">
        <v>Richard Webster</v>
      </c>
      <c r="C4" s="53">
        <v>-37</v>
      </c>
      <c r="D4" s="99">
        <f t="shared" si="0"/>
        <v>-19</v>
      </c>
      <c r="E4" s="13">
        <v>2</v>
      </c>
      <c r="F4" s="9" t="s">
        <v>162</v>
      </c>
      <c r="G4" s="3">
        <f>VLOOKUP(F4,ESPNScores!$A$2:B$206,2,FALSE)</f>
        <v>-2</v>
      </c>
      <c r="H4" s="32" t="s">
        <v>73</v>
      </c>
      <c r="I4" s="3">
        <f>VLOOKUP(H4,ESPNScores!$A$2:D$217,2,FALSE)</f>
        <v>50</v>
      </c>
      <c r="J4" s="9" t="s">
        <v>73</v>
      </c>
      <c r="K4" s="3">
        <f>VLOOKUP(J4,ESPNScores!$A$2:F$217,2,FALSE)</f>
        <v>50</v>
      </c>
      <c r="L4" s="9" t="s">
        <v>162</v>
      </c>
      <c r="M4" s="3">
        <f>VLOOKUP(L4,ESPNScores!$A$2:H$217,2,FALSE)</f>
        <v>-2</v>
      </c>
      <c r="N4" s="9" t="s">
        <v>73</v>
      </c>
      <c r="O4" s="3">
        <f>VLOOKUP(N4,ESPNScores!$A$2:J$217,2,FALSE)</f>
        <v>50</v>
      </c>
      <c r="P4" s="9" t="s">
        <v>73</v>
      </c>
      <c r="Q4" s="3">
        <f>VLOOKUP(P4,ESPNScores!$A$2:L$217,2,FALSE)</f>
        <v>50</v>
      </c>
      <c r="R4" t="s">
        <v>55</v>
      </c>
      <c r="S4" s="3">
        <f>VLOOKUP(R4,ESPNScores!$A$2:N$217,2,FALSE)</f>
        <v>50</v>
      </c>
      <c r="T4" s="9" t="s">
        <v>73</v>
      </c>
      <c r="U4" s="3">
        <f>VLOOKUP(T4,ESPNScores!$A$2:P$217,2,FALSE)</f>
        <v>50</v>
      </c>
      <c r="W4" s="9"/>
      <c r="X4" s="3" t="e">
        <f>VLOOKUP(W4,Scores!$A$2:$B$217,2,FALSE)</f>
        <v>#N/A</v>
      </c>
    </row>
    <row r="5" spans="1:24" ht="15" x14ac:dyDescent="0.25">
      <c r="B5" s="52" t="str">
        <v>Ken Webster</v>
      </c>
      <c r="C5" s="53">
        <v>-33</v>
      </c>
      <c r="D5" s="99">
        <f t="shared" si="0"/>
        <v>-18</v>
      </c>
      <c r="E5" s="13">
        <v>3</v>
      </c>
      <c r="F5" s="9" t="s">
        <v>34</v>
      </c>
      <c r="G5" s="3">
        <f>VLOOKUP(F5,ESPNScores!$A$2:B$206,2,FALSE)</f>
        <v>-3</v>
      </c>
      <c r="H5" s="32" t="s">
        <v>31</v>
      </c>
      <c r="I5" s="3">
        <f>VLOOKUP(H5,ESPNScores!$A$2:D$217,2,FALSE)</f>
        <v>-6</v>
      </c>
      <c r="J5" s="9" t="s">
        <v>450</v>
      </c>
      <c r="K5" s="3">
        <f>VLOOKUP(J5,ESPNScores!$A$2:F$217,2,FALSE)</f>
        <v>50</v>
      </c>
      <c r="L5" s="9" t="s">
        <v>450</v>
      </c>
      <c r="M5" s="3">
        <f>VLOOKUP(L5,ESPNScores!$A$2:H$217,2,FALSE)</f>
        <v>50</v>
      </c>
      <c r="N5" s="9" t="s">
        <v>34</v>
      </c>
      <c r="O5" s="3">
        <f>VLOOKUP(N5,ESPNScores!$A$2:J$217,2,FALSE)</f>
        <v>-3</v>
      </c>
      <c r="P5" s="9" t="s">
        <v>31</v>
      </c>
      <c r="Q5" s="3">
        <f>VLOOKUP(P5,ESPNScores!$A$2:L$217,2,FALSE)</f>
        <v>-6</v>
      </c>
      <c r="R5" t="s">
        <v>450</v>
      </c>
      <c r="S5" s="3">
        <f>VLOOKUP(R5,ESPNScores!$A$2:N$217,2,FALSE)</f>
        <v>50</v>
      </c>
      <c r="T5" s="9" t="s">
        <v>53</v>
      </c>
      <c r="U5" s="3">
        <f>VLOOKUP(T5,ESPNScores!$A$2:P$217,2,FALSE)</f>
        <v>50</v>
      </c>
      <c r="W5" s="9"/>
      <c r="X5" s="3" t="e">
        <f>VLOOKUP(W5,Scores!$A$2:$B$217,2,FALSE)</f>
        <v>#N/A</v>
      </c>
    </row>
    <row r="6" spans="1:24" ht="15" x14ac:dyDescent="0.25">
      <c r="B6" s="52" t="str">
        <v>William Seeger</v>
      </c>
      <c r="C6" s="53">
        <v>-30</v>
      </c>
      <c r="D6" s="97"/>
      <c r="E6" s="13">
        <v>4</v>
      </c>
      <c r="F6" s="9" t="s">
        <v>51</v>
      </c>
      <c r="G6" s="3">
        <f>VLOOKUP(F6,ESPNScores!$A$2:B$206,2,FALSE)</f>
        <v>-5</v>
      </c>
      <c r="H6" s="32" t="s">
        <v>54</v>
      </c>
      <c r="I6" s="3">
        <f>VLOOKUP(H6,ESPNScores!$A$2:D$217,2,FALSE)</f>
        <v>-4</v>
      </c>
      <c r="J6" s="9" t="s">
        <v>54</v>
      </c>
      <c r="K6" s="3">
        <f>VLOOKUP(J6,ESPNScores!$A$2:F$217,2,FALSE)</f>
        <v>-4</v>
      </c>
      <c r="L6" s="9" t="s">
        <v>51</v>
      </c>
      <c r="M6" s="3">
        <f>VLOOKUP(L6,ESPNScores!$A$2:H$217,2,FALSE)</f>
        <v>-5</v>
      </c>
      <c r="N6" s="9" t="s">
        <v>190</v>
      </c>
      <c r="O6" s="3">
        <f>VLOOKUP(N6,ESPNScores!$A$2:J$217,2,FALSE)</f>
        <v>-4</v>
      </c>
      <c r="P6" s="9" t="s">
        <v>190</v>
      </c>
      <c r="Q6" s="3">
        <f>VLOOKUP(P6,ESPNScores!$A$2:L$217,2,FALSE)</f>
        <v>-4</v>
      </c>
      <c r="R6" t="s">
        <v>190</v>
      </c>
      <c r="S6" s="3">
        <f>VLOOKUP(R6,ESPNScores!$A$2:N$217,2,FALSE)</f>
        <v>-4</v>
      </c>
      <c r="T6" s="9" t="s">
        <v>190</v>
      </c>
      <c r="U6" s="3">
        <f>VLOOKUP(T6,ESPNScores!$A$2:P$217,2,FALSE)</f>
        <v>-4</v>
      </c>
      <c r="W6" s="9"/>
      <c r="X6" s="3" t="e">
        <f>VLOOKUP(W6,Scores!$A$2:$B$217,2,FALSE)</f>
        <v>#N/A</v>
      </c>
    </row>
    <row r="7" spans="1:24" ht="15" x14ac:dyDescent="0.25">
      <c r="B7" s="52" t="str">
        <v>Joe Magnetico</v>
      </c>
      <c r="C7" s="53">
        <v>-29</v>
      </c>
      <c r="D7" s="96"/>
      <c r="E7" s="13">
        <v>5</v>
      </c>
      <c r="F7" s="9" t="s">
        <v>285</v>
      </c>
      <c r="G7" s="3">
        <f>VLOOKUP(F7,ESPNScores!$A$2:B$206,2,FALSE)</f>
        <v>-5</v>
      </c>
      <c r="H7" s="32" t="s">
        <v>215</v>
      </c>
      <c r="I7" s="3">
        <f>VLOOKUP(H7,ESPNScores!$A$2:D$217,2,FALSE)</f>
        <v>50</v>
      </c>
      <c r="J7" s="9" t="s">
        <v>38</v>
      </c>
      <c r="K7" s="3">
        <f>VLOOKUP(J7,ESPNScores!$A$2:F$217,2,FALSE)</f>
        <v>6</v>
      </c>
      <c r="L7" s="32" t="s">
        <v>285</v>
      </c>
      <c r="M7" s="3">
        <f>VLOOKUP(L7,ESPNScores!$A$2:H$217,2,FALSE)</f>
        <v>-5</v>
      </c>
      <c r="N7" s="32" t="s">
        <v>61</v>
      </c>
      <c r="O7" s="3">
        <f>VLOOKUP(N7,ESPNScores!$A$2:J$217,2,FALSE)</f>
        <v>2</v>
      </c>
      <c r="P7" s="9" t="s">
        <v>38</v>
      </c>
      <c r="Q7" s="3">
        <f>VLOOKUP(P7,ESPNScores!$A$2:L$217,2,FALSE)</f>
        <v>6</v>
      </c>
      <c r="R7" t="s">
        <v>61</v>
      </c>
      <c r="S7" s="3">
        <f>VLOOKUP(R7,ESPNScores!$A$2:N$217,2,FALSE)</f>
        <v>2</v>
      </c>
      <c r="T7" s="9" t="s">
        <v>61</v>
      </c>
      <c r="U7" s="3">
        <f>VLOOKUP(T7,ESPNScores!$A$2:P$217,2,FALSE)</f>
        <v>2</v>
      </c>
      <c r="W7" s="9"/>
      <c r="X7" s="3" t="e">
        <f>VLOOKUP(W7,Scores!$A$2:$B$217,2,FALSE)</f>
        <v>#N/A</v>
      </c>
    </row>
    <row r="8" spans="1:24" ht="15" x14ac:dyDescent="0.25">
      <c r="B8" s="52" t="str">
        <v>Sean Christian</v>
      </c>
      <c r="C8" s="53">
        <v>-29</v>
      </c>
      <c r="D8" s="96"/>
      <c r="E8" s="13">
        <v>6</v>
      </c>
      <c r="F8" s="9" t="s">
        <v>344</v>
      </c>
      <c r="G8" s="3">
        <f>VLOOKUP(F8,ESPNScores!$A$2:B$206,2,FALSE)</f>
        <v>-10</v>
      </c>
      <c r="H8" s="32" t="s">
        <v>344</v>
      </c>
      <c r="I8" s="3">
        <f>VLOOKUP(H8,ESPNScores!$A$2:D$217,2,FALSE)</f>
        <v>-10</v>
      </c>
      <c r="J8" s="9" t="s">
        <v>39</v>
      </c>
      <c r="K8" s="3">
        <f>VLOOKUP(J8,ESPNScores!$A$2:F$217,2,FALSE)</f>
        <v>0</v>
      </c>
      <c r="L8" s="9" t="s">
        <v>45</v>
      </c>
      <c r="M8" s="3">
        <f>VLOOKUP(L8,ESPNScores!$A$2:H$217,2,FALSE)</f>
        <v>50</v>
      </c>
      <c r="N8" s="9" t="s">
        <v>40</v>
      </c>
      <c r="O8" s="3">
        <f>VLOOKUP(N8,ESPNScores!$A$2:J$217,2,FALSE)</f>
        <v>50</v>
      </c>
      <c r="P8" s="9" t="s">
        <v>40</v>
      </c>
      <c r="Q8" s="3">
        <f>VLOOKUP(P8,ESPNScores!$A$2:L$217,2,FALSE)</f>
        <v>50</v>
      </c>
      <c r="R8" t="s">
        <v>45</v>
      </c>
      <c r="S8" s="3">
        <f>VLOOKUP(R8,ESPNScores!$A$2:N$217,2,FALSE)</f>
        <v>50</v>
      </c>
      <c r="T8" s="9" t="s">
        <v>48</v>
      </c>
      <c r="U8" s="3">
        <f>VLOOKUP(T8,ESPNScores!$A$2:P$217,2,FALSE)</f>
        <v>50</v>
      </c>
      <c r="W8" s="9"/>
      <c r="X8" s="3" t="e">
        <f>VLOOKUP(W8,Scores!$A$2:$B$217,2,FALSE)</f>
        <v>#N/A</v>
      </c>
    </row>
    <row r="9" spans="1:24" ht="15" x14ac:dyDescent="0.25">
      <c r="B9" s="52" t="str">
        <v>Charlie Adams</v>
      </c>
      <c r="C9" s="53">
        <v>-28</v>
      </c>
      <c r="D9" s="96"/>
      <c r="E9" s="13">
        <v>7</v>
      </c>
      <c r="F9" s="9" t="s">
        <v>59</v>
      </c>
      <c r="G9" s="3">
        <f>VLOOKUP(F9,ESPNScores!$A$2:B$206,2,FALSE)</f>
        <v>-3</v>
      </c>
      <c r="H9" s="9" t="s">
        <v>491</v>
      </c>
      <c r="I9" s="3">
        <f>VLOOKUP(H9,ESPNScores!$A$2:D$217,2,FALSE)</f>
        <v>50</v>
      </c>
      <c r="J9" s="9" t="s">
        <v>63</v>
      </c>
      <c r="K9" s="3">
        <f>VLOOKUP(J9,ESPNScores!$A$2:F$217,2,FALSE)</f>
        <v>2</v>
      </c>
      <c r="L9" s="9" t="s">
        <v>491</v>
      </c>
      <c r="M9" s="3">
        <f>VLOOKUP(L9,ESPNScores!$A$2:H$217,2,FALSE)</f>
        <v>50</v>
      </c>
      <c r="N9" s="9" t="s">
        <v>491</v>
      </c>
      <c r="O9" s="3">
        <f>VLOOKUP(N9,ESPNScores!$A$2:J$217,2,FALSE)</f>
        <v>50</v>
      </c>
      <c r="P9" s="9" t="s">
        <v>491</v>
      </c>
      <c r="Q9" s="3">
        <f>VLOOKUP(P9,ESPNScores!$A$2:L$217,2,FALSE)</f>
        <v>50</v>
      </c>
      <c r="R9" t="s">
        <v>491</v>
      </c>
      <c r="S9" s="3">
        <f>VLOOKUP(R9,ESPNScores!$A$2:N$217,2,FALSE)</f>
        <v>50</v>
      </c>
      <c r="T9" s="9" t="s">
        <v>491</v>
      </c>
      <c r="U9" s="3">
        <f>VLOOKUP(T9,ESPNScores!$A$2:P$217,2,FALSE)</f>
        <v>50</v>
      </c>
      <c r="W9" s="9"/>
      <c r="X9" s="3" t="e">
        <f>VLOOKUP(W9,Scores!$A$2:$B$217,2,FALSE)</f>
        <v>#N/A</v>
      </c>
    </row>
    <row r="10" spans="1:24" ht="15" x14ac:dyDescent="0.25">
      <c r="B10" s="52" t="str">
        <v>Lorraine McGill</v>
      </c>
      <c r="C10" s="53">
        <v>-28</v>
      </c>
      <c r="D10" s="96"/>
      <c r="E10" s="13">
        <v>8</v>
      </c>
      <c r="F10" s="9" t="s">
        <v>65</v>
      </c>
      <c r="G10" s="3">
        <f>VLOOKUP(F10,ESPNScores!$A$2:B$206,2,FALSE)</f>
        <v>-5</v>
      </c>
      <c r="H10" s="9" t="s">
        <v>65</v>
      </c>
      <c r="I10" s="3">
        <f>VLOOKUP(H10,ESPNScores!$A$2:D$217,2,FALSE)</f>
        <v>-5</v>
      </c>
      <c r="J10" s="9" t="s">
        <v>32</v>
      </c>
      <c r="K10" s="3">
        <f>VLOOKUP(J10,ESPNScores!$A$2:F$217,2,FALSE)</f>
        <v>50</v>
      </c>
      <c r="L10" s="9" t="s">
        <v>32</v>
      </c>
      <c r="M10" s="3">
        <f>VLOOKUP(L10,ESPNScores!$A$2:H$217,2,FALSE)</f>
        <v>50</v>
      </c>
      <c r="N10" s="9" t="s">
        <v>60</v>
      </c>
      <c r="O10" s="3">
        <f>VLOOKUP(N10,ESPNScores!$A$2:J$217,2,FALSE)</f>
        <v>50</v>
      </c>
      <c r="P10" s="9" t="s">
        <v>60</v>
      </c>
      <c r="Q10" s="3">
        <f>VLOOKUP(P10,ESPNScores!$A$2:L$217,2,FALSE)</f>
        <v>50</v>
      </c>
      <c r="R10" s="9" t="s">
        <v>32</v>
      </c>
      <c r="S10" s="3">
        <f>VLOOKUP(R10,ESPNScores!$A$2:N$217,2,FALSE)</f>
        <v>50</v>
      </c>
      <c r="T10" s="9" t="s">
        <v>32</v>
      </c>
      <c r="U10" s="3">
        <f>VLOOKUP(T10,ESPNScores!$A$2:P$217,2,FALSE)</f>
        <v>50</v>
      </c>
      <c r="W10" s="9"/>
      <c r="X10" s="3" t="e">
        <f>VLOOKUP(W10,Scores!$A$2:$B$217,2,FALSE)</f>
        <v>#N/A</v>
      </c>
    </row>
    <row r="11" spans="1:24" ht="15" x14ac:dyDescent="0.25">
      <c r="B11" s="52" t="str">
        <v>Mark Brenman</v>
      </c>
      <c r="C11" s="53">
        <v>-28</v>
      </c>
      <c r="D11" s="37"/>
      <c r="E11" s="13" t="s">
        <v>9</v>
      </c>
      <c r="F11" s="32" t="s">
        <v>494</v>
      </c>
      <c r="G11" s="3">
        <f>VLOOKUP(F11,ESPNScores!$A$2:B$206,2,FALSE)</f>
        <v>-4</v>
      </c>
      <c r="H11" s="32" t="s">
        <v>497</v>
      </c>
      <c r="I11" s="3">
        <f>VLOOKUP(H11,ESPNScores!$A$2:D$217,2,FALSE)</f>
        <v>50</v>
      </c>
      <c r="J11" s="32" t="s">
        <v>43</v>
      </c>
      <c r="K11" s="3">
        <f>VLOOKUP(J11,ESPNScores!$A$2:F$217,2,FALSE)</f>
        <v>-1</v>
      </c>
      <c r="L11" s="9" t="s">
        <v>494</v>
      </c>
      <c r="M11" s="3">
        <f>VLOOKUP(L11,ESPNScores!$A$2:H$217,2,FALSE)</f>
        <v>-4</v>
      </c>
      <c r="N11" s="9" t="s">
        <v>42</v>
      </c>
      <c r="O11" s="3">
        <f>VLOOKUP(N11,ESPNScores!$A$2:J$217,2,FALSE)</f>
        <v>-9</v>
      </c>
      <c r="P11" s="9" t="s">
        <v>42</v>
      </c>
      <c r="Q11" s="3">
        <f>VLOOKUP(P11,ESPNScores!$A$2:L$217,2,FALSE)</f>
        <v>-9</v>
      </c>
      <c r="R11" t="s">
        <v>64</v>
      </c>
      <c r="S11" s="3">
        <f>VLOOKUP(R11,ESPNScores!$A$2:N$217,2,FALSE)</f>
        <v>6</v>
      </c>
      <c r="T11" s="9" t="s">
        <v>310</v>
      </c>
      <c r="U11" s="3">
        <f>VLOOKUP(T11,ESPNScores!$A$2:P$217,2,FALSE)</f>
        <v>-3</v>
      </c>
      <c r="W11" s="9"/>
      <c r="X11" s="3" t="e">
        <f>VLOOKUP(W11,Scores!$A$2:$B$217,2,FALSE)</f>
        <v>#N/A</v>
      </c>
    </row>
    <row r="12" spans="1:24" ht="15" x14ac:dyDescent="0.25">
      <c r="B12" s="52" t="str">
        <v>Gary Casarsa</v>
      </c>
      <c r="C12" s="53">
        <v>-27</v>
      </c>
      <c r="D12" s="37"/>
      <c r="E12" s="13" t="s">
        <v>10</v>
      </c>
      <c r="F12" s="32" t="s">
        <v>552</v>
      </c>
      <c r="G12" s="3">
        <f>VLOOKUP(F12,ESPNScores!$A$2:B$206,2,FALSE)</f>
        <v>50</v>
      </c>
      <c r="H12" s="32" t="s">
        <v>35</v>
      </c>
      <c r="I12" s="3">
        <f>VLOOKUP(H12,ESPNScores!$A$2:D$217,2,FALSE)</f>
        <v>50</v>
      </c>
      <c r="J12" s="32" t="s">
        <v>494</v>
      </c>
      <c r="K12" s="3">
        <f>VLOOKUP(J12,ESPNScores!$A$2:F$217,2,FALSE)</f>
        <v>-4</v>
      </c>
      <c r="L12" s="9" t="s">
        <v>565</v>
      </c>
      <c r="M12" s="3">
        <f>VLOOKUP(L12,ESPNScores!$A$2:H$217,2,FALSE)</f>
        <v>3</v>
      </c>
      <c r="N12" s="31" t="s">
        <v>505</v>
      </c>
      <c r="O12" s="3">
        <f>VLOOKUP(N12,ESPNScores!$A$2:J$217,2,FALSE)</f>
        <v>50</v>
      </c>
      <c r="P12" s="9" t="s">
        <v>230</v>
      </c>
      <c r="Q12" s="3">
        <f>VLOOKUP(P12,ESPNScores!$A$2:L$217,2,FALSE)</f>
        <v>-4</v>
      </c>
      <c r="R12" s="94" t="s">
        <v>602</v>
      </c>
      <c r="S12" s="3">
        <f>VLOOKUP(R12,ESPNScores!$A$2:N$217,2,FALSE)</f>
        <v>-9</v>
      </c>
      <c r="T12" s="93" t="s">
        <v>602</v>
      </c>
      <c r="U12" s="3">
        <f>VLOOKUP(T12,ESPNScores!$A$2:P$217,2,FALSE)</f>
        <v>-9</v>
      </c>
      <c r="W12" s="9"/>
      <c r="X12" s="3" t="e">
        <f>VLOOKUP(W12,Scores!$A$2:$B$217,2,FALSE)</f>
        <v>#N/A</v>
      </c>
    </row>
    <row r="13" spans="1:24" x14ac:dyDescent="0.2">
      <c r="B13" s="52" t="str">
        <v>Steve McFadden</v>
      </c>
      <c r="C13" s="53">
        <v>-25</v>
      </c>
      <c r="D13" s="37"/>
      <c r="E13" s="14"/>
      <c r="R13" s="94" t="s">
        <v>538</v>
      </c>
      <c r="S13" s="3">
        <f>VLOOKUP(R13,ESPNScores!$A$2:N$217,2,FALSE)</f>
        <v>-1</v>
      </c>
    </row>
    <row r="14" spans="1:24" s="7" customFormat="1" x14ac:dyDescent="0.2">
      <c r="B14" s="52" t="str">
        <v>Mike Coope</v>
      </c>
      <c r="C14" s="53">
        <v>-23</v>
      </c>
      <c r="D14" s="37"/>
      <c r="E14" s="12"/>
      <c r="F14" s="10" t="s">
        <v>14</v>
      </c>
      <c r="G14" s="11">
        <f>SMALL(G15:G24,1)+SMALL(G15:G24,2)+SMALL(G15:G24,3)+SMALL(G15:G24,4)+SMALL(G15:G24,5)</f>
        <v>-23</v>
      </c>
      <c r="H14" s="10" t="s">
        <v>485</v>
      </c>
      <c r="I14" s="11">
        <f>SMALL(I15:I24,1)+SMALL(I15:I24,2)+SMALL(I15:I24,3)+SMALL(I15:I24,4)+SMALL(I15:I24,5)</f>
        <v>-30</v>
      </c>
      <c r="J14" s="10" t="s">
        <v>13</v>
      </c>
      <c r="K14" s="11">
        <f>SMALL(K15:K24,1)+SMALL(K15:K24,2)+SMALL(K15:K24,3)+SMALL(K15:K24,4)+SMALL(K15:K24,5)</f>
        <v>-4</v>
      </c>
      <c r="L14" s="10" t="s">
        <v>24</v>
      </c>
      <c r="M14" s="11">
        <f>SMALL(M15:M24,1)+SMALL(M15:M24,2)+SMALL(M15:M24,3)+SMALL(M15:M24,4)+SMALL(M15:M24,5)</f>
        <v>-23</v>
      </c>
      <c r="N14" s="10" t="s">
        <v>4</v>
      </c>
      <c r="O14" s="11">
        <f>SMALL(O15:O24,1)+SMALL(O15:O24,2)+SMALL(O15:O24,3)+SMALL(O15:O24,4)+SMALL(O15:O24,5)</f>
        <v>-28</v>
      </c>
      <c r="P14" s="10" t="s">
        <v>23</v>
      </c>
      <c r="Q14" s="11">
        <f>SMALL(Q15:Q24,1)+SMALL(Q15:Q24,2)+SMALL(Q15:Q24,3)+SMALL(Q15:Q24,4)+SMALL(Q15:Q24,5)</f>
        <v>-25</v>
      </c>
      <c r="R14" s="10" t="s">
        <v>16</v>
      </c>
      <c r="S14" s="11">
        <f>SMALL(S15:S24,1)+SMALL(S15:S24,2)+SMALL(S15:S24,3)+SMALL(S15:S24,4)+SMALL(S15:S24,5)</f>
        <v>-41</v>
      </c>
      <c r="T14" s="10"/>
      <c r="U14" s="11"/>
    </row>
    <row r="15" spans="1:24" ht="15" x14ac:dyDescent="0.25">
      <c r="B15" s="52" t="str">
        <v>Ann Heal</v>
      </c>
      <c r="C15" s="53">
        <v>-23</v>
      </c>
      <c r="D15" s="37"/>
      <c r="E15" s="13">
        <v>1</v>
      </c>
      <c r="F15" s="9" t="s">
        <v>26</v>
      </c>
      <c r="G15" s="3">
        <f>VLOOKUP(F15,ESPNScores!$A$2:B$206,2,FALSE)</f>
        <v>-4</v>
      </c>
      <c r="H15" s="9" t="s">
        <v>26</v>
      </c>
      <c r="I15" s="3">
        <f>VLOOKUP(H15,ESPNScores!$A$2:D$217,2,FALSE)</f>
        <v>-4</v>
      </c>
      <c r="J15" s="9" t="s">
        <v>26</v>
      </c>
      <c r="K15" s="3">
        <f>VLOOKUP(J15,ESPNScores!$A$2:F$217,2,FALSE)</f>
        <v>-4</v>
      </c>
      <c r="L15" s="9" t="s">
        <v>27</v>
      </c>
      <c r="M15" s="3">
        <f>VLOOKUP(L15,ESPNScores!$A$2:H$217,2,FALSE)</f>
        <v>-12</v>
      </c>
      <c r="N15" t="s">
        <v>26</v>
      </c>
      <c r="O15" s="3">
        <f>VLOOKUP(N15,ESPNScores!$A$2:J$217,2,FALSE)</f>
        <v>-4</v>
      </c>
      <c r="P15" s="9" t="s">
        <v>26</v>
      </c>
      <c r="Q15" s="3">
        <f>VLOOKUP(P15,ESPNScores!$A$2:L$217,2,FALSE)</f>
        <v>-4</v>
      </c>
      <c r="R15" t="s">
        <v>44</v>
      </c>
      <c r="S15" s="3">
        <f>VLOOKUP(R15,ESPNScores!$A$2:N$217,2,FALSE)</f>
        <v>-7</v>
      </c>
    </row>
    <row r="16" spans="1:24" ht="15" x14ac:dyDescent="0.25">
      <c r="B16" s="52" t="str">
        <v>Damon Chapman</v>
      </c>
      <c r="C16" s="53">
        <v>-23</v>
      </c>
      <c r="D16" s="37"/>
      <c r="E16" s="13">
        <v>2</v>
      </c>
      <c r="F16" s="9" t="s">
        <v>33</v>
      </c>
      <c r="G16" s="3">
        <f>VLOOKUP(F16,ESPNScores!$A$2:B$206,2,FALSE)</f>
        <v>-5</v>
      </c>
      <c r="H16" s="9" t="s">
        <v>33</v>
      </c>
      <c r="I16" s="3">
        <f>VLOOKUP(H16,ESPNScores!$A$2:D$217,2,FALSE)</f>
        <v>-5</v>
      </c>
      <c r="J16" s="9" t="s">
        <v>73</v>
      </c>
      <c r="K16" s="3">
        <f>VLOOKUP(J16,ESPNScores!$A$2:F$217,2,FALSE)</f>
        <v>50</v>
      </c>
      <c r="L16" s="9" t="s">
        <v>162</v>
      </c>
      <c r="M16" s="3">
        <f>VLOOKUP(L16,ESPNScores!$A$2:H$217,2,FALSE)</f>
        <v>-2</v>
      </c>
      <c r="N16" s="9" t="s">
        <v>55</v>
      </c>
      <c r="O16" s="3">
        <f>VLOOKUP(N16,ESPNScores!$A$2:J$217,2,FALSE)</f>
        <v>50</v>
      </c>
      <c r="P16" s="9" t="s">
        <v>55</v>
      </c>
      <c r="Q16" s="3">
        <f>VLOOKUP(P16,ESPNScores!$A$2:L$217,2,FALSE)</f>
        <v>50</v>
      </c>
      <c r="R16" s="9" t="s">
        <v>162</v>
      </c>
      <c r="S16" s="3">
        <f>VLOOKUP(R16,ESPNScores!$A$2:N$217,2,FALSE)</f>
        <v>-2</v>
      </c>
    </row>
    <row r="17" spans="2:23" ht="15" x14ac:dyDescent="0.25">
      <c r="B17" s="52" t="str">
        <v>Russ Flagg</v>
      </c>
      <c r="C17" s="53">
        <v>-21</v>
      </c>
      <c r="D17" s="37"/>
      <c r="E17" s="13">
        <v>3</v>
      </c>
      <c r="F17" s="9" t="s">
        <v>34</v>
      </c>
      <c r="G17" s="3">
        <f>VLOOKUP(F17,ESPNScores!$A$2:B$206,2,FALSE)</f>
        <v>-3</v>
      </c>
      <c r="H17" s="9" t="s">
        <v>31</v>
      </c>
      <c r="I17" s="3">
        <f>VLOOKUP(H17,ESPNScores!$A$2:D$217,2,FALSE)</f>
        <v>-6</v>
      </c>
      <c r="J17" s="9" t="s">
        <v>53</v>
      </c>
      <c r="K17" s="3">
        <f>VLOOKUP(J17,ESPNScores!$A$2:F$217,2,FALSE)</f>
        <v>50</v>
      </c>
      <c r="L17" s="9" t="s">
        <v>53</v>
      </c>
      <c r="M17" s="3">
        <f>VLOOKUP(L17,ESPNScores!$A$2:H$217,2,FALSE)</f>
        <v>50</v>
      </c>
      <c r="N17" s="9" t="s">
        <v>31</v>
      </c>
      <c r="O17" s="3">
        <f>VLOOKUP(N17,ESPNScores!$A$2:J$217,2,FALSE)</f>
        <v>-6</v>
      </c>
      <c r="P17" s="9" t="s">
        <v>34</v>
      </c>
      <c r="Q17" s="3">
        <f>VLOOKUP(P17,ESPNScores!$A$2:L$217,2,FALSE)</f>
        <v>-3</v>
      </c>
      <c r="R17" s="9" t="s">
        <v>34</v>
      </c>
      <c r="S17" s="3">
        <f>VLOOKUP(R17,ESPNScores!$A$2:N$217,2,FALSE)</f>
        <v>-3</v>
      </c>
    </row>
    <row r="18" spans="2:23" ht="15" x14ac:dyDescent="0.25">
      <c r="B18" s="52" t="str">
        <v>Chris Marinis</v>
      </c>
      <c r="C18" s="53">
        <v>-21</v>
      </c>
      <c r="D18" s="37"/>
      <c r="E18" s="13">
        <v>4</v>
      </c>
      <c r="F18" s="9" t="s">
        <v>54</v>
      </c>
      <c r="G18" s="3">
        <f>VLOOKUP(F18,ESPNScores!$A$2:B$206,2,FALSE)</f>
        <v>-4</v>
      </c>
      <c r="H18" s="9" t="s">
        <v>190</v>
      </c>
      <c r="I18" s="3">
        <f>VLOOKUP(H18,ESPNScores!$A$2:D$217,2,FALSE)</f>
        <v>-4</v>
      </c>
      <c r="J18" s="9" t="s">
        <v>190</v>
      </c>
      <c r="K18" s="3">
        <f>VLOOKUP(J18,ESPNScores!$A$2:F$217,2,FALSE)</f>
        <v>-4</v>
      </c>
      <c r="L18" s="9" t="s">
        <v>54</v>
      </c>
      <c r="M18" s="3">
        <f>VLOOKUP(L18,ESPNScores!$A$2:H$217,2,FALSE)</f>
        <v>-4</v>
      </c>
      <c r="N18" s="9" t="s">
        <v>54</v>
      </c>
      <c r="O18" s="3">
        <f>VLOOKUP(N18,ESPNScores!$A$2:J$217,2,FALSE)</f>
        <v>-4</v>
      </c>
      <c r="P18" s="9" t="s">
        <v>190</v>
      </c>
      <c r="Q18" s="3">
        <f>VLOOKUP(P18,ESPNScores!$A$2:L$217,2,FALSE)</f>
        <v>-4</v>
      </c>
      <c r="R18" s="9" t="s">
        <v>51</v>
      </c>
      <c r="S18" s="3">
        <f>VLOOKUP(R18,ESPNScores!$A$2:N$217,2,FALSE)</f>
        <v>-5</v>
      </c>
    </row>
    <row r="19" spans="2:23" ht="15" x14ac:dyDescent="0.25">
      <c r="B19" s="52" t="str">
        <v>Matt Desai</v>
      </c>
      <c r="C19" s="53">
        <v>-18</v>
      </c>
      <c r="D19" s="37"/>
      <c r="E19" s="13">
        <v>5</v>
      </c>
      <c r="F19" t="s">
        <v>285</v>
      </c>
      <c r="G19" s="3">
        <f>VLOOKUP(F19,ESPNScores!$A$2:B$206,2,FALSE)</f>
        <v>-5</v>
      </c>
      <c r="H19" s="32" t="s">
        <v>61</v>
      </c>
      <c r="I19" s="3">
        <f>VLOOKUP(H19,ESPNScores!$A$2:D$217,2,FALSE)</f>
        <v>2</v>
      </c>
      <c r="J19" s="9" t="s">
        <v>61</v>
      </c>
      <c r="K19" s="3">
        <f>VLOOKUP(J19,ESPNScores!$A$2:F$217,2,FALSE)</f>
        <v>2</v>
      </c>
      <c r="L19" s="9" t="s">
        <v>291</v>
      </c>
      <c r="M19" s="3">
        <f>VLOOKUP(L19,ESPNScores!$A$2:H$217,2,FALSE)</f>
        <v>50</v>
      </c>
      <c r="N19" s="9" t="s">
        <v>285</v>
      </c>
      <c r="O19" s="3">
        <f>VLOOKUP(N19,ESPNScores!$A$2:J$217,2,FALSE)</f>
        <v>-5</v>
      </c>
      <c r="P19" s="9" t="s">
        <v>285</v>
      </c>
      <c r="Q19" s="3">
        <f>VLOOKUP(P19,ESPNScores!$A$2:L$217,2,FALSE)</f>
        <v>-5</v>
      </c>
      <c r="R19" s="32" t="s">
        <v>61</v>
      </c>
      <c r="S19" s="3">
        <f>VLOOKUP(R19,ESPNScores!$A$2:N$217,2,FALSE)</f>
        <v>2</v>
      </c>
    </row>
    <row r="20" spans="2:23" ht="15" x14ac:dyDescent="0.25">
      <c r="B20" s="52" t="str">
        <v>Dean Nardone</v>
      </c>
      <c r="C20" s="53">
        <v>-7</v>
      </c>
      <c r="D20" s="37"/>
      <c r="E20" s="13">
        <v>6</v>
      </c>
      <c r="F20" s="9" t="s">
        <v>39</v>
      </c>
      <c r="G20" s="3">
        <f>VLOOKUP(F20,ESPNScores!$A$2:B$206,2,FALSE)</f>
        <v>0</v>
      </c>
      <c r="H20" s="9" t="s">
        <v>344</v>
      </c>
      <c r="I20" s="3">
        <f>VLOOKUP(H20,ESPNScores!$A$2:D$217,2,FALSE)</f>
        <v>-10</v>
      </c>
      <c r="J20" s="9" t="s">
        <v>39</v>
      </c>
      <c r="K20" s="3">
        <f>VLOOKUP(J20,ESPNScores!$A$2:F$217,2,FALSE)</f>
        <v>0</v>
      </c>
      <c r="L20" s="9" t="s">
        <v>39</v>
      </c>
      <c r="M20" s="3">
        <f>VLOOKUP(L20,ESPNScores!$A$2:H$217,2,FALSE)</f>
        <v>0</v>
      </c>
      <c r="N20" s="9" t="s">
        <v>40</v>
      </c>
      <c r="O20" s="3">
        <f>VLOOKUP(N20,ESPNScores!$A$2:J$217,2,FALSE)</f>
        <v>50</v>
      </c>
      <c r="P20" s="9" t="s">
        <v>45</v>
      </c>
      <c r="Q20" s="3">
        <f>VLOOKUP(P20,ESPNScores!$A$2:L$217,2,FALSE)</f>
        <v>50</v>
      </c>
      <c r="R20" s="9" t="s">
        <v>344</v>
      </c>
      <c r="S20" s="3">
        <f>VLOOKUP(R20,ESPNScores!$A$2:N$217,2,FALSE)</f>
        <v>-10</v>
      </c>
    </row>
    <row r="21" spans="2:23" ht="15" x14ac:dyDescent="0.25">
      <c r="B21" s="52" t="str">
        <v>Halley Ganges</v>
      </c>
      <c r="C21" s="53">
        <v>-6</v>
      </c>
      <c r="D21" s="37"/>
      <c r="E21" s="13">
        <v>7</v>
      </c>
      <c r="F21" s="9" t="s">
        <v>491</v>
      </c>
      <c r="G21" s="3">
        <f>VLOOKUP(F21,ESPNScores!$A$2:B$206,2,FALSE)</f>
        <v>50</v>
      </c>
      <c r="H21" s="9" t="s">
        <v>59</v>
      </c>
      <c r="I21" s="3">
        <f>VLOOKUP(H21,ESPNScores!$A$2:D$217,2,FALSE)</f>
        <v>-3</v>
      </c>
      <c r="J21" s="9" t="s">
        <v>63</v>
      </c>
      <c r="K21" s="3">
        <f>VLOOKUP(J21,ESPNScores!$A$2:F$217,2,FALSE)</f>
        <v>2</v>
      </c>
      <c r="L21" s="9" t="s">
        <v>491</v>
      </c>
      <c r="M21" s="3">
        <f>VLOOKUP(L21,ESPNScores!$A$2:H$217,2,FALSE)</f>
        <v>50</v>
      </c>
      <c r="N21" s="9" t="s">
        <v>491</v>
      </c>
      <c r="O21" s="3">
        <f>VLOOKUP(N21,ESPNScores!$A$2:J$217,2,FALSE)</f>
        <v>50</v>
      </c>
      <c r="P21" s="9" t="s">
        <v>491</v>
      </c>
      <c r="Q21" s="3">
        <f>VLOOKUP(P21,ESPNScores!$A$2:L$217,2,FALSE)</f>
        <v>50</v>
      </c>
      <c r="R21" s="9" t="s">
        <v>491</v>
      </c>
      <c r="S21" s="3">
        <f>VLOOKUP(R21,ESPNScores!$A$2:N$217,2,FALSE)</f>
        <v>50</v>
      </c>
    </row>
    <row r="22" spans="2:23" ht="15" x14ac:dyDescent="0.25">
      <c r="B22" s="52" t="str">
        <v>Laurie Seeger</v>
      </c>
      <c r="C22" s="53">
        <v>-4</v>
      </c>
      <c r="D22" s="37"/>
      <c r="E22" s="13">
        <v>8</v>
      </c>
      <c r="F22" s="9" t="s">
        <v>65</v>
      </c>
      <c r="G22" s="3">
        <f>VLOOKUP(F22,ESPNScores!$A$2:B$206,2,FALSE)</f>
        <v>-5</v>
      </c>
      <c r="H22" s="9" t="s">
        <v>65</v>
      </c>
      <c r="I22" s="3">
        <f>VLOOKUP(H22,ESPNScores!$A$2:D$217,2,FALSE)</f>
        <v>-5</v>
      </c>
      <c r="J22" s="70" t="s">
        <v>60</v>
      </c>
      <c r="K22" s="3">
        <f>VLOOKUP(J22,ESPNScores!$A$2:F$217,2,FALSE)</f>
        <v>50</v>
      </c>
      <c r="L22" s="9" t="s">
        <v>65</v>
      </c>
      <c r="M22" s="3">
        <f>VLOOKUP(L22,ESPNScores!$A$2:H$217,2,FALSE)</f>
        <v>-5</v>
      </c>
      <c r="N22" s="9" t="s">
        <v>60</v>
      </c>
      <c r="O22" s="3">
        <f>VLOOKUP(N22,ESPNScores!$A$2:J$217,2,FALSE)</f>
        <v>50</v>
      </c>
      <c r="P22" s="9" t="s">
        <v>60</v>
      </c>
      <c r="Q22" s="3">
        <f>VLOOKUP(P22,ESPNScores!$A$2:L$217,2,FALSE)</f>
        <v>50</v>
      </c>
      <c r="R22" s="9" t="s">
        <v>60</v>
      </c>
      <c r="S22" s="3">
        <f>VLOOKUP(R22,ESPNScores!$A$2:N$217,2,FALSE)</f>
        <v>50</v>
      </c>
      <c r="T22" s="9"/>
    </row>
    <row r="23" spans="2:23" ht="15" x14ac:dyDescent="0.25">
      <c r="B23" s="52" t="str">
        <v>Matt Myers</v>
      </c>
      <c r="C23" s="53">
        <v>6</v>
      </c>
      <c r="D23" s="37"/>
      <c r="E23" s="13" t="s">
        <v>9</v>
      </c>
      <c r="F23" s="9" t="s">
        <v>494</v>
      </c>
      <c r="G23" s="3">
        <f>VLOOKUP(F23,ESPNScores!$A$2:B$206,2,FALSE)</f>
        <v>-4</v>
      </c>
      <c r="H23" s="9" t="s">
        <v>513</v>
      </c>
      <c r="I23" s="3">
        <f>VLOOKUP(H23,ESPNScores!$A$2:D$217,2,FALSE)</f>
        <v>-4</v>
      </c>
      <c r="J23" s="9" t="s">
        <v>50</v>
      </c>
      <c r="K23" s="3">
        <f>VLOOKUP(J23,ESPNScores!$A$2:F$217,2,FALSE)</f>
        <v>4</v>
      </c>
      <c r="L23" s="9" t="s">
        <v>64</v>
      </c>
      <c r="M23" s="3">
        <f>VLOOKUP(L23,ESPNScores!$A$2:H$217,2,FALSE)</f>
        <v>6</v>
      </c>
      <c r="N23" s="9" t="s">
        <v>42</v>
      </c>
      <c r="O23" s="3">
        <f>VLOOKUP(N23,ESPNScores!$A$2:J$217,2,FALSE)</f>
        <v>-9</v>
      </c>
      <c r="P23" s="9" t="s">
        <v>42</v>
      </c>
      <c r="Q23" s="3">
        <f>VLOOKUP(P23,ESPNScores!$A$2:L$217,2,FALSE)</f>
        <v>-9</v>
      </c>
      <c r="R23" t="s">
        <v>42</v>
      </c>
      <c r="S23" s="3">
        <f>VLOOKUP(R23,ESPNScores!$A$2:N$217,2,FALSE)</f>
        <v>-9</v>
      </c>
    </row>
    <row r="24" spans="2:23" ht="15" x14ac:dyDescent="0.25">
      <c r="B24" s="52" t="str">
        <v>Anthony Neville</v>
      </c>
      <c r="C24" s="53">
        <v>6</v>
      </c>
      <c r="D24" s="37"/>
      <c r="E24" s="13" t="s">
        <v>10</v>
      </c>
      <c r="F24" s="9" t="s">
        <v>505</v>
      </c>
      <c r="G24" s="3">
        <f>VLOOKUP(F24,ESPNScores!$A$2:B$206,2,FALSE)</f>
        <v>50</v>
      </c>
      <c r="H24" s="9" t="s">
        <v>443</v>
      </c>
      <c r="I24" s="3">
        <f>VLOOKUP(H24,ESPNScores!$A$2:D$217,2,FALSE)</f>
        <v>50</v>
      </c>
      <c r="J24" s="9" t="s">
        <v>318</v>
      </c>
      <c r="K24" s="3">
        <f>VLOOKUP(J24,ESPNScores!$A$2:F$217,2,FALSE)</f>
        <v>50</v>
      </c>
      <c r="L24" s="32" t="s">
        <v>30</v>
      </c>
      <c r="M24" s="3">
        <f>VLOOKUP(L24,ESPNScores!$A$2:H$217,2,FALSE)</f>
        <v>50</v>
      </c>
      <c r="N24" s="9" t="s">
        <v>505</v>
      </c>
      <c r="O24" s="3">
        <f>VLOOKUP(N24,ESPNScores!$A$2:J$217,2,FALSE)</f>
        <v>50</v>
      </c>
      <c r="P24" s="32" t="s">
        <v>584</v>
      </c>
      <c r="Q24" s="3">
        <f>VLOOKUP(P24,ESPNScores!$A$2:L$217,2,FALSE)</f>
        <v>1</v>
      </c>
      <c r="R24" s="9" t="s">
        <v>29</v>
      </c>
      <c r="S24" s="3">
        <f>VLOOKUP(R24,ESPNScores!$A$2:N$217,2,FALSE)</f>
        <v>-10</v>
      </c>
    </row>
    <row r="25" spans="2:23" x14ac:dyDescent="0.2">
      <c r="B25" s="38"/>
      <c r="C25" s="54"/>
      <c r="D25" s="39"/>
      <c r="E25" s="14"/>
    </row>
    <row r="26" spans="2:23" s="7" customFormat="1" x14ac:dyDescent="0.2">
      <c r="B26" s="19"/>
      <c r="C26" s="18"/>
      <c r="D26" s="18"/>
      <c r="E26" s="12"/>
      <c r="F26" s="10" t="s">
        <v>19</v>
      </c>
      <c r="G26" s="11">
        <f>SMALL(G27:G36,1)+SMALL(G27:G36,2)+SMALL(G27:G36,3)+SMALL(G27:G36,4)+SMALL(G27:G36,5)</f>
        <v>-29</v>
      </c>
      <c r="H26" s="10" t="s">
        <v>18</v>
      </c>
      <c r="I26" s="11">
        <f>SMALL(I27:I36,1)+SMALL(I27:I36,2)+SMALL(I27:I36,3)+SMALL(I27:I36,4)+SMALL(I27:I36,5)</f>
        <v>-28</v>
      </c>
      <c r="J26" s="10" t="s">
        <v>20</v>
      </c>
      <c r="K26" s="11">
        <f>SMALL(K27:K36,1)+SMALL(K27:K36,2)+SMALL(K27:K36,3)+SMALL(K27:K36,4)+SMALL(K27:K36,5)</f>
        <v>-33</v>
      </c>
      <c r="L26" s="10" t="s">
        <v>7</v>
      </c>
      <c r="M26" s="11">
        <f>SMALL(M27:M36,1)+SMALL(M27:M36,2)+SMALL(M27:M36,3)+SMALL(M27:M36,4)+SMALL(M27:M36,5)</f>
        <v>6</v>
      </c>
      <c r="N26" s="10" t="s">
        <v>11</v>
      </c>
      <c r="O26" s="11">
        <f>SMALL(O27:O36,1)+SMALL(O27:O36,2)+SMALL(O27:O36,3)+SMALL(O27:O36,4)+SMALL(O27:O36,5)</f>
        <v>-23</v>
      </c>
      <c r="P26" s="10" t="s">
        <v>22</v>
      </c>
      <c r="Q26" s="11">
        <f>SMALL(Q27:Q36,1)+SMALL(Q27:Q36,2)+SMALL(Q27:Q36,3)+SMALL(Q27:Q36,4)+SMALL(Q27:Q36,5)</f>
        <v>-21</v>
      </c>
      <c r="R26" s="10" t="s">
        <v>603</v>
      </c>
      <c r="S26" s="11">
        <f>SMALL(S27:S36,1)+SMALL(S27:S36,2)+SMALL(S27:S36,3)+SMALL(S27:S36,4)+SMALL(S27:S36,5)</f>
        <v>6</v>
      </c>
      <c r="T26" s="10"/>
      <c r="U26" s="11"/>
      <c r="V26"/>
      <c r="W26"/>
    </row>
    <row r="27" spans="2:23" ht="15" x14ac:dyDescent="0.25">
      <c r="B27" s="33"/>
      <c r="C27" s="18"/>
      <c r="D27" s="18"/>
      <c r="E27" s="13">
        <v>1</v>
      </c>
      <c r="F27" s="9" t="s">
        <v>44</v>
      </c>
      <c r="G27" s="3">
        <f>VLOOKUP(F27,ESPNScores!$A$2:B$206,2,FALSE)</f>
        <v>-7</v>
      </c>
      <c r="H27" t="s">
        <v>26</v>
      </c>
      <c r="I27" s="3">
        <f>VLOOKUP(H27,ESPNScores!$A$2:D$217,2,FALSE)</f>
        <v>-4</v>
      </c>
      <c r="J27" s="9" t="s">
        <v>27</v>
      </c>
      <c r="K27" s="3">
        <f>VLOOKUP(J27,ESPNScores!$A$2:F$217,2,FALSE)</f>
        <v>-12</v>
      </c>
      <c r="L27" s="9" t="s">
        <v>36</v>
      </c>
      <c r="M27" s="3">
        <f>VLOOKUP(L27,ESPNScores!$A$2:H$217,2,FALSE)</f>
        <v>13</v>
      </c>
      <c r="N27" s="9" t="s">
        <v>26</v>
      </c>
      <c r="O27" s="3">
        <f>VLOOKUP(N27,ESPNScores!$A$2:J$217,2,FALSE)</f>
        <v>-4</v>
      </c>
      <c r="P27" s="9" t="s">
        <v>26</v>
      </c>
      <c r="Q27" s="3">
        <f>VLOOKUP(P27,ESPNScores!$A$2:L$217,2,FALSE)</f>
        <v>-4</v>
      </c>
      <c r="R27" s="9" t="s">
        <v>26</v>
      </c>
      <c r="S27" s="3">
        <f>VLOOKUP(R27,ESPNScores!$A$2:N$217,2,FALSE)</f>
        <v>-4</v>
      </c>
      <c r="W27"/>
    </row>
    <row r="28" spans="2:23" ht="15" x14ac:dyDescent="0.25">
      <c r="B28" s="55" t="s">
        <v>398</v>
      </c>
      <c r="E28" s="13">
        <v>2</v>
      </c>
      <c r="F28" s="9" t="s">
        <v>162</v>
      </c>
      <c r="G28" s="3">
        <f>VLOOKUP(F28,ESPNScores!$A$2:B$206,2,FALSE)</f>
        <v>-2</v>
      </c>
      <c r="H28" s="9" t="s">
        <v>162</v>
      </c>
      <c r="I28" s="3">
        <f>VLOOKUP(H28,ESPNScores!$A$2:D$217,2,FALSE)</f>
        <v>-2</v>
      </c>
      <c r="J28" s="9" t="s">
        <v>162</v>
      </c>
      <c r="K28" s="3">
        <f>VLOOKUP(J28,ESPNScores!$A$2:F$217,2,FALSE)</f>
        <v>-2</v>
      </c>
      <c r="L28" s="9" t="s">
        <v>73</v>
      </c>
      <c r="M28" s="3">
        <f>VLOOKUP(L28,ESPNScores!$A$2:H$217,2,FALSE)</f>
        <v>50</v>
      </c>
      <c r="N28" s="9" t="s">
        <v>73</v>
      </c>
      <c r="O28" s="3">
        <f>VLOOKUP(N28,ESPNScores!$A$2:J$217,2,FALSE)</f>
        <v>50</v>
      </c>
      <c r="P28" s="9" t="s">
        <v>73</v>
      </c>
      <c r="Q28" s="3">
        <f>VLOOKUP(P28,ESPNScores!$A$2:L$217,2,FALSE)</f>
        <v>50</v>
      </c>
      <c r="R28" s="9" t="s">
        <v>162</v>
      </c>
      <c r="S28" s="3">
        <f>VLOOKUP(R28,ESPNScores!$A$2:N$217,2,FALSE)</f>
        <v>-2</v>
      </c>
      <c r="V28" s="9"/>
    </row>
    <row r="29" spans="2:23" ht="15" x14ac:dyDescent="0.25">
      <c r="B29" s="56" t="str">
        <f>ESPNScores!A2</f>
        <v>Rory McIlroy</v>
      </c>
      <c r="C29" s="56">
        <f>ESPNScores!B2</f>
        <v>-12</v>
      </c>
      <c r="E29" s="13">
        <v>3</v>
      </c>
      <c r="F29" s="9" t="s">
        <v>53</v>
      </c>
      <c r="G29" s="3">
        <f>VLOOKUP(F29,ESPNScores!$A$2:B$206,2,FALSE)</f>
        <v>50</v>
      </c>
      <c r="H29" s="9" t="s">
        <v>31</v>
      </c>
      <c r="I29" s="3">
        <f>VLOOKUP(H29,ESPNScores!$A$2:D$217,2,FALSE)</f>
        <v>-6</v>
      </c>
      <c r="J29" s="9" t="s">
        <v>34</v>
      </c>
      <c r="K29" s="3">
        <f>VLOOKUP(J29,ESPNScores!$A$2:F$217,2,FALSE)</f>
        <v>-3</v>
      </c>
      <c r="L29" s="9" t="s">
        <v>34</v>
      </c>
      <c r="M29" s="3">
        <f>VLOOKUP(L29,ESPNScores!$A$2:H$217,2,FALSE)</f>
        <v>-3</v>
      </c>
      <c r="N29" s="9" t="s">
        <v>31</v>
      </c>
      <c r="O29" s="3">
        <f>VLOOKUP(N29,ESPNScores!$A$2:J$217,2,FALSE)</f>
        <v>-6</v>
      </c>
      <c r="P29" s="9" t="s">
        <v>53</v>
      </c>
      <c r="Q29" s="3">
        <f>VLOOKUP(P29,ESPNScores!$A$2:L$217,2,FALSE)</f>
        <v>50</v>
      </c>
      <c r="R29" s="9" t="s">
        <v>450</v>
      </c>
      <c r="S29" s="3">
        <f>VLOOKUP(R29,ESPNScores!$A$2:N$217,2,FALSE)</f>
        <v>50</v>
      </c>
      <c r="V29" s="9"/>
    </row>
    <row r="30" spans="2:23" ht="15" x14ac:dyDescent="0.25">
      <c r="B30" s="56" t="str">
        <f>ESPNScores!A3</f>
        <v>J.J. Spaun</v>
      </c>
      <c r="C30" s="56">
        <f>ESPNScores!B3</f>
        <v>-12</v>
      </c>
      <c r="E30" s="13">
        <v>4</v>
      </c>
      <c r="F30" s="9" t="s">
        <v>51</v>
      </c>
      <c r="G30" s="3">
        <f>VLOOKUP(F30,ESPNScores!$A$2:B$206,2,FALSE)</f>
        <v>-5</v>
      </c>
      <c r="H30" s="9" t="s">
        <v>190</v>
      </c>
      <c r="I30" s="3">
        <f>VLOOKUP(H30,ESPNScores!$A$2:D$217,2,FALSE)</f>
        <v>-4</v>
      </c>
      <c r="J30" s="9" t="s">
        <v>54</v>
      </c>
      <c r="K30" s="3">
        <f>VLOOKUP(J30,ESPNScores!$A$2:F$217,2,FALSE)</f>
        <v>-4</v>
      </c>
      <c r="L30" s="9" t="s">
        <v>190</v>
      </c>
      <c r="M30" s="3">
        <f>VLOOKUP(L30,ESPNScores!$A$2:H$217,2,FALSE)</f>
        <v>-4</v>
      </c>
      <c r="N30" s="9" t="s">
        <v>190</v>
      </c>
      <c r="O30" s="3">
        <f>VLOOKUP(N30,ESPNScores!$A$2:J$217,2,FALSE)</f>
        <v>-4</v>
      </c>
      <c r="P30" s="9" t="s">
        <v>190</v>
      </c>
      <c r="Q30" s="3">
        <f>VLOOKUP(P30,ESPNScores!$A$2:L$217,2,FALSE)</f>
        <v>-4</v>
      </c>
      <c r="R30" s="9" t="s">
        <v>190</v>
      </c>
      <c r="S30" s="3">
        <f>VLOOKUP(R30,ESPNScores!$A$2:N$217,2,FALSE)</f>
        <v>-4</v>
      </c>
      <c r="V30" s="9"/>
    </row>
    <row r="31" spans="2:23" ht="15" x14ac:dyDescent="0.25">
      <c r="B31" s="56" t="str">
        <f>ESPNScores!A4</f>
        <v>Tom Hoge</v>
      </c>
      <c r="C31" s="56">
        <f>ESPNScores!B4</f>
        <v>-10</v>
      </c>
      <c r="E31" s="13">
        <v>5</v>
      </c>
      <c r="F31" s="9" t="s">
        <v>285</v>
      </c>
      <c r="G31" s="3">
        <f>VLOOKUP(F31,ESPNScores!$A$2:B$206,2,FALSE)</f>
        <v>-5</v>
      </c>
      <c r="H31" s="9" t="s">
        <v>38</v>
      </c>
      <c r="I31" s="3">
        <f>VLOOKUP(H31,ESPNScores!$A$2:D$217,2,FALSE)</f>
        <v>6</v>
      </c>
      <c r="J31" s="32" t="s">
        <v>215</v>
      </c>
      <c r="K31" s="3">
        <f>VLOOKUP(J31,ESPNScores!$A$2:F$217,2,FALSE)</f>
        <v>50</v>
      </c>
      <c r="L31" s="32" t="s">
        <v>215</v>
      </c>
      <c r="M31" s="3">
        <f>VLOOKUP(L31,ESPNScores!$A$2:H$217,2,FALSE)</f>
        <v>50</v>
      </c>
      <c r="N31" s="32" t="s">
        <v>38</v>
      </c>
      <c r="O31" s="3">
        <f>VLOOKUP(N31,ESPNScores!$A$2:J$217,2,FALSE)</f>
        <v>6</v>
      </c>
      <c r="P31" s="9" t="s">
        <v>61</v>
      </c>
      <c r="Q31" s="3">
        <f>VLOOKUP(P31,ESPNScores!$A$2:L$217,2,FALSE)</f>
        <v>2</v>
      </c>
      <c r="R31" s="32" t="s">
        <v>215</v>
      </c>
      <c r="S31" s="3">
        <f>VLOOKUP(R31,ESPNScores!$A$2:N$217,2,FALSE)</f>
        <v>50</v>
      </c>
      <c r="V31" s="32"/>
    </row>
    <row r="32" spans="2:23" ht="15" x14ac:dyDescent="0.25">
      <c r="B32" s="56" t="str">
        <f>ESPNScores!A5</f>
        <v>Akshay Bhatia</v>
      </c>
      <c r="C32" s="56">
        <f>ESPNScores!B5</f>
        <v>-10</v>
      </c>
      <c r="E32" s="13">
        <v>6</v>
      </c>
      <c r="F32" s="9" t="s">
        <v>39</v>
      </c>
      <c r="G32" s="3">
        <f>VLOOKUP(F32,ESPNScores!$A$2:B$206,2,FALSE)</f>
        <v>0</v>
      </c>
      <c r="H32" s="9" t="s">
        <v>48</v>
      </c>
      <c r="I32" s="3">
        <f>VLOOKUP(H32,ESPNScores!$A$2:D$217,2,FALSE)</f>
        <v>50</v>
      </c>
      <c r="J32" s="9" t="s">
        <v>45</v>
      </c>
      <c r="K32" s="3">
        <f>VLOOKUP(J32,ESPNScores!$A$2:F$217,2,FALSE)</f>
        <v>50</v>
      </c>
      <c r="L32" s="9" t="s">
        <v>48</v>
      </c>
      <c r="M32" s="3">
        <f>VLOOKUP(L32,ESPNScores!$A$2:H$217,2,FALSE)</f>
        <v>50</v>
      </c>
      <c r="N32" s="9" t="s">
        <v>40</v>
      </c>
      <c r="O32" s="3">
        <f>VLOOKUP(N32,ESPNScores!$A$2:J$217,2,FALSE)</f>
        <v>50</v>
      </c>
      <c r="P32" s="9" t="s">
        <v>344</v>
      </c>
      <c r="Q32" s="3">
        <f>VLOOKUP(P32,ESPNScores!$A$2:L$217,2,FALSE)</f>
        <v>-10</v>
      </c>
      <c r="R32" s="9" t="s">
        <v>40</v>
      </c>
      <c r="S32" s="3">
        <f>VLOOKUP(R32,ESPNScores!$A$2:N$217,2,FALSE)</f>
        <v>50</v>
      </c>
      <c r="V32" s="9"/>
    </row>
    <row r="33" spans="2:23" ht="15" x14ac:dyDescent="0.25">
      <c r="B33" s="56" t="str">
        <f>ESPNScores!A6</f>
        <v>Lucas Glover</v>
      </c>
      <c r="C33" s="56">
        <f>ESPNScores!B6</f>
        <v>-10</v>
      </c>
      <c r="E33" s="13">
        <v>7</v>
      </c>
      <c r="F33" s="9" t="s">
        <v>491</v>
      </c>
      <c r="G33" s="3">
        <f>VLOOKUP(F33,ESPNScores!$A$2:B$206,2,FALSE)</f>
        <v>50</v>
      </c>
      <c r="H33" s="9" t="s">
        <v>491</v>
      </c>
      <c r="I33" s="3">
        <f>VLOOKUP(H33,ESPNScores!$A$2:D$217,2,FALSE)</f>
        <v>50</v>
      </c>
      <c r="J33" s="9" t="s">
        <v>328</v>
      </c>
      <c r="K33" s="3">
        <f>VLOOKUP(J33,ESPNScores!$A$2:F$217,2,FALSE)</f>
        <v>50</v>
      </c>
      <c r="L33" s="9" t="s">
        <v>491</v>
      </c>
      <c r="M33" s="3">
        <f>VLOOKUP(L33,ESPNScores!$A$2:H$217,2,FALSE)</f>
        <v>50</v>
      </c>
      <c r="N33" s="9" t="s">
        <v>491</v>
      </c>
      <c r="O33" s="3">
        <f>VLOOKUP(N33,ESPNScores!$A$2:J$217,2,FALSE)</f>
        <v>50</v>
      </c>
      <c r="P33" s="9" t="s">
        <v>63</v>
      </c>
      <c r="Q33" s="3">
        <f>VLOOKUP(P33,ESPNScores!$A$2:L$217,2,FALSE)</f>
        <v>2</v>
      </c>
      <c r="R33" s="9" t="s">
        <v>491</v>
      </c>
      <c r="S33" s="3">
        <f>VLOOKUP(R33,ESPNScores!$A$2:N$217,2,FALSE)</f>
        <v>50</v>
      </c>
      <c r="V33" s="9"/>
    </row>
    <row r="34" spans="2:23" ht="15" x14ac:dyDescent="0.25">
      <c r="B34" s="5"/>
      <c r="E34" s="13">
        <v>8</v>
      </c>
      <c r="F34" s="9" t="s">
        <v>60</v>
      </c>
      <c r="G34" s="3">
        <f>VLOOKUP(F34,ESPNScores!$A$2:B$206,2,FALSE)</f>
        <v>50</v>
      </c>
      <c r="H34" s="9" t="s">
        <v>65</v>
      </c>
      <c r="I34" s="3">
        <f>VLOOKUP(H34,ESPNScores!$A$2:D$217,2,FALSE)</f>
        <v>-5</v>
      </c>
      <c r="J34" s="9" t="s">
        <v>65</v>
      </c>
      <c r="K34" s="3">
        <f>VLOOKUP(J34,ESPNScores!$A$2:F$217,2,FALSE)</f>
        <v>-5</v>
      </c>
      <c r="L34" s="9" t="s">
        <v>60</v>
      </c>
      <c r="M34" s="3">
        <f>VLOOKUP(L34,ESPNScores!$A$2:H$217,2,FALSE)</f>
        <v>50</v>
      </c>
      <c r="N34" s="9" t="s">
        <v>65</v>
      </c>
      <c r="O34" s="3">
        <f>VLOOKUP(N34,ESPNScores!$A$2:J$217,2,FALSE)</f>
        <v>-5</v>
      </c>
      <c r="P34" s="9" t="s">
        <v>65</v>
      </c>
      <c r="Q34" s="3">
        <f>VLOOKUP(P34,ESPNScores!$A$2:L$217,2,FALSE)</f>
        <v>-5</v>
      </c>
      <c r="R34" s="9" t="s">
        <v>60</v>
      </c>
      <c r="S34" s="3">
        <f>VLOOKUP(R34,ESPNScores!$A$2:N$217,2,FALSE)</f>
        <v>50</v>
      </c>
      <c r="T34" s="9"/>
      <c r="V34" s="9"/>
    </row>
    <row r="35" spans="2:23" ht="15" x14ac:dyDescent="0.25">
      <c r="B35" s="55" t="s">
        <v>463</v>
      </c>
      <c r="E35" s="13" t="s">
        <v>9</v>
      </c>
      <c r="F35" s="9" t="s">
        <v>42</v>
      </c>
      <c r="G35" s="3">
        <f>VLOOKUP(F35,ESPNScores!$A$2:B$206,2,FALSE)</f>
        <v>-9</v>
      </c>
      <c r="H35" s="9" t="s">
        <v>42</v>
      </c>
      <c r="I35" s="3">
        <f>VLOOKUP(H35,ESPNScores!$A$2:D$217,2,FALSE)</f>
        <v>-9</v>
      </c>
      <c r="J35" s="9" t="s">
        <v>505</v>
      </c>
      <c r="K35" s="3">
        <f>VLOOKUP(J35,ESPNScores!$A$2:F$217,2,FALSE)</f>
        <v>50</v>
      </c>
      <c r="L35" s="32" t="s">
        <v>50</v>
      </c>
      <c r="M35" s="3">
        <f>VLOOKUP(L35,ESPNScores!$A$2:H$217,2,FALSE)</f>
        <v>4</v>
      </c>
      <c r="N35" s="9" t="s">
        <v>494</v>
      </c>
      <c r="O35" s="3">
        <f>VLOOKUP(N35,ESPNScores!$A$2:J$217,2,FALSE)</f>
        <v>-4</v>
      </c>
      <c r="P35" s="9" t="s">
        <v>35</v>
      </c>
      <c r="Q35" s="3">
        <f>VLOOKUP(P35,ESPNScores!$A$2:L$217,2,FALSE)</f>
        <v>50</v>
      </c>
      <c r="R35" s="9" t="s">
        <v>50</v>
      </c>
      <c r="S35" s="3">
        <f>VLOOKUP(R35,ESPNScores!$A$2:N$217,2,FALSE)</f>
        <v>4</v>
      </c>
      <c r="V35" s="9"/>
    </row>
    <row r="36" spans="2:23" ht="15" x14ac:dyDescent="0.25">
      <c r="B36" s="57" t="s">
        <v>606</v>
      </c>
      <c r="E36" s="13" t="s">
        <v>10</v>
      </c>
      <c r="F36" s="9" t="s">
        <v>310</v>
      </c>
      <c r="G36" s="3">
        <f>VLOOKUP(F36,ESPNScores!$A$2:B$206,2,FALSE)</f>
        <v>-3</v>
      </c>
      <c r="H36" s="9" t="s">
        <v>43</v>
      </c>
      <c r="I36" s="3">
        <f>VLOOKUP(H36,ESPNScores!$A$2:D$217,2,FALSE)</f>
        <v>-1</v>
      </c>
      <c r="J36" s="9" t="s">
        <v>42</v>
      </c>
      <c r="K36" s="3">
        <f>VLOOKUP(J36,ESPNScores!$A$2:F$217,2,FALSE)</f>
        <v>-9</v>
      </c>
      <c r="L36" s="9" t="s">
        <v>222</v>
      </c>
      <c r="M36" s="3">
        <f>VLOOKUP(L36,ESPNScores!$A$2:H$217,2,FALSE)</f>
        <v>-4</v>
      </c>
      <c r="N36" s="9" t="s">
        <v>43</v>
      </c>
      <c r="O36" s="3">
        <f>VLOOKUP(N36,ESPNScores!$A$2:J$217,2,FALSE)</f>
        <v>-1</v>
      </c>
      <c r="P36" s="9" t="s">
        <v>37</v>
      </c>
      <c r="Q36" s="3">
        <f>VLOOKUP(P36,ESPNScores!$A$2:L$217,2,FALSE)</f>
        <v>12</v>
      </c>
      <c r="R36" s="9" t="s">
        <v>37</v>
      </c>
      <c r="S36" s="3">
        <f>VLOOKUP(R36,ESPNScores!$A$2:N$217,2,FALSE)</f>
        <v>12</v>
      </c>
      <c r="V36" s="9"/>
    </row>
    <row r="37" spans="2:23" x14ac:dyDescent="0.2">
      <c r="E37"/>
      <c r="G37" s="3"/>
      <c r="I37" s="3"/>
      <c r="K37" s="3"/>
      <c r="M37" s="3"/>
      <c r="O37" s="3"/>
      <c r="Q37" s="3"/>
      <c r="S37" s="3"/>
    </row>
    <row r="38" spans="2:23" x14ac:dyDescent="0.2">
      <c r="E38" s="8"/>
      <c r="F38" s="7"/>
      <c r="G38" s="1"/>
      <c r="H38" s="7"/>
      <c r="I38" s="1"/>
      <c r="J38" s="7"/>
      <c r="K38" s="1"/>
      <c r="L38" s="7"/>
      <c r="M38" s="1"/>
      <c r="N38" s="7"/>
      <c r="O38" s="1"/>
      <c r="P38" s="7"/>
      <c r="Q38" s="1"/>
      <c r="R38" s="7"/>
      <c r="S38" s="1"/>
      <c r="T38" s="7"/>
      <c r="U38" s="1"/>
      <c r="V38" s="7"/>
      <c r="W38" s="1"/>
    </row>
    <row r="39" spans="2:23" ht="15" x14ac:dyDescent="0.25">
      <c r="E39" s="8"/>
      <c r="F39" s="32"/>
      <c r="G39" s="18"/>
      <c r="I39" s="3"/>
      <c r="J39" s="9"/>
      <c r="K39" s="3"/>
      <c r="L39" s="9"/>
      <c r="M39" s="3"/>
      <c r="N39" s="9"/>
      <c r="O39" s="3"/>
      <c r="P39" s="9"/>
      <c r="Q39" s="3"/>
      <c r="R39" s="9"/>
      <c r="S39" s="3"/>
      <c r="V39" s="9"/>
    </row>
    <row r="40" spans="2:23" ht="15" x14ac:dyDescent="0.25">
      <c r="E40" s="8"/>
      <c r="F40" s="32"/>
      <c r="G40" s="18"/>
      <c r="H40" s="9"/>
      <c r="I40" s="3"/>
      <c r="J40" s="9"/>
      <c r="K40" s="3"/>
      <c r="L40" s="9"/>
      <c r="M40" s="3"/>
      <c r="N40" s="9"/>
      <c r="O40" s="3"/>
      <c r="P40" s="9"/>
      <c r="Q40" s="3"/>
      <c r="R40" s="9"/>
      <c r="S40" s="3"/>
      <c r="V40" s="9"/>
    </row>
    <row r="41" spans="2:23" ht="15" x14ac:dyDescent="0.25">
      <c r="E41" s="8"/>
      <c r="F41" s="32"/>
      <c r="G41" s="18"/>
      <c r="H41" s="9"/>
      <c r="I41" s="3"/>
      <c r="J41" s="9"/>
      <c r="K41" s="3"/>
      <c r="L41" s="9"/>
      <c r="M41" s="3"/>
      <c r="N41" s="9"/>
      <c r="O41" s="3"/>
      <c r="P41" s="9"/>
      <c r="Q41" s="3"/>
      <c r="R41" s="9"/>
      <c r="S41" s="3"/>
      <c r="V41" s="9"/>
    </row>
    <row r="42" spans="2:23" ht="15" x14ac:dyDescent="0.25">
      <c r="E42" s="8"/>
      <c r="F42" s="32"/>
      <c r="G42" s="18"/>
      <c r="H42" s="9"/>
      <c r="I42" s="3"/>
      <c r="J42" s="9"/>
      <c r="K42" s="3"/>
      <c r="L42" s="9"/>
      <c r="M42" s="3"/>
      <c r="N42" s="9"/>
      <c r="O42" s="3"/>
      <c r="P42" s="9"/>
      <c r="Q42" s="3"/>
      <c r="R42" s="9"/>
      <c r="S42" s="3"/>
      <c r="V42" s="9"/>
    </row>
    <row r="43" spans="2:23" ht="15" x14ac:dyDescent="0.25">
      <c r="E43" s="8"/>
      <c r="F43" s="32"/>
      <c r="G43" s="18"/>
      <c r="H43" s="9"/>
      <c r="I43" s="3"/>
      <c r="J43" s="32"/>
      <c r="K43" s="3"/>
      <c r="L43" s="32"/>
      <c r="M43" s="3"/>
      <c r="N43" s="32"/>
      <c r="O43" s="3"/>
      <c r="Q43" s="3"/>
      <c r="R43" s="9"/>
      <c r="S43" s="3"/>
      <c r="V43" s="32"/>
    </row>
    <row r="44" spans="2:23" ht="15" x14ac:dyDescent="0.25">
      <c r="E44" s="8"/>
      <c r="F44" s="32"/>
      <c r="G44" s="18"/>
      <c r="H44" s="9"/>
      <c r="I44" s="3"/>
      <c r="J44" s="9"/>
      <c r="K44" s="3"/>
      <c r="L44" s="9"/>
      <c r="M44" s="3"/>
      <c r="N44" s="9"/>
      <c r="O44" s="3"/>
      <c r="P44" s="9"/>
      <c r="Q44" s="3"/>
      <c r="R44" s="9"/>
      <c r="S44" s="3"/>
      <c r="V44" s="9"/>
    </row>
    <row r="45" spans="2:23" ht="15" x14ac:dyDescent="0.25">
      <c r="E45" s="8"/>
      <c r="F45" s="32"/>
      <c r="G45" s="18"/>
      <c r="H45" s="9"/>
      <c r="I45" s="3"/>
      <c r="J45" s="9"/>
      <c r="K45" s="3"/>
      <c r="L45" s="9"/>
      <c r="M45" s="3"/>
      <c r="N45" s="9"/>
      <c r="O45" s="3"/>
      <c r="P45" s="9"/>
      <c r="Q45" s="3"/>
      <c r="R45" s="9"/>
      <c r="S45" s="3"/>
      <c r="V45" s="9"/>
    </row>
    <row r="46" spans="2:23" ht="15" x14ac:dyDescent="0.25">
      <c r="E46" s="8"/>
      <c r="F46" s="19"/>
      <c r="G46" s="18"/>
      <c r="H46" s="9"/>
      <c r="I46" s="3"/>
      <c r="J46" s="9"/>
      <c r="K46" s="3"/>
      <c r="M46" s="3"/>
      <c r="N46" s="9"/>
      <c r="O46" s="3"/>
      <c r="Q46" s="3"/>
      <c r="R46" s="9"/>
      <c r="S46" s="3"/>
    </row>
    <row r="47" spans="2:23" ht="15" x14ac:dyDescent="0.25">
      <c r="E47" s="8"/>
      <c r="F47" s="32"/>
      <c r="G47" s="18"/>
      <c r="H47" s="9"/>
      <c r="I47" s="3"/>
      <c r="J47" s="9"/>
      <c r="K47" s="3"/>
      <c r="L47" s="9"/>
      <c r="M47" s="3"/>
      <c r="N47" s="9"/>
      <c r="O47" s="3"/>
      <c r="P47" s="9"/>
      <c r="Q47" s="3"/>
      <c r="R47" s="31"/>
      <c r="S47" s="3"/>
      <c r="V47" s="9"/>
    </row>
    <row r="48" spans="2:23" ht="15" x14ac:dyDescent="0.25">
      <c r="E48" s="8"/>
      <c r="F48" s="32"/>
      <c r="G48" s="18"/>
      <c r="H48" s="9"/>
      <c r="I48" s="3"/>
      <c r="J48" s="9"/>
      <c r="K48" s="3"/>
      <c r="L48" s="9"/>
      <c r="M48" s="3"/>
      <c r="N48" s="9"/>
      <c r="O48" s="3"/>
      <c r="P48" s="9"/>
      <c r="Q48" s="3"/>
      <c r="R48" s="9"/>
      <c r="S48" s="3"/>
      <c r="V48" s="9"/>
    </row>
    <row r="49" spans="2:27" x14ac:dyDescent="0.2">
      <c r="E49"/>
      <c r="G49" s="3"/>
      <c r="I49" s="3"/>
      <c r="K49" s="3"/>
      <c r="M49" s="3"/>
      <c r="O49" s="3"/>
      <c r="Q49" s="3"/>
      <c r="S49" s="3"/>
    </row>
    <row r="50" spans="2:27" x14ac:dyDescent="0.2">
      <c r="B50" t="s">
        <v>607</v>
      </c>
      <c r="E50"/>
      <c r="F50" t="str">
        <f>F2</f>
        <v>Joe Magnetico</v>
      </c>
      <c r="G50" t="str">
        <f>H2</f>
        <v>Richard Webster</v>
      </c>
      <c r="H50" t="str">
        <f>J2</f>
        <v>Dean Nardone</v>
      </c>
      <c r="I50" t="str">
        <f>L2</f>
        <v>Charlie Adams</v>
      </c>
      <c r="J50" t="str">
        <f>N2</f>
        <v>Russ Flagg</v>
      </c>
      <c r="K50" t="str">
        <f>P2</f>
        <v>Gary Casarsa</v>
      </c>
      <c r="L50" t="str">
        <f>R2</f>
        <v>Halley Ganges</v>
      </c>
      <c r="M50" t="str">
        <f>F14</f>
        <v>Mike Coope</v>
      </c>
      <c r="N50" t="str">
        <f>H14</f>
        <v>William Seeger</v>
      </c>
      <c r="O50" t="str">
        <f>J14</f>
        <v>Laurie Seeger</v>
      </c>
      <c r="P50" t="str">
        <f>L14</f>
        <v>Ann Heal</v>
      </c>
      <c r="Q50" t="str">
        <f>N14</f>
        <v>Lorraine McGill</v>
      </c>
      <c r="R50" t="str">
        <f>P14</f>
        <v>Steve McFadden</v>
      </c>
      <c r="S50" t="str">
        <f>R14</f>
        <v>Chris Callahan</v>
      </c>
      <c r="T50" t="str">
        <f>F26</f>
        <v>Sean Christian</v>
      </c>
      <c r="U50" t="str">
        <f>H26</f>
        <v>Mark Brenman</v>
      </c>
      <c r="V50" t="str">
        <f>J26</f>
        <v>Ken Webster</v>
      </c>
      <c r="W50" s="3" t="str">
        <f>L26</f>
        <v>Matt Myers</v>
      </c>
      <c r="X50" t="str">
        <f>N26</f>
        <v>Damon Chapman</v>
      </c>
      <c r="Y50" t="str">
        <f>P26</f>
        <v>Chris Marinis</v>
      </c>
      <c r="Z50" t="str">
        <f>R26</f>
        <v>Anthony Neville</v>
      </c>
      <c r="AA50" t="str">
        <f>T2</f>
        <v>Matt Desai</v>
      </c>
    </row>
    <row r="51" spans="2:27" x14ac:dyDescent="0.2">
      <c r="B51" t="s">
        <v>462</v>
      </c>
      <c r="E51" t="s">
        <v>79</v>
      </c>
      <c r="F51" s="3">
        <f>G2</f>
        <v>-29</v>
      </c>
      <c r="G51" s="3">
        <f>I2</f>
        <v>-37</v>
      </c>
      <c r="H51" s="3">
        <f>K2</f>
        <v>-7</v>
      </c>
      <c r="I51" s="3">
        <f>M2</f>
        <v>-28</v>
      </c>
      <c r="J51" s="3">
        <f>O2</f>
        <v>-21</v>
      </c>
      <c r="K51" s="3">
        <f>Q2</f>
        <v>-27</v>
      </c>
      <c r="L51" s="3">
        <f>S2</f>
        <v>-6</v>
      </c>
      <c r="M51" s="3">
        <f>G14</f>
        <v>-23</v>
      </c>
      <c r="N51" s="3">
        <f>I14</f>
        <v>-30</v>
      </c>
      <c r="O51" s="3">
        <f>K14</f>
        <v>-4</v>
      </c>
      <c r="P51" s="3">
        <f>M14</f>
        <v>-23</v>
      </c>
      <c r="Q51" s="3">
        <f>O14</f>
        <v>-28</v>
      </c>
      <c r="R51" s="3">
        <f>Q14</f>
        <v>-25</v>
      </c>
      <c r="S51" s="3">
        <f>S14</f>
        <v>-41</v>
      </c>
      <c r="T51" s="3">
        <f>G26</f>
        <v>-29</v>
      </c>
      <c r="U51" s="3">
        <f>I26</f>
        <v>-28</v>
      </c>
      <c r="V51" s="3">
        <f>K26</f>
        <v>-33</v>
      </c>
      <c r="W51" s="3">
        <f>M26</f>
        <v>6</v>
      </c>
      <c r="X51" s="3">
        <f>O26</f>
        <v>-23</v>
      </c>
      <c r="Y51" s="3">
        <f>Q26</f>
        <v>-21</v>
      </c>
      <c r="Z51" s="3">
        <f>S26</f>
        <v>6</v>
      </c>
      <c r="AA51" s="3">
        <f>U2</f>
        <v>-18</v>
      </c>
    </row>
    <row r="52" spans="2:27" x14ac:dyDescent="0.2">
      <c r="E52" s="19" t="s">
        <v>376</v>
      </c>
      <c r="F52" s="3">
        <v>-16</v>
      </c>
      <c r="G52" s="3">
        <v>-19</v>
      </c>
      <c r="H52" s="3">
        <v>-16</v>
      </c>
      <c r="I52" s="3">
        <v>-17</v>
      </c>
      <c r="J52" s="3">
        <v>-13</v>
      </c>
      <c r="K52" s="3">
        <v>-18</v>
      </c>
      <c r="L52" s="3">
        <v>-21</v>
      </c>
      <c r="M52" s="3">
        <v>-17</v>
      </c>
      <c r="N52" s="3">
        <v>-18</v>
      </c>
      <c r="O52" s="3">
        <v>-20</v>
      </c>
      <c r="P52" s="3">
        <v>-17</v>
      </c>
      <c r="Q52" s="3">
        <v>-10</v>
      </c>
      <c r="R52" s="3">
        <v>-11</v>
      </c>
      <c r="S52" s="3">
        <v>-18</v>
      </c>
      <c r="T52" s="3">
        <v>-18</v>
      </c>
      <c r="U52" s="3">
        <v>-18</v>
      </c>
      <c r="V52" s="3">
        <v>-18</v>
      </c>
      <c r="W52" s="3">
        <v>-12</v>
      </c>
      <c r="X52" s="3">
        <v>-18</v>
      </c>
      <c r="Y52" s="3">
        <v>-18</v>
      </c>
      <c r="Z52" s="3">
        <v>-17</v>
      </c>
      <c r="AA52" s="3">
        <v>-16</v>
      </c>
    </row>
    <row r="53" spans="2:27" x14ac:dyDescent="0.2">
      <c r="E53" s="19"/>
      <c r="F53" s="3"/>
      <c r="G53" s="3"/>
      <c r="H53" s="3"/>
      <c r="I53" s="3"/>
      <c r="J53" s="3"/>
      <c r="K53" s="3"/>
      <c r="L53" s="3"/>
      <c r="M53" s="3"/>
      <c r="N53" s="3"/>
      <c r="O53" s="3"/>
      <c r="P53" s="3"/>
      <c r="Q53" s="3"/>
      <c r="R53" s="3"/>
      <c r="S53" s="3"/>
      <c r="T53" s="3"/>
      <c r="V53" s="3"/>
      <c r="X53" s="3"/>
      <c r="Y53" s="3"/>
      <c r="Z53" s="3"/>
      <c r="AA53" s="3"/>
    </row>
    <row r="54" spans="2:27" x14ac:dyDescent="0.2">
      <c r="B54" t="s">
        <v>605</v>
      </c>
      <c r="E54"/>
      <c r="F54" s="7" t="s">
        <v>25</v>
      </c>
      <c r="G54" s="20">
        <f>SMALL(G55:G62,1)+SMALL(G55:G62,2)+SMALL(G55:G62,3)+SMALL(G55:G62,4)+SMALL(G55:G62,5)</f>
        <v>-41</v>
      </c>
      <c r="I54" s="3"/>
      <c r="K54" s="3"/>
      <c r="M54" s="3"/>
      <c r="O54" s="3"/>
      <c r="Q54" s="3"/>
      <c r="S54" s="3"/>
    </row>
    <row r="55" spans="2:27" x14ac:dyDescent="0.2">
      <c r="B55" s="29">
        <v>45732.59375</v>
      </c>
      <c r="E55"/>
      <c r="G55">
        <f>'Top 40'!B36</f>
        <v>-12</v>
      </c>
      <c r="I55"/>
      <c r="M55" s="3"/>
      <c r="O55" s="3"/>
      <c r="Q55" s="3"/>
      <c r="S55" s="3"/>
    </row>
    <row r="56" spans="2:27" x14ac:dyDescent="0.2">
      <c r="E56"/>
      <c r="G56">
        <f>'Top 40'!B37</f>
        <v>-5</v>
      </c>
      <c r="I56"/>
      <c r="M56" s="3"/>
      <c r="O56" s="3"/>
      <c r="Q56" s="3"/>
      <c r="S56" s="3"/>
    </row>
    <row r="57" spans="2:27" x14ac:dyDescent="0.2">
      <c r="B57" t="s">
        <v>604</v>
      </c>
      <c r="G57">
        <f>'Top 40'!B38</f>
        <v>-6</v>
      </c>
      <c r="I57"/>
    </row>
    <row r="58" spans="2:27" x14ac:dyDescent="0.2">
      <c r="B58" s="29">
        <v>45732.708333333336</v>
      </c>
      <c r="G58">
        <f>'Top 40'!B39</f>
        <v>-8</v>
      </c>
      <c r="I58"/>
    </row>
    <row r="59" spans="2:27" x14ac:dyDescent="0.2">
      <c r="G59">
        <f>'Top 40'!B40</f>
        <v>-5</v>
      </c>
      <c r="I59"/>
    </row>
    <row r="60" spans="2:27" x14ac:dyDescent="0.2">
      <c r="G60">
        <f>'Top 40'!B41</f>
        <v>-10</v>
      </c>
      <c r="I60"/>
    </row>
    <row r="61" spans="2:27" x14ac:dyDescent="0.2">
      <c r="G61">
        <f>'Top 40'!B42</f>
        <v>-3</v>
      </c>
      <c r="I61"/>
    </row>
    <row r="62" spans="2:27" x14ac:dyDescent="0.2">
      <c r="G62" s="22">
        <f>'Top 40'!B43</f>
        <v>-5</v>
      </c>
      <c r="I62"/>
    </row>
    <row r="63" spans="2:27" x14ac:dyDescent="0.2">
      <c r="F63" s="21"/>
      <c r="G63" s="19"/>
      <c r="I63"/>
    </row>
    <row r="64" spans="2:27" x14ac:dyDescent="0.2">
      <c r="F64" s="21"/>
      <c r="G64"/>
      <c r="I64"/>
    </row>
    <row r="65" spans="7:9" x14ac:dyDescent="0.2">
      <c r="G65"/>
      <c r="I65"/>
    </row>
    <row r="66" spans="7:9" x14ac:dyDescent="0.2">
      <c r="G66"/>
      <c r="I66"/>
    </row>
    <row r="67" spans="7:9" x14ac:dyDescent="0.2">
      <c r="G67"/>
      <c r="I67"/>
    </row>
    <row r="68" spans="7:9" x14ac:dyDescent="0.2">
      <c r="G68"/>
      <c r="I68"/>
    </row>
    <row r="69" spans="7:9" x14ac:dyDescent="0.2">
      <c r="G69"/>
      <c r="I69"/>
    </row>
    <row r="70" spans="7:9" x14ac:dyDescent="0.2">
      <c r="G70"/>
      <c r="I70"/>
    </row>
    <row r="71" spans="7:9" x14ac:dyDescent="0.2">
      <c r="G71"/>
      <c r="I71"/>
    </row>
    <row r="72" spans="7:9" x14ac:dyDescent="0.2">
      <c r="G72"/>
      <c r="I72"/>
    </row>
    <row r="73" spans="7:9" x14ac:dyDescent="0.2">
      <c r="G73"/>
      <c r="I73"/>
    </row>
    <row r="74" spans="7:9" x14ac:dyDescent="0.2">
      <c r="G74"/>
      <c r="I74"/>
    </row>
    <row r="75" spans="7:9" x14ac:dyDescent="0.2">
      <c r="G75"/>
      <c r="I75"/>
    </row>
    <row r="76" spans="7:9" x14ac:dyDescent="0.2">
      <c r="G76"/>
      <c r="I76"/>
    </row>
    <row r="77" spans="7:9" x14ac:dyDescent="0.2">
      <c r="G77"/>
      <c r="I77"/>
    </row>
    <row r="78" spans="7:9" x14ac:dyDescent="0.2">
      <c r="G78"/>
      <c r="I78"/>
    </row>
    <row r="79" spans="7:9" x14ac:dyDescent="0.2">
      <c r="G79"/>
      <c r="I79"/>
    </row>
    <row r="80" spans="7:9" x14ac:dyDescent="0.2">
      <c r="G80"/>
      <c r="I80"/>
    </row>
    <row r="81" spans="7:9" x14ac:dyDescent="0.2">
      <c r="G81"/>
      <c r="I81"/>
    </row>
    <row r="82" spans="7:9" x14ac:dyDescent="0.2">
      <c r="G82"/>
      <c r="I82"/>
    </row>
    <row r="83" spans="7:9" x14ac:dyDescent="0.2">
      <c r="G83"/>
      <c r="I83"/>
    </row>
  </sheetData>
  <conditionalFormatting sqref="U2 F2:S2 F14:M14 O14:U14 G25:U25 F26:U36 F15:U24 F3:U13">
    <cfRule type="cellIs" dxfId="112" priority="6" operator="equal">
      <formula>50</formula>
    </cfRule>
  </conditionalFormatting>
  <conditionalFormatting sqref="F3:F12 H3:H12 J3:J12 L3:L12 N3:N12 P3:P12 F15:F24 H15:H24 L15:L25 N15:N24 P15:P24 R15:R24 F27:F36 H27:H36 J27:J36 L27:L36 N27:N36 P27:P36 R27:R36 T3:T12 J15:J24 R3:R13">
    <cfRule type="expression" dxfId="111" priority="5">
      <formula>G3=50</formula>
    </cfRule>
  </conditionalFormatting>
  <conditionalFormatting sqref="W2:X9 W11:X12 X10">
    <cfRule type="cellIs" dxfId="110" priority="4" operator="equal">
      <formula>50</formula>
    </cfRule>
  </conditionalFormatting>
  <conditionalFormatting sqref="W3:W9 W11:W12">
    <cfRule type="expression" dxfId="109" priority="3">
      <formula>X3=50</formula>
    </cfRule>
  </conditionalFormatting>
  <conditionalFormatting sqref="W10">
    <cfRule type="cellIs" dxfId="108" priority="2" operator="equal">
      <formula>50</formula>
    </cfRule>
  </conditionalFormatting>
  <conditionalFormatting sqref="W10">
    <cfRule type="expression" dxfId="107" priority="1">
      <formula>X10=50</formula>
    </cfRule>
  </conditionalFormatting>
  <hyperlinks>
    <hyperlink ref="B28" r:id="rId1" xr:uid="{28A3F6BE-F8DC-4EC6-983E-2A541DE08E5C}"/>
    <hyperlink ref="B35" r:id="rId2" xr:uid="{5B9387ED-7B3E-467C-B1C0-3F9D3003683F}"/>
  </hyperlinks>
  <pageMargins left="0.7" right="0.7" top="0.75" bottom="0.75" header="0.3" footer="0.3"/>
  <pageSetup orientation="portrait" r:id="rId3"/>
  <webPublishItems count="1">
    <webPublishItem id="13495" divId="JoeMagneticoMicro_13495" sourceType="range" sourceRef="A1:U36" destinationFile="C:\pga\html\JoeMagnetic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9B78D90A-9029-42F5-9793-23DF5B2ECB19}">
          <x14:formula1>
            <xm:f>'Top 40'!$C$4:$G$4</xm:f>
          </x14:formula1>
          <xm:sqref>F4 H4 J4 P16 N4 P4 L4 N16 V40 P28 T16 R28 R16 H16 L16 T4 J16 F28 H28 N28 L28 J28 F16 T28 V28 P40 F40 H40 N40 R40 L40 J40 T40 R4 W4</xm:sqref>
        </x14:dataValidation>
        <x14:dataValidation type="list" allowBlank="1" showInputMessage="1" showErrorMessage="1" xr:uid="{5B6D396E-498C-46EF-A6A6-952A91002672}">
          <x14:formula1>
            <xm:f>'Top 40'!$C$10:$G$10</xm:f>
          </x14:formula1>
          <xm:sqref>R46 T46 F46 P46 L46 J46 H46 N46 V46 F10 H10 J10 L10 N10 P10 T34 V34 P34 R34 T22 R22 P22 N22 L22 W10 H22 F22 F34 H34 J34 L34 N34 R10 T10</xm:sqref>
        </x14:dataValidation>
        <x14:dataValidation type="list" allowBlank="1" showInputMessage="1" showErrorMessage="1" xr:uid="{12D3274A-7112-4A60-AFDA-251475C6120B}">
          <x14:formula1>
            <xm:f>'Top 40'!$C$9:$G$9</xm:f>
          </x14:formula1>
          <xm:sqref>F9 R9 J9 L9 N9 T45 F21 T9 R33 T21 P33 R21 P9 P21 J21 L21 N21 F33 H21 H33 L33 N33 J33 V33 T33 P45 F45 H45 L45 N45 J45 R45 V45 H9 W9</xm:sqref>
        </x14:dataValidation>
        <x14:dataValidation type="list" allowBlank="1" showInputMessage="1" showErrorMessage="1" xr:uid="{605C3671-1CE6-4838-BC2E-BBD0D69C632E}">
          <x14:formula1>
            <xm:f>'Top 40'!$C$8:$G$8</xm:f>
          </x14:formula1>
          <xm:sqref>F8 H8 J8 L8 N8 T44 P8 R32 T20 T8 R20 P20 N20 P32 H20 L20 F20 F32 J20 L32 H32 N32 J32 V32 T32 R44 P44 F44 L44 H44 N44 J44 V44 R8 W8</xm:sqref>
        </x14:dataValidation>
        <x14:dataValidation type="list" allowBlank="1" showInputMessage="1" showErrorMessage="1" xr:uid="{619BCC47-652F-43C9-93B4-A7752CFA186F}">
          <x14:formula1>
            <xm:f>'Top 40'!$C$7:$G$7</xm:f>
          </x14:formula1>
          <xm:sqref>F7 H7 J7 L7 P19 P7 N31 T7 P31 N7 T19 V43 N19 L19 J19 F31 R31 F19 L31 H31 R19 H19 J31 T31 V31 N43 F43 L43 H43 J43 R43 P43 T43 R7 W7</xm:sqref>
        </x14:dataValidation>
        <x14:dataValidation type="list" allowBlank="1" showInputMessage="1" showErrorMessage="1" xr:uid="{C05221AF-6963-49D1-B669-59831D7536BC}">
          <x14:formula1>
            <xm:f>'Top 40'!$C$6:$G$6</xm:f>
          </x14:formula1>
          <xm:sqref>F6 H6 J6 N6 L6 T42 P30 P18 R30 T18 P6 L18 R18 L30 J18 H18 F18 F30 H30 J30 N30 N18 T6 V30 T30 R42 L42 F42 H42 J42 N42 P42 V42 R6 W6</xm:sqref>
        </x14:dataValidation>
        <x14:dataValidation type="list" allowBlank="1" showInputMessage="1" showErrorMessage="1" xr:uid="{67AC5EEA-49D1-40D5-8C88-C40205610EF4}">
          <x14:formula1>
            <xm:f>'Top 40'!$C$5:$G$5</xm:f>
          </x14:formula1>
          <xm:sqref>J17 F17 H29 J29 N29 L5 F5 H5 J5 N5 V41 F29 L29 T17 P29 R17 P17 N17 L17 H17 T5 R29 P5 T29 V29 H41 J41 N41 R41 F41 L41 P41 T41 R5 W5</xm:sqref>
        </x14:dataValidation>
        <x14:dataValidation type="list" allowBlank="1" showInputMessage="1" showErrorMessage="1" xr:uid="{903B624A-620F-441F-9B56-C4B22BF37CC6}">
          <x14:formula1>
            <xm:f>'Top 40'!$C$3:$G$3</xm:f>
          </x14:formula1>
          <xm:sqref>F3 R27 H3 J3 N15 H15 T15 N27 J27 P3 P27 J15 R15 L27 L15 P15 H27 F15 F27 L3 T39 T3 N3 W3 T27 R39 N39 J39 P39 L39 H39 F39 V39 R3</xm:sqref>
        </x14:dataValidation>
        <x14:dataValidation type="list" allowBlank="1" showInputMessage="1" showErrorMessage="1" xr:uid="{21087C3D-5DF3-4CE7-8E33-5BADB65ACAB3}">
          <x14:formula1>
            <xm:f>ESPNField!$A$2:$A$190</xm:f>
          </x14:formula1>
          <xm:sqref>F23:F24 W11:W12 F47:F48 H47:H48 J47:J48 L47:L48 N47:N48 P47:P48 R47:R48 T47:T48 V47:V48 V35:V36 T35:T36 N35:N36 P23:P24 J35:J36 H35:H36 F35:F36 J11:J12 H23:H24 J22:J24 H11:H12 N23:N24 L23:L24 R23:R24 T23:T24 R35:R36 P35:P36 F11:F12 L35:L36 P11:P12 N11:N12 L11:L12 R11:R13 T11:T12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E19BA-B37C-4F7E-A7C9-8D0E9C1A5D59}">
  <sheetPr codeName="Sheet12"/>
  <dimension ref="A1:AI83"/>
  <sheetViews>
    <sheetView zoomScaleNormal="100" workbookViewId="0">
      <selection activeCell="D10" sqref="D6:D10"/>
    </sheetView>
  </sheetViews>
  <sheetFormatPr defaultColWidth="8.5703125" defaultRowHeight="12.75" x14ac:dyDescent="0.2"/>
  <cols>
    <col min="1" max="1" width="2.85546875" customWidth="1"/>
    <col min="2" max="2" width="15.7109375" customWidth="1"/>
    <col min="3" max="3" width="5.140625" style="3" customWidth="1"/>
    <col min="4" max="4" width="5.28515625" style="3" customWidth="1"/>
    <col min="5" max="5" width="6.7109375" style="3" customWidth="1"/>
    <col min="6" max="6" width="19.140625" customWidth="1"/>
    <col min="7" max="7" width="8.5703125" style="2" customWidth="1"/>
    <col min="8" max="8" width="19.5703125" bestFit="1" customWidth="1"/>
    <col min="9" max="9" width="8.5703125" style="2"/>
    <col min="10" max="10" width="19.5703125" customWidth="1"/>
    <col min="11" max="11" width="8.5703125" style="2"/>
    <col min="12" max="12" width="20.42578125" customWidth="1"/>
    <col min="13" max="13" width="8.5703125" style="2"/>
    <col min="14" max="14" width="18.28515625" customWidth="1"/>
    <col min="15" max="15" width="8.5703125" style="2"/>
    <col min="16" max="16" width="19.42578125" customWidth="1"/>
    <col min="17" max="17" width="8.5703125" style="2"/>
    <col min="18" max="18" width="20.28515625" customWidth="1"/>
    <col min="19" max="19" width="8.5703125" style="2"/>
    <col min="20" max="20" width="19.28515625" customWidth="1"/>
    <col min="21" max="21" width="8.5703125" style="3"/>
    <col min="22" max="22" width="19.42578125" customWidth="1"/>
    <col min="23" max="23" width="8.5703125" style="3"/>
  </cols>
  <sheetData>
    <row r="1" spans="1:21" x14ac:dyDescent="0.2">
      <c r="A1" s="15" t="s">
        <v>345</v>
      </c>
      <c r="B1" s="49" t="s">
        <v>375</v>
      </c>
      <c r="E1" s="8"/>
    </row>
    <row r="2" spans="1:21" s="7" customFormat="1" x14ac:dyDescent="0.2">
      <c r="B2" s="50" t="s">
        <v>1</v>
      </c>
      <c r="C2" s="51"/>
      <c r="D2" s="68" t="s">
        <v>303</v>
      </c>
      <c r="E2" s="12"/>
      <c r="F2" s="10" t="s">
        <v>349</v>
      </c>
      <c r="G2" s="11">
        <f>SMALL(G3:G12,1)+SMALL(G3:G12,2)+SMALL(G3:G12,3)+SMALL(G3:G12,4)+SMALL(G3:G12,5)</f>
        <v>-37</v>
      </c>
      <c r="H2" s="10" t="s">
        <v>350</v>
      </c>
      <c r="I2" s="11">
        <f>SMALL(I3:I12,1)+SMALL(I3:I12,2)+SMALL(I3:I12,3)+SMALL(I3:I12,4)+SMALL(I3:I12,5)</f>
        <v>-32</v>
      </c>
      <c r="J2" s="10" t="s">
        <v>351</v>
      </c>
      <c r="K2" s="11">
        <f>SMALL(K3:K12,1)+SMALL(K3:K12,2)+SMALL(K3:K12,3)+SMALL(K3:K12,4)+SMALL(K3:K12,5)</f>
        <v>-24</v>
      </c>
      <c r="L2" s="10" t="s">
        <v>352</v>
      </c>
      <c r="M2" s="11">
        <f>SMALL(M3:M12,1)+SMALL(M3:M12,2)+SMALL(M3:M12,3)+SMALL(M3:M12,4)+SMALL(M3:M12,5)</f>
        <v>-29</v>
      </c>
      <c r="N2" s="10" t="s">
        <v>353</v>
      </c>
      <c r="O2" s="11">
        <f>SMALL(O3:O12,1)+SMALL(O3:O12,2)+SMALL(O3:O12,3)+SMALL(O3:O12,4)+SMALL(O3:O12,5)</f>
        <v>-2</v>
      </c>
      <c r="P2" s="10" t="s">
        <v>354</v>
      </c>
      <c r="Q2" s="11">
        <f>SMALL(Q3:Q12,1)+SMALL(Q3:Q12,2)+SMALL(Q3:Q12,3)+SMALL(Q3:Q12,4)+SMALL(Q3:Q12,5)</f>
        <v>-17</v>
      </c>
      <c r="R2" s="10" t="s">
        <v>355</v>
      </c>
      <c r="S2" s="11">
        <f>SMALL(S3:S13,1)+SMALL(S3:S13,2)+SMALL(S3:S13,3)+SMALL(S3:S13,4)+SMALL(S3:S13,5)</f>
        <v>-26</v>
      </c>
      <c r="T2" s="10" t="s">
        <v>356</v>
      </c>
      <c r="U2" s="11">
        <f>SMALL(U3:U12,1)+SMALL(U3:U12,2)+SMALL(U3:U12,3)+SMALL(U3:U12,4)+SMALL(U3:U12,5)</f>
        <v>-19</v>
      </c>
    </row>
    <row r="3" spans="1:21" ht="15" x14ac:dyDescent="0.25">
      <c r="B3" s="52" t="str" cm="1">
        <f t="array" ref="B3:C32">TRANSPOSE(_xlfn._xlws.SORT(F50:AI51,2,1,TRUE))</f>
        <v>Rush</v>
      </c>
      <c r="C3" s="53">
        <v>-41</v>
      </c>
      <c r="D3" s="69">
        <f>HLOOKUP(B3,$F$50:$AI$52,3,)</f>
        <v>-20</v>
      </c>
      <c r="E3" s="13">
        <v>1</v>
      </c>
      <c r="F3" t="s">
        <v>27</v>
      </c>
      <c r="G3" s="3">
        <f>VLOOKUP(F3,ESPNScores!$A$2:$B$206,2,FALSE)</f>
        <v>-12</v>
      </c>
      <c r="H3" s="9" t="s">
        <v>44</v>
      </c>
      <c r="I3" s="3">
        <f>VLOOKUP(H3,ESPNScores!$A$2:$B$206,2,FALSE)</f>
        <v>-7</v>
      </c>
      <c r="J3" s="9" t="s">
        <v>26</v>
      </c>
      <c r="K3" s="3">
        <f>VLOOKUP(J3,ESPNScores!$A$2:$B$206,2,FALSE)</f>
        <v>-4</v>
      </c>
      <c r="L3" s="9" t="s">
        <v>44</v>
      </c>
      <c r="M3" s="3">
        <f>VLOOKUP(L3,ESPNScores!$A$2:$B$206,2,FALSE)</f>
        <v>-7</v>
      </c>
      <c r="N3" t="s">
        <v>36</v>
      </c>
      <c r="O3" s="3">
        <f>VLOOKUP(N3,ESPNScores!$A$2:$B$206,2,FALSE)</f>
        <v>13</v>
      </c>
      <c r="P3" s="9" t="s">
        <v>26</v>
      </c>
      <c r="Q3" s="3">
        <f>VLOOKUP(P3,ESPNScores!$A$2:$B$206,2,FALSE)</f>
        <v>-4</v>
      </c>
      <c r="R3" t="s">
        <v>26</v>
      </c>
      <c r="S3" s="3">
        <f>VLOOKUP(R3,ESPNScores!$A$2:$B$206,2,FALSE)</f>
        <v>-4</v>
      </c>
      <c r="T3" s="9" t="s">
        <v>44</v>
      </c>
      <c r="U3" s="3">
        <f>VLOOKUP(T3,ESPNScores!$A$2:$B$206,2,FALSE)</f>
        <v>-7</v>
      </c>
    </row>
    <row r="4" spans="1:21" ht="15" x14ac:dyDescent="0.25">
      <c r="B4" s="52" t="str">
        <v>McElroy</v>
      </c>
      <c r="C4" s="53">
        <v>-39</v>
      </c>
      <c r="D4" s="69">
        <f>HLOOKUP(B4,$F$50:$AI$52,3,)</f>
        <v>-14</v>
      </c>
      <c r="E4" s="13">
        <v>2</v>
      </c>
      <c r="F4" t="s">
        <v>73</v>
      </c>
      <c r="G4" s="3">
        <f>VLOOKUP(F4,ESPNScores!$A$2:$B$206,2,FALSE)</f>
        <v>50</v>
      </c>
      <c r="H4" s="32" t="s">
        <v>33</v>
      </c>
      <c r="I4" s="3">
        <f>VLOOKUP(H4,ESPNScores!$A$2:$B$206,2,FALSE)</f>
        <v>-5</v>
      </c>
      <c r="J4" s="9" t="s">
        <v>55</v>
      </c>
      <c r="K4" s="3">
        <f>VLOOKUP(J4,ESPNScores!$A$2:$B$206,2,FALSE)</f>
        <v>50</v>
      </c>
      <c r="L4" s="9" t="s">
        <v>55</v>
      </c>
      <c r="M4" s="3">
        <f>VLOOKUP(L4,ESPNScores!$A$2:$B$206,2,FALSE)</f>
        <v>50</v>
      </c>
      <c r="N4" s="9" t="s">
        <v>55</v>
      </c>
      <c r="O4" s="3">
        <f>VLOOKUP(N4,ESPNScores!$A$2:$B$206,2,FALSE)</f>
        <v>50</v>
      </c>
      <c r="P4" s="9" t="s">
        <v>55</v>
      </c>
      <c r="Q4" s="3">
        <f>VLOOKUP(P4,ESPNScores!$A$2:$B$206,2,FALSE)</f>
        <v>50</v>
      </c>
      <c r="R4" t="s">
        <v>73</v>
      </c>
      <c r="S4" s="3">
        <f>VLOOKUP(R4,ESPNScores!$A$2:$B$206,2,FALSE)</f>
        <v>50</v>
      </c>
      <c r="T4" s="9" t="s">
        <v>73</v>
      </c>
      <c r="U4" s="3">
        <f>VLOOKUP(T4,ESPNScores!$A$2:$B$206,2,FALSE)</f>
        <v>50</v>
      </c>
    </row>
    <row r="5" spans="1:21" ht="15" x14ac:dyDescent="0.25">
      <c r="B5" s="52" t="str">
        <v>Webster</v>
      </c>
      <c r="C5" s="53">
        <v>-37</v>
      </c>
      <c r="D5" s="69">
        <f>HLOOKUP(B5,$F$50:$AI$52,3,)</f>
        <v>-19</v>
      </c>
      <c r="E5" s="13">
        <v>3</v>
      </c>
      <c r="F5" t="s">
        <v>31</v>
      </c>
      <c r="G5" s="3">
        <f>VLOOKUP(F5,ESPNScores!$A$2:$B$206,2,FALSE)</f>
        <v>-6</v>
      </c>
      <c r="H5" s="32" t="s">
        <v>31</v>
      </c>
      <c r="I5" s="3">
        <f>VLOOKUP(H5,ESPNScores!$A$2:$B$206,2,FALSE)</f>
        <v>-6</v>
      </c>
      <c r="J5" s="9" t="s">
        <v>53</v>
      </c>
      <c r="K5" s="3">
        <f>VLOOKUP(J5,ESPNScores!$A$2:$B$206,2,FALSE)</f>
        <v>50</v>
      </c>
      <c r="L5" s="9" t="s">
        <v>34</v>
      </c>
      <c r="M5" s="3">
        <f>VLOOKUP(L5,ESPNScores!$A$2:$B$206,2,FALSE)</f>
        <v>-3</v>
      </c>
      <c r="N5" s="9" t="s">
        <v>450</v>
      </c>
      <c r="O5" s="3">
        <f>VLOOKUP(N5,ESPNScores!$A$2:$B$206,2,FALSE)</f>
        <v>50</v>
      </c>
      <c r="P5" s="9" t="s">
        <v>31</v>
      </c>
      <c r="Q5" s="3">
        <f>VLOOKUP(P5,ESPNScores!$A$2:$B$206,2,FALSE)</f>
        <v>-6</v>
      </c>
      <c r="R5" t="s">
        <v>450</v>
      </c>
      <c r="S5" s="3">
        <f>VLOOKUP(R5,ESPNScores!$A$2:$B$206,2,FALSE)</f>
        <v>50</v>
      </c>
      <c r="T5" s="9" t="s">
        <v>34</v>
      </c>
      <c r="U5" s="3">
        <f>VLOOKUP(T5,ESPNScores!$A$2:$B$206,2,FALSE)</f>
        <v>-3</v>
      </c>
    </row>
    <row r="6" spans="1:21" ht="15" x14ac:dyDescent="0.25">
      <c r="B6" s="52" t="str">
        <v>Mattson</v>
      </c>
      <c r="C6" s="53">
        <v>-32</v>
      </c>
      <c r="D6" s="69"/>
      <c r="E6" s="13">
        <v>4</v>
      </c>
      <c r="F6" t="s">
        <v>54</v>
      </c>
      <c r="G6" s="3">
        <f>VLOOKUP(F6,ESPNScores!$A$2:$B$206,2,FALSE)</f>
        <v>-4</v>
      </c>
      <c r="H6" s="32" t="s">
        <v>190</v>
      </c>
      <c r="I6" s="3">
        <f>VLOOKUP(H6,ESPNScores!$A$2:$B$206,2,FALSE)</f>
        <v>-4</v>
      </c>
      <c r="J6" s="9" t="s">
        <v>190</v>
      </c>
      <c r="K6" s="3">
        <f>VLOOKUP(J6,ESPNScores!$A$2:$B$206,2,FALSE)</f>
        <v>-4</v>
      </c>
      <c r="L6" s="9" t="s">
        <v>51</v>
      </c>
      <c r="M6" s="3">
        <f>VLOOKUP(L6,ESPNScores!$A$2:$B$206,2,FALSE)</f>
        <v>-5</v>
      </c>
      <c r="N6" s="9" t="s">
        <v>190</v>
      </c>
      <c r="O6" s="3">
        <f>VLOOKUP(N6,ESPNScores!$A$2:$B$206,2,FALSE)</f>
        <v>-4</v>
      </c>
      <c r="P6" s="9" t="s">
        <v>51</v>
      </c>
      <c r="Q6" s="3">
        <f>VLOOKUP(P6,ESPNScores!$A$2:$B$206,2,FALSE)</f>
        <v>-5</v>
      </c>
      <c r="R6" t="s">
        <v>51</v>
      </c>
      <c r="S6" s="3">
        <f>VLOOKUP(R6,ESPNScores!$A$2:$B$206,2,FALSE)</f>
        <v>-5</v>
      </c>
      <c r="T6" s="9" t="s">
        <v>51</v>
      </c>
      <c r="U6" s="3">
        <f>VLOOKUP(T6,ESPNScores!$A$2:$B$206,2,FALSE)</f>
        <v>-5</v>
      </c>
    </row>
    <row r="7" spans="1:21" ht="15" x14ac:dyDescent="0.25">
      <c r="B7" s="52" t="str">
        <v>Fish</v>
      </c>
      <c r="C7" s="53">
        <v>-32</v>
      </c>
      <c r="D7" s="69"/>
      <c r="E7" s="13">
        <v>5</v>
      </c>
      <c r="F7" t="s">
        <v>215</v>
      </c>
      <c r="G7" s="3">
        <f>VLOOKUP(F7,ESPNScores!$A$2:$B$206,2,FALSE)</f>
        <v>50</v>
      </c>
      <c r="H7" s="32" t="s">
        <v>291</v>
      </c>
      <c r="I7" s="3">
        <f>VLOOKUP(H7,ESPNScores!$A$2:$B$206,2,FALSE)</f>
        <v>50</v>
      </c>
      <c r="J7" s="9" t="s">
        <v>61</v>
      </c>
      <c r="K7" s="3">
        <f>VLOOKUP(J7,ESPNScores!$A$2:$B$206,2,FALSE)</f>
        <v>2</v>
      </c>
      <c r="L7" s="32" t="s">
        <v>285</v>
      </c>
      <c r="M7" s="3">
        <f>VLOOKUP(L7,ESPNScores!$A$2:$B$206,2,FALSE)</f>
        <v>-5</v>
      </c>
      <c r="N7" s="32" t="s">
        <v>61</v>
      </c>
      <c r="O7" s="3">
        <f>VLOOKUP(N7,ESPNScores!$A$2:$B$206,2,FALSE)</f>
        <v>2</v>
      </c>
      <c r="P7" s="9" t="s">
        <v>291</v>
      </c>
      <c r="Q7" s="3">
        <f>VLOOKUP(P7,ESPNScores!$A$2:$B$206,2,FALSE)</f>
        <v>50</v>
      </c>
      <c r="R7" t="s">
        <v>291</v>
      </c>
      <c r="S7" s="3">
        <f>VLOOKUP(R7,ESPNScores!$A$2:$B$206,2,FALSE)</f>
        <v>50</v>
      </c>
      <c r="T7" s="9" t="s">
        <v>38</v>
      </c>
      <c r="U7" s="3">
        <f>VLOOKUP(T7,ESPNScores!$A$2:$B$206,2,FALSE)</f>
        <v>6</v>
      </c>
    </row>
    <row r="8" spans="1:21" ht="15" x14ac:dyDescent="0.25">
      <c r="B8" s="52" t="str">
        <v>Jones</v>
      </c>
      <c r="C8" s="53">
        <v>-31</v>
      </c>
      <c r="D8" s="69"/>
      <c r="E8" s="13">
        <v>6</v>
      </c>
      <c r="F8" t="s">
        <v>344</v>
      </c>
      <c r="G8" s="3">
        <f>VLOOKUP(F8,ESPNScores!$A$2:$B$206,2,FALSE)</f>
        <v>-10</v>
      </c>
      <c r="H8" s="32" t="s">
        <v>40</v>
      </c>
      <c r="I8" s="3">
        <f>VLOOKUP(H8,ESPNScores!$A$2:$B$206,2,FALSE)</f>
        <v>50</v>
      </c>
      <c r="J8" s="9" t="s">
        <v>39</v>
      </c>
      <c r="K8" s="3">
        <f>VLOOKUP(J8,ESPNScores!$A$2:$B$206,2,FALSE)</f>
        <v>0</v>
      </c>
      <c r="L8" s="9" t="s">
        <v>39</v>
      </c>
      <c r="M8" s="3">
        <f>VLOOKUP(L8,ESPNScores!$A$2:$B$206,2,FALSE)</f>
        <v>0</v>
      </c>
      <c r="N8" s="9" t="s">
        <v>40</v>
      </c>
      <c r="O8" s="3">
        <f>VLOOKUP(N8,ESPNScores!$A$2:$B$206,2,FALSE)</f>
        <v>50</v>
      </c>
      <c r="P8" s="9" t="s">
        <v>39</v>
      </c>
      <c r="Q8" s="3">
        <f>VLOOKUP(P8,ESPNScores!$A$2:$B$206,2,FALSE)</f>
        <v>0</v>
      </c>
      <c r="R8" t="s">
        <v>45</v>
      </c>
      <c r="S8" s="3">
        <f>VLOOKUP(R8,ESPNScores!$A$2:$B$206,2,FALSE)</f>
        <v>50</v>
      </c>
      <c r="T8" s="9" t="s">
        <v>39</v>
      </c>
      <c r="U8" s="3">
        <f>VLOOKUP(T8,ESPNScores!$A$2:$B$206,2,FALSE)</f>
        <v>0</v>
      </c>
    </row>
    <row r="9" spans="1:21" ht="15" x14ac:dyDescent="0.25">
      <c r="B9" s="52" t="str">
        <v>Donasky</v>
      </c>
      <c r="C9" s="53">
        <v>-29</v>
      </c>
      <c r="D9" s="69"/>
      <c r="E9" s="13">
        <v>7</v>
      </c>
      <c r="F9" t="s">
        <v>491</v>
      </c>
      <c r="G9" s="3">
        <f>VLOOKUP(F9,ESPNScores!$A$2:$B$206,2,FALSE)</f>
        <v>50</v>
      </c>
      <c r="H9" s="9" t="s">
        <v>491</v>
      </c>
      <c r="I9" s="3">
        <f>VLOOKUP(H9,ESPNScores!$A$2:$B$206,2,FALSE)</f>
        <v>50</v>
      </c>
      <c r="J9" s="9" t="s">
        <v>59</v>
      </c>
      <c r="K9" s="3">
        <f>VLOOKUP(J9,ESPNScores!$A$2:$B$206,2,FALSE)</f>
        <v>-3</v>
      </c>
      <c r="L9" s="9" t="s">
        <v>63</v>
      </c>
      <c r="M9" s="3">
        <f>VLOOKUP(L9,ESPNScores!$A$2:$B$206,2,FALSE)</f>
        <v>2</v>
      </c>
      <c r="N9" s="9" t="s">
        <v>491</v>
      </c>
      <c r="O9" s="3">
        <f>VLOOKUP(N9,ESPNScores!$A$2:$B$206,2,FALSE)</f>
        <v>50</v>
      </c>
      <c r="P9" s="9" t="s">
        <v>491</v>
      </c>
      <c r="Q9" s="3">
        <f>VLOOKUP(P9,ESPNScores!$A$2:$B$206,2,FALSE)</f>
        <v>50</v>
      </c>
      <c r="R9" t="s">
        <v>491</v>
      </c>
      <c r="S9" s="3">
        <f>VLOOKUP(R9,ESPNScores!$A$2:$B$206,2,FALSE)</f>
        <v>50</v>
      </c>
      <c r="T9" s="9" t="s">
        <v>491</v>
      </c>
      <c r="U9" s="3">
        <f>VLOOKUP(T9,ESPNScores!$A$2:$B$206,2,FALSE)</f>
        <v>50</v>
      </c>
    </row>
    <row r="10" spans="1:21" ht="15" x14ac:dyDescent="0.25">
      <c r="B10" s="52" t="str">
        <v>Tsutsumi</v>
      </c>
      <c r="C10" s="53">
        <v>-29</v>
      </c>
      <c r="D10" s="69"/>
      <c r="E10" s="13">
        <v>8</v>
      </c>
      <c r="F10" t="s">
        <v>65</v>
      </c>
      <c r="G10" s="3">
        <f>VLOOKUP(F10,ESPNScores!$A$2:$B$206,2,FALSE)</f>
        <v>-5</v>
      </c>
      <c r="H10" s="9" t="s">
        <v>65</v>
      </c>
      <c r="I10" s="3">
        <f>VLOOKUP(H10,ESPNScores!$A$2:$B$206,2,FALSE)</f>
        <v>-5</v>
      </c>
      <c r="J10" s="9" t="s">
        <v>60</v>
      </c>
      <c r="K10" s="3">
        <f>VLOOKUP(J10,ESPNScores!$A$2:$B$206,2,FALSE)</f>
        <v>50</v>
      </c>
      <c r="L10" s="9" t="s">
        <v>60</v>
      </c>
      <c r="M10" s="3">
        <f>VLOOKUP(L10,ESPNScores!$A$2:$B$206,2,FALSE)</f>
        <v>50</v>
      </c>
      <c r="N10" s="9" t="s">
        <v>32</v>
      </c>
      <c r="O10" s="3">
        <f>VLOOKUP(N10,ESPNScores!$A$2:$B$206,2,FALSE)</f>
        <v>50</v>
      </c>
      <c r="P10" s="9" t="s">
        <v>338</v>
      </c>
      <c r="Q10" s="3">
        <f>VLOOKUP(P10,ESPNScores!$A$2:$B$206,2,FALSE)</f>
        <v>-1</v>
      </c>
      <c r="R10" s="9" t="s">
        <v>32</v>
      </c>
      <c r="S10" s="3">
        <f>VLOOKUP(R10,ESPNScores!$A$2:$B$206,2,FALSE)</f>
        <v>50</v>
      </c>
      <c r="T10" s="9" t="s">
        <v>60</v>
      </c>
      <c r="U10" s="3">
        <f>VLOOKUP(T10,ESPNScores!$A$2:$B$206,2,FALSE)</f>
        <v>50</v>
      </c>
    </row>
    <row r="11" spans="1:21" ht="15" x14ac:dyDescent="0.25">
      <c r="B11" s="52" t="str">
        <v>Hitchman</v>
      </c>
      <c r="C11" s="53">
        <v>-29</v>
      </c>
      <c r="D11" s="37"/>
      <c r="E11" s="13" t="s">
        <v>9</v>
      </c>
      <c r="F11" t="s">
        <v>497</v>
      </c>
      <c r="G11" s="3">
        <f>VLOOKUP(F11,ESPNScores!$A$2:$B$206,2,FALSE)</f>
        <v>50</v>
      </c>
      <c r="H11" s="32" t="s">
        <v>505</v>
      </c>
      <c r="I11" s="3">
        <f>VLOOKUP(H11,ESPNScores!$A$2:$B$206,2,FALSE)</f>
        <v>50</v>
      </c>
      <c r="J11" s="32" t="s">
        <v>42</v>
      </c>
      <c r="K11" s="3">
        <f>VLOOKUP(J11,ESPNScores!$A$2:$B$206,2,FALSE)</f>
        <v>-9</v>
      </c>
      <c r="L11" s="9" t="s">
        <v>42</v>
      </c>
      <c r="M11" s="3">
        <f>VLOOKUP(L11,ESPNScores!$A$2:$B$206,2,FALSE)</f>
        <v>-9</v>
      </c>
      <c r="N11" s="9" t="s">
        <v>494</v>
      </c>
      <c r="O11" s="3">
        <f>VLOOKUP(N11,ESPNScores!$A$2:$B$206,2,FALSE)</f>
        <v>-4</v>
      </c>
      <c r="P11" s="9" t="s">
        <v>35</v>
      </c>
      <c r="Q11" s="3">
        <f>VLOOKUP(P11,ESPNScores!$A$2:$B$206,2,FALSE)</f>
        <v>50</v>
      </c>
      <c r="R11" t="s">
        <v>494</v>
      </c>
      <c r="S11" s="3">
        <f>VLOOKUP(R11,ESPNScores!$A$2:$B$206,2,FALSE)</f>
        <v>-4</v>
      </c>
      <c r="T11" s="9" t="s">
        <v>494</v>
      </c>
      <c r="U11" s="3">
        <f>VLOOKUP(T11,ESPNScores!$A$2:$B$206,2,FALSE)</f>
        <v>-4</v>
      </c>
    </row>
    <row r="12" spans="1:21" ht="15" x14ac:dyDescent="0.25">
      <c r="B12" s="52" t="str">
        <v>Cruickshank</v>
      </c>
      <c r="C12" s="53">
        <v>-29</v>
      </c>
      <c r="D12" s="37"/>
      <c r="E12" s="13" t="s">
        <v>10</v>
      </c>
      <c r="F12" t="s">
        <v>35</v>
      </c>
      <c r="G12" s="3">
        <f>VLOOKUP(F12,ESPNScores!$A$2:$B$206,2,FALSE)</f>
        <v>50</v>
      </c>
      <c r="H12" s="32" t="s">
        <v>42</v>
      </c>
      <c r="I12" s="3">
        <f>VLOOKUP(H12,ESPNScores!$A$2:$B$206,2,FALSE)</f>
        <v>-9</v>
      </c>
      <c r="J12" s="32" t="s">
        <v>513</v>
      </c>
      <c r="K12" s="3">
        <f>VLOOKUP(J12,ESPNScores!$A$2:$B$206,2,FALSE)</f>
        <v>-4</v>
      </c>
      <c r="L12" s="9" t="s">
        <v>50</v>
      </c>
      <c r="M12" s="3">
        <f>VLOOKUP(L12,ESPNScores!$A$2:$B$206,2,FALSE)</f>
        <v>4</v>
      </c>
      <c r="N12" s="31" t="s">
        <v>42</v>
      </c>
      <c r="O12" s="3">
        <f>VLOOKUP(N12,ESPNScores!$A$2:$B$206,2,FALSE)</f>
        <v>-9</v>
      </c>
      <c r="P12" s="9" t="s">
        <v>43</v>
      </c>
      <c r="Q12" s="3">
        <f>VLOOKUP(P12,ESPNScores!$A$2:$B$206,2,FALSE)</f>
        <v>-1</v>
      </c>
      <c r="R12" s="94" t="s">
        <v>602</v>
      </c>
      <c r="S12" s="3">
        <f>VLOOKUP(R12,ESPNScores!$A$2:$B$206,2,FALSE)</f>
        <v>-9</v>
      </c>
      <c r="T12" s="9" t="s">
        <v>587</v>
      </c>
      <c r="U12" s="3">
        <f>VLOOKUP(T12,ESPNScores!$A$2:$B$206,2,FALSE)</f>
        <v>50</v>
      </c>
    </row>
    <row r="13" spans="1:21" ht="15" x14ac:dyDescent="0.25">
      <c r="B13" s="52" t="str">
        <v>Rakusin</v>
      </c>
      <c r="C13" s="53">
        <v>-27</v>
      </c>
      <c r="D13" s="37"/>
      <c r="E13" s="14"/>
      <c r="F13" s="58"/>
      <c r="G13" s="58"/>
      <c r="H13" s="58"/>
      <c r="I13" s="58"/>
      <c r="J13" s="58"/>
      <c r="K13" s="58"/>
      <c r="L13" s="58"/>
      <c r="M13" s="58"/>
      <c r="R13" s="94" t="s">
        <v>190</v>
      </c>
      <c r="S13" s="3">
        <f>VLOOKUP(R13,ESPNScores!$A$2:$B$206,2,FALSE)</f>
        <v>-4</v>
      </c>
    </row>
    <row r="14" spans="1:21" s="7" customFormat="1" x14ac:dyDescent="0.2">
      <c r="B14" s="52" t="str">
        <v>Armstrong</v>
      </c>
      <c r="C14" s="53">
        <v>-26</v>
      </c>
      <c r="D14" s="37"/>
      <c r="E14" s="12"/>
      <c r="F14" s="10" t="s">
        <v>357</v>
      </c>
      <c r="G14" s="11">
        <f>SMALL(G15:G24,1)+SMALL(G15:G24,2)+SMALL(G15:G24,3)+SMALL(G15:G24,4)+SMALL(G15:G24,5)</f>
        <v>-26</v>
      </c>
      <c r="H14" s="10" t="s">
        <v>358</v>
      </c>
      <c r="I14" s="11">
        <f>SMALL(I15:I24,1)+SMALL(I15:I24,2)+SMALL(I15:I24,3)+SMALL(I15:I24,4)+SMALL(I15:I24,5)</f>
        <v>-41</v>
      </c>
      <c r="J14" s="10" t="s">
        <v>359</v>
      </c>
      <c r="K14" s="11">
        <f>SMALL(K15:K24,1)+SMALL(K15:K24,2)+SMALL(K15:K24,3)+SMALL(K15:K24,4)+SMALL(K15:K24,5)</f>
        <v>-29</v>
      </c>
      <c r="L14" s="10" t="s">
        <v>360</v>
      </c>
      <c r="M14" s="11">
        <f>SMALL(M15:M24,1)+SMALL(M15:M24,2)+SMALL(M15:M24,3)+SMALL(M15:M24,4)+SMALL(M15:M24,5)</f>
        <v>-10</v>
      </c>
      <c r="N14" s="10" t="s">
        <v>461</v>
      </c>
      <c r="O14" s="11">
        <f>SMALL(O15:O24,1)+SMALL(O15:O24,2)+SMALL(O15:O24,3)+SMALL(O15:O24,4)+SMALL(O15:O24,5)</f>
        <v>-25</v>
      </c>
      <c r="P14" s="10" t="s">
        <v>361</v>
      </c>
      <c r="Q14" s="11">
        <f>SMALL(Q15:Q24,1)+SMALL(Q15:Q24,2)+SMALL(Q15:Q24,3)+SMALL(Q15:Q24,4)+SMALL(Q15:Q24,5)</f>
        <v>-22</v>
      </c>
      <c r="R14" s="10" t="s">
        <v>362</v>
      </c>
      <c r="S14" s="11">
        <f>SMALL(S15:S24,1)+SMALL(S15:S24,2)+SMALL(S15:S24,3)+SMALL(S15:S24,4)+SMALL(S15:S24,5)</f>
        <v>-32</v>
      </c>
      <c r="T14" s="10" t="s">
        <v>363</v>
      </c>
      <c r="U14" s="11">
        <f>SMALL(U15:U24,1)+SMALL(U15:U24,2)+SMALL(U15:U24,3)+SMALL(U15:U24,4)+SMALL(U15:U24,5)</f>
        <v>-26</v>
      </c>
    </row>
    <row r="15" spans="1:21" ht="15" x14ac:dyDescent="0.25">
      <c r="B15" s="52" t="str">
        <v>Chernick</v>
      </c>
      <c r="C15" s="53">
        <v>-26</v>
      </c>
      <c r="D15" s="37"/>
      <c r="E15" s="13">
        <v>1</v>
      </c>
      <c r="F15" s="9" t="s">
        <v>392</v>
      </c>
      <c r="G15" s="3">
        <f>VLOOKUP(F15,ESPNScores!$A$2:$B$206,2,FALSE)</f>
        <v>50</v>
      </c>
      <c r="H15" s="9" t="s">
        <v>27</v>
      </c>
      <c r="I15" s="3">
        <f>VLOOKUP(H15,ESPNScores!$A$2:$B$206,2,FALSE)</f>
        <v>-12</v>
      </c>
      <c r="J15" s="9" t="s">
        <v>27</v>
      </c>
      <c r="K15" s="3">
        <f>VLOOKUP(J15,ESPNScores!$A$2:$B$206,2,FALSE)</f>
        <v>-12</v>
      </c>
      <c r="L15" s="9" t="s">
        <v>26</v>
      </c>
      <c r="M15" s="3">
        <f>VLOOKUP(L15,ESPNScores!$A$2:$B$206,2,FALSE)</f>
        <v>-4</v>
      </c>
      <c r="N15" t="s">
        <v>26</v>
      </c>
      <c r="O15" s="3">
        <f>VLOOKUP(N15,ESPNScores!$A$2:$B$206,2,FALSE)</f>
        <v>-4</v>
      </c>
      <c r="P15" s="9" t="s">
        <v>26</v>
      </c>
      <c r="Q15" s="3">
        <f>VLOOKUP(P15,ESPNScores!$A$2:$B$206,2,FALSE)</f>
        <v>-4</v>
      </c>
      <c r="R15" t="s">
        <v>44</v>
      </c>
      <c r="S15" s="3">
        <f>VLOOKUP(R15,ESPNScores!$A$2:$B$206,2,FALSE)</f>
        <v>-7</v>
      </c>
      <c r="T15" s="9" t="s">
        <v>26</v>
      </c>
      <c r="U15" s="3">
        <f>VLOOKUP(T15,ESPNScores!$A$2:$B$206,2,FALSE)</f>
        <v>-4</v>
      </c>
    </row>
    <row r="16" spans="1:21" ht="15" x14ac:dyDescent="0.25">
      <c r="B16" s="52" t="str">
        <v>Richard</v>
      </c>
      <c r="C16" s="53">
        <v>-26</v>
      </c>
      <c r="D16" s="37"/>
      <c r="E16" s="13">
        <v>2</v>
      </c>
      <c r="F16" s="9" t="s">
        <v>73</v>
      </c>
      <c r="G16" s="3">
        <f>VLOOKUP(F16,ESPNScores!$A$2:$B$206,2,FALSE)</f>
        <v>50</v>
      </c>
      <c r="H16" s="9" t="s">
        <v>73</v>
      </c>
      <c r="I16" s="3">
        <f>VLOOKUP(H16,ESPNScores!$A$2:$B$206,2,FALSE)</f>
        <v>50</v>
      </c>
      <c r="J16" s="9" t="s">
        <v>162</v>
      </c>
      <c r="K16" s="3">
        <f>VLOOKUP(J16,ESPNScores!$A$2:$B$206,2,FALSE)</f>
        <v>-2</v>
      </c>
      <c r="L16" s="9" t="s">
        <v>73</v>
      </c>
      <c r="M16" s="3">
        <f>VLOOKUP(L16,ESPNScores!$A$2:$B$206,2,FALSE)</f>
        <v>50</v>
      </c>
      <c r="N16" s="9" t="s">
        <v>73</v>
      </c>
      <c r="O16" s="3">
        <f>VLOOKUP(N16,ESPNScores!$A$2:$B$206,2,FALSE)</f>
        <v>50</v>
      </c>
      <c r="P16" s="9" t="s">
        <v>73</v>
      </c>
      <c r="Q16" s="3">
        <f>VLOOKUP(P16,ESPNScores!$A$2:$B$206,2,FALSE)</f>
        <v>50</v>
      </c>
      <c r="R16" s="9" t="s">
        <v>73</v>
      </c>
      <c r="S16" s="3">
        <f>VLOOKUP(R16,ESPNScores!$A$2:$B$206,2,FALSE)</f>
        <v>50</v>
      </c>
      <c r="T16" s="9" t="s">
        <v>73</v>
      </c>
      <c r="U16" s="3">
        <f>VLOOKUP(T16,ESPNScores!$A$2:$B$206,2,FALSE)</f>
        <v>50</v>
      </c>
    </row>
    <row r="17" spans="2:23" ht="15" x14ac:dyDescent="0.25">
      <c r="B17" s="52" t="str">
        <v>Dillabaugh</v>
      </c>
      <c r="C17" s="53">
        <v>-25</v>
      </c>
      <c r="D17" s="37"/>
      <c r="E17" s="13">
        <v>3</v>
      </c>
      <c r="F17" s="9" t="s">
        <v>34</v>
      </c>
      <c r="G17" s="3">
        <f>VLOOKUP(F17,ESPNScores!$A$2:$B$206,2,FALSE)</f>
        <v>-3</v>
      </c>
      <c r="H17" s="9" t="s">
        <v>450</v>
      </c>
      <c r="I17" s="3">
        <f>VLOOKUP(H17,ESPNScores!$A$2:$B$206,2,FALSE)</f>
        <v>50</v>
      </c>
      <c r="J17" s="9" t="s">
        <v>34</v>
      </c>
      <c r="K17" s="3">
        <f>VLOOKUP(J17,ESPNScores!$A$2:$B$206,2,FALSE)</f>
        <v>-3</v>
      </c>
      <c r="L17" s="9" t="s">
        <v>31</v>
      </c>
      <c r="M17" s="3">
        <f>VLOOKUP(L17,ESPNScores!$A$2:$B$206,2,FALSE)</f>
        <v>-6</v>
      </c>
      <c r="N17" s="9" t="s">
        <v>34</v>
      </c>
      <c r="O17" s="3">
        <f>VLOOKUP(N17,ESPNScores!$A$2:$B$206,2,FALSE)</f>
        <v>-3</v>
      </c>
      <c r="P17" s="9" t="s">
        <v>34</v>
      </c>
      <c r="Q17" s="3">
        <f>VLOOKUP(P17,ESPNScores!$A$2:$B$206,2,FALSE)</f>
        <v>-3</v>
      </c>
      <c r="R17" s="9" t="s">
        <v>34</v>
      </c>
      <c r="S17" s="3">
        <f>VLOOKUP(R17,ESPNScores!$A$2:$B$206,2,FALSE)</f>
        <v>-3</v>
      </c>
      <c r="T17" s="9" t="s">
        <v>34</v>
      </c>
      <c r="U17" s="3">
        <f>VLOOKUP(T17,ESPNScores!$A$2:$B$206,2,FALSE)</f>
        <v>-3</v>
      </c>
    </row>
    <row r="18" spans="2:23" ht="15" x14ac:dyDescent="0.25">
      <c r="B18" s="52" t="str">
        <v>Holiday</v>
      </c>
      <c r="C18" s="53">
        <v>-24</v>
      </c>
      <c r="D18" s="37"/>
      <c r="E18" s="13">
        <v>4</v>
      </c>
      <c r="F18" s="9" t="s">
        <v>51</v>
      </c>
      <c r="G18" s="3">
        <f>VLOOKUP(F18,ESPNScores!$A$2:$B$206,2,FALSE)</f>
        <v>-5</v>
      </c>
      <c r="H18" s="9" t="s">
        <v>54</v>
      </c>
      <c r="I18" s="3">
        <f>VLOOKUP(H18,ESPNScores!$A$2:$B$206,2,FALSE)</f>
        <v>-4</v>
      </c>
      <c r="J18" s="9" t="s">
        <v>54</v>
      </c>
      <c r="K18" s="3">
        <f>VLOOKUP(J18,ESPNScores!$A$2:$B$206,2,FALSE)</f>
        <v>-4</v>
      </c>
      <c r="L18" s="9" t="s">
        <v>54</v>
      </c>
      <c r="M18" s="3">
        <f>VLOOKUP(L18,ESPNScores!$A$2:$B$206,2,FALSE)</f>
        <v>-4</v>
      </c>
      <c r="N18" s="9" t="s">
        <v>190</v>
      </c>
      <c r="O18" s="3">
        <f>VLOOKUP(N18,ESPNScores!$A$2:$B$206,2,FALSE)</f>
        <v>-4</v>
      </c>
      <c r="P18" s="9" t="s">
        <v>298</v>
      </c>
      <c r="Q18" s="3">
        <f>VLOOKUP(P18,ESPNScores!$A$2:$B$206,2,FALSE)</f>
        <v>-8</v>
      </c>
      <c r="R18" s="9" t="s">
        <v>54</v>
      </c>
      <c r="S18" s="3">
        <f>VLOOKUP(R18,ESPNScores!$A$2:$B$206,2,FALSE)</f>
        <v>-4</v>
      </c>
      <c r="T18" s="9" t="s">
        <v>51</v>
      </c>
      <c r="U18" s="3">
        <f>VLOOKUP(T18,ESPNScores!$A$2:$B$206,2,FALSE)</f>
        <v>-5</v>
      </c>
    </row>
    <row r="19" spans="2:23" ht="15" x14ac:dyDescent="0.25">
      <c r="B19" s="52" t="str">
        <v>Langer</v>
      </c>
      <c r="C19" s="53">
        <v>-24</v>
      </c>
      <c r="D19" s="37"/>
      <c r="E19" s="13">
        <v>5</v>
      </c>
      <c r="F19" t="s">
        <v>285</v>
      </c>
      <c r="G19" s="3">
        <f>VLOOKUP(F19,ESPNScores!$A$2:$B$206,2,FALSE)</f>
        <v>-5</v>
      </c>
      <c r="H19" s="66" t="s">
        <v>215</v>
      </c>
      <c r="I19" s="3">
        <f>VLOOKUP(H19,ESPNScores!$A$2:$B$206,2,FALSE)</f>
        <v>50</v>
      </c>
      <c r="J19" s="9" t="s">
        <v>61</v>
      </c>
      <c r="K19" s="3">
        <f>VLOOKUP(J19,ESPNScores!$A$2:$B$206,2,FALSE)</f>
        <v>2</v>
      </c>
      <c r="L19" s="9" t="s">
        <v>38</v>
      </c>
      <c r="M19" s="3">
        <f>VLOOKUP(L19,ESPNScores!$A$2:$B$206,2,FALSE)</f>
        <v>6</v>
      </c>
      <c r="N19" s="9" t="s">
        <v>285</v>
      </c>
      <c r="O19" s="3">
        <f>VLOOKUP(N19,ESPNScores!$A$2:$B$206,2,FALSE)</f>
        <v>-5</v>
      </c>
      <c r="P19" s="9" t="s">
        <v>61</v>
      </c>
      <c r="Q19" s="3">
        <f>VLOOKUP(P19,ESPNScores!$A$2:$B$206,2,FALSE)</f>
        <v>2</v>
      </c>
      <c r="R19" s="32" t="s">
        <v>215</v>
      </c>
      <c r="S19" s="3">
        <f>VLOOKUP(R19,ESPNScores!$A$2:$B$206,2,FALSE)</f>
        <v>50</v>
      </c>
      <c r="T19" s="9" t="s">
        <v>285</v>
      </c>
      <c r="U19" s="3">
        <f>VLOOKUP(T19,ESPNScores!$A$2:$B$206,2,FALSE)</f>
        <v>-5</v>
      </c>
    </row>
    <row r="20" spans="2:23" ht="15" x14ac:dyDescent="0.25">
      <c r="B20" s="52" t="str">
        <v>Balme</v>
      </c>
      <c r="C20" s="53">
        <v>-23</v>
      </c>
      <c r="D20" s="37"/>
      <c r="E20" s="13">
        <v>6</v>
      </c>
      <c r="F20" s="9" t="s">
        <v>40</v>
      </c>
      <c r="G20" s="3">
        <f>VLOOKUP(F20,ESPNScores!$A$2:$B$206,2,FALSE)</f>
        <v>50</v>
      </c>
      <c r="H20" s="9" t="s">
        <v>344</v>
      </c>
      <c r="I20" s="3">
        <f>VLOOKUP(H20,ESPNScores!$A$2:$B$206,2,FALSE)</f>
        <v>-10</v>
      </c>
      <c r="J20" s="9" t="s">
        <v>39</v>
      </c>
      <c r="K20" s="3">
        <f>VLOOKUP(J20,ESPNScores!$A$2:$B$206,2,FALSE)</f>
        <v>0</v>
      </c>
      <c r="L20" s="9" t="s">
        <v>39</v>
      </c>
      <c r="M20" s="3">
        <f>VLOOKUP(L20,ESPNScores!$A$2:$B$206,2,FALSE)</f>
        <v>0</v>
      </c>
      <c r="N20" s="9" t="s">
        <v>45</v>
      </c>
      <c r="O20" s="3">
        <f>VLOOKUP(N20,ESPNScores!$A$2:$B$206,2,FALSE)</f>
        <v>50</v>
      </c>
      <c r="P20" s="9" t="s">
        <v>40</v>
      </c>
      <c r="Q20" s="3">
        <f>VLOOKUP(P20,ESPNScores!$A$2:$B$206,2,FALSE)</f>
        <v>50</v>
      </c>
      <c r="R20" s="9" t="s">
        <v>40</v>
      </c>
      <c r="S20" s="3">
        <f>VLOOKUP(R20,ESPNScores!$A$2:$B$206,2,FALSE)</f>
        <v>50</v>
      </c>
      <c r="T20" s="9" t="s">
        <v>45</v>
      </c>
      <c r="U20" s="3">
        <f>VLOOKUP(T20,ESPNScores!$A$2:$B$206,2,FALSE)</f>
        <v>50</v>
      </c>
    </row>
    <row r="21" spans="2:23" ht="15" x14ac:dyDescent="0.25">
      <c r="B21" s="52" t="str">
        <v>B Hill</v>
      </c>
      <c r="C21" s="53">
        <v>-22</v>
      </c>
      <c r="D21" s="37"/>
      <c r="E21" s="13">
        <v>7</v>
      </c>
      <c r="F21" s="9" t="s">
        <v>491</v>
      </c>
      <c r="G21" s="3">
        <f>VLOOKUP(F21,ESPNScores!$A$2:$B$206,2,FALSE)</f>
        <v>50</v>
      </c>
      <c r="H21" s="9" t="s">
        <v>59</v>
      </c>
      <c r="I21" s="3">
        <f>VLOOKUP(H21,ESPNScores!$A$2:$B$206,2,FALSE)</f>
        <v>-3</v>
      </c>
      <c r="J21" s="9" t="s">
        <v>491</v>
      </c>
      <c r="K21" s="3">
        <f>VLOOKUP(J21,ESPNScores!$A$2:$B$206,2,FALSE)</f>
        <v>50</v>
      </c>
      <c r="L21" s="9" t="s">
        <v>328</v>
      </c>
      <c r="M21" s="3">
        <f>VLOOKUP(L21,ESPNScores!$A$2:$B$206,2,FALSE)</f>
        <v>50</v>
      </c>
      <c r="N21" s="9" t="s">
        <v>491</v>
      </c>
      <c r="O21" s="3">
        <f>VLOOKUP(N21,ESPNScores!$A$2:$B$206,2,FALSE)</f>
        <v>50</v>
      </c>
      <c r="P21" s="9" t="s">
        <v>491</v>
      </c>
      <c r="Q21" s="3">
        <f>VLOOKUP(P21,ESPNScores!$A$2:$B$206,2,FALSE)</f>
        <v>50</v>
      </c>
      <c r="R21" s="9" t="s">
        <v>491</v>
      </c>
      <c r="S21" s="3">
        <f>VLOOKUP(R21,ESPNScores!$A$2:$B$206,2,FALSE)</f>
        <v>50</v>
      </c>
      <c r="T21" s="9" t="s">
        <v>491</v>
      </c>
      <c r="U21" s="3">
        <f>VLOOKUP(T21,ESPNScores!$A$2:$B$206,2,FALSE)</f>
        <v>50</v>
      </c>
    </row>
    <row r="22" spans="2:23" ht="15" x14ac:dyDescent="0.25">
      <c r="B22" s="52" t="str">
        <v>Stabile</v>
      </c>
      <c r="C22" s="53">
        <v>-22</v>
      </c>
      <c r="D22" s="37"/>
      <c r="E22" s="13">
        <v>8</v>
      </c>
      <c r="F22" s="9" t="s">
        <v>32</v>
      </c>
      <c r="G22" s="3">
        <f>VLOOKUP(F22,ESPNScores!$A$2:$B$206,2,FALSE)</f>
        <v>50</v>
      </c>
      <c r="H22" s="9" t="s">
        <v>65</v>
      </c>
      <c r="I22" s="3">
        <f>VLOOKUP(H22,ESPNScores!$A$2:$B$206,2,FALSE)</f>
        <v>-5</v>
      </c>
      <c r="J22" s="9" t="s">
        <v>32</v>
      </c>
      <c r="K22" s="3">
        <f>VLOOKUP(J22,ESPNScores!$A$2:$B$206,2,FALSE)</f>
        <v>50</v>
      </c>
      <c r="L22" s="9" t="s">
        <v>60</v>
      </c>
      <c r="M22" s="3">
        <f>VLOOKUP(L22,ESPNScores!$A$2:$B$206,2,FALSE)</f>
        <v>50</v>
      </c>
      <c r="N22" s="9" t="s">
        <v>32</v>
      </c>
      <c r="O22" s="3">
        <f>VLOOKUP(N22,ESPNScores!$A$2:$B$206,2,FALSE)</f>
        <v>50</v>
      </c>
      <c r="P22" s="9" t="s">
        <v>60</v>
      </c>
      <c r="Q22" s="3">
        <f>VLOOKUP(P22,ESPNScores!$A$2:$B$206,2,FALSE)</f>
        <v>50</v>
      </c>
      <c r="R22" s="9" t="s">
        <v>60</v>
      </c>
      <c r="S22" s="3">
        <f>VLOOKUP(R22,ESPNScores!$A$2:$B$206,2,FALSE)</f>
        <v>50</v>
      </c>
      <c r="T22" s="9" t="s">
        <v>60</v>
      </c>
      <c r="U22" s="3">
        <f>VLOOKUP(T22,ESPNScores!$A$2:$B$206,2,FALSE)</f>
        <v>50</v>
      </c>
    </row>
    <row r="23" spans="2:23" ht="15" x14ac:dyDescent="0.25">
      <c r="B23" s="52" t="str">
        <v>Hempel</v>
      </c>
      <c r="C23" s="53">
        <v>-20</v>
      </c>
      <c r="D23" s="37"/>
      <c r="E23" s="13" t="s">
        <v>9</v>
      </c>
      <c r="F23" s="9" t="s">
        <v>494</v>
      </c>
      <c r="G23" s="3">
        <f>VLOOKUP(F23,ESPNScores!$A$2:$B$206,2,FALSE)</f>
        <v>-4</v>
      </c>
      <c r="H23" s="9" t="s">
        <v>494</v>
      </c>
      <c r="I23" s="3">
        <f>VLOOKUP(H23,ESPNScores!$A$2:$B$206,2,FALSE)</f>
        <v>-4</v>
      </c>
      <c r="J23" s="9" t="s">
        <v>314</v>
      </c>
      <c r="K23" s="3">
        <f>VLOOKUP(J23,ESPNScores!$A$2:$B$206,2,FALSE)</f>
        <v>-6</v>
      </c>
      <c r="L23" s="9" t="s">
        <v>395</v>
      </c>
      <c r="M23" s="3">
        <f>VLOOKUP(L23,ESPNScores!$A$2:$B$206,2,FALSE)</f>
        <v>50</v>
      </c>
      <c r="N23" s="9" t="s">
        <v>42</v>
      </c>
      <c r="O23" s="3">
        <f>VLOOKUP(N23,ESPNScores!$A$2:$B$206,2,FALSE)</f>
        <v>-9</v>
      </c>
      <c r="P23" s="9" t="s">
        <v>494</v>
      </c>
      <c r="Q23" s="3">
        <f>VLOOKUP(P23,ESPNScores!$A$2:$B$206,2,FALSE)</f>
        <v>-4</v>
      </c>
      <c r="R23" t="s">
        <v>42</v>
      </c>
      <c r="S23" s="3">
        <f>VLOOKUP(R23,ESPNScores!$A$2:$B$206,2,FALSE)</f>
        <v>-9</v>
      </c>
      <c r="T23" s="9" t="s">
        <v>42</v>
      </c>
      <c r="U23" s="3">
        <f>VLOOKUP(T23,ESPNScores!$A$2:$B$206,2,FALSE)</f>
        <v>-9</v>
      </c>
    </row>
    <row r="24" spans="2:23" ht="15" x14ac:dyDescent="0.25">
      <c r="B24" s="52" t="str">
        <v>Horvath</v>
      </c>
      <c r="C24" s="53">
        <v>-19</v>
      </c>
      <c r="D24" s="37"/>
      <c r="E24" s="13" t="s">
        <v>10</v>
      </c>
      <c r="F24" s="93" t="s">
        <v>602</v>
      </c>
      <c r="G24" s="3">
        <f>VLOOKUP(F24,ESPNScores!$A$2:$B$206,2,FALSE)</f>
        <v>-9</v>
      </c>
      <c r="H24" s="9" t="s">
        <v>29</v>
      </c>
      <c r="I24" s="3">
        <f>VLOOKUP(H24,ESPNScores!$A$2:$B$206,2,FALSE)</f>
        <v>-10</v>
      </c>
      <c r="J24" s="9" t="s">
        <v>494</v>
      </c>
      <c r="K24" s="3">
        <f>VLOOKUP(J24,ESPNScores!$A$2:$B$206,2,FALSE)</f>
        <v>-4</v>
      </c>
      <c r="L24" s="32" t="s">
        <v>50</v>
      </c>
      <c r="M24" s="3">
        <f>VLOOKUP(L24,ESPNScores!$A$2:$B$206,2,FALSE)</f>
        <v>4</v>
      </c>
      <c r="N24" s="9" t="s">
        <v>35</v>
      </c>
      <c r="O24" s="3">
        <f>VLOOKUP(N24,ESPNScores!$A$2:$B$206,2,FALSE)</f>
        <v>50</v>
      </c>
      <c r="P24" s="32" t="s">
        <v>310</v>
      </c>
      <c r="Q24" s="3">
        <f>VLOOKUP(P24,ESPNScores!$A$2:$B$206,2,FALSE)</f>
        <v>-3</v>
      </c>
      <c r="R24" s="93" t="s">
        <v>602</v>
      </c>
      <c r="S24" s="3">
        <f>VLOOKUP(R24,ESPNScores!$A$2:$B$206,2,FALSE)</f>
        <v>-9</v>
      </c>
      <c r="T24" s="9" t="s">
        <v>282</v>
      </c>
      <c r="U24" s="3">
        <f>VLOOKUP(T24,ESPNScores!$A$2:$B$206,2,FALSE)</f>
        <v>50</v>
      </c>
    </row>
    <row r="25" spans="2:23" ht="15" x14ac:dyDescent="0.25">
      <c r="B25" s="59" t="str">
        <v>L Hill</v>
      </c>
      <c r="C25" s="60">
        <v>-17</v>
      </c>
      <c r="D25" s="14"/>
      <c r="E25" s="14"/>
      <c r="F25" s="58"/>
      <c r="G25" s="58"/>
      <c r="H25" s="58"/>
      <c r="I25" s="58"/>
      <c r="J25" s="58"/>
      <c r="K25" s="58"/>
      <c r="L25" s="58"/>
      <c r="M25" s="58"/>
    </row>
    <row r="26" spans="2:23" s="7" customFormat="1" x14ac:dyDescent="0.2">
      <c r="B26" s="59" t="str">
        <v>Weiss</v>
      </c>
      <c r="C26" s="60">
        <v>-14</v>
      </c>
      <c r="D26" s="61"/>
      <c r="E26" s="12"/>
      <c r="F26" s="10" t="s">
        <v>364</v>
      </c>
      <c r="G26" s="11">
        <f>SMALL(G27:G36,1)+SMALL(G27:G36,2)+SMALL(G27:G36,3)+SMALL(G27:G36,4)+SMALL(G27:G36,5)</f>
        <v>-27</v>
      </c>
      <c r="H26" s="10" t="s">
        <v>365</v>
      </c>
      <c r="I26" s="11">
        <f>SMALL(I27:I36,1)+SMALL(I27:I36,2)+SMALL(I27:I36,3)+SMALL(I27:I36,4)+SMALL(I27:I36,5)</f>
        <v>-6</v>
      </c>
      <c r="J26" s="10" t="s">
        <v>373</v>
      </c>
      <c r="K26" s="11">
        <f>SMALL(K27:K36,1)+SMALL(K27:K36,2)+SMALL(K27:K36,3)+SMALL(K27:K36,4)+SMALL(K27:K36,5)</f>
        <v>-7</v>
      </c>
      <c r="L26" s="10" t="s">
        <v>371</v>
      </c>
      <c r="M26" s="11">
        <f>SMALL(M27:M36,1)+SMALL(M27:M36,2)+SMALL(M27:M36,3)+SMALL(M27:M36,4)+SMALL(M27:M36,5)</f>
        <v>-23</v>
      </c>
      <c r="N26" s="10" t="s">
        <v>367</v>
      </c>
      <c r="O26" s="11">
        <f>SMALL(O27:O37,1)+SMALL(O27:O37,2)+SMALL(O27:O37,3)+SMALL(O27:O37,4)+SMALL(O27:O37,5)</f>
        <v>-39</v>
      </c>
      <c r="P26" s="10" t="s">
        <v>368</v>
      </c>
      <c r="Q26" s="11">
        <f>SMALL(Q27:Q36,1)+SMALL(Q27:Q36,2)+SMALL(Q27:Q36,3)+SMALL(Q27:Q36,4)+SMALL(Q27:Q36,5)</f>
        <v>-29</v>
      </c>
      <c r="R26" s="10" t="s">
        <v>369</v>
      </c>
      <c r="S26" s="11">
        <f>SMALL(S27:S37,1)+SMALL(S27:S37,2)+SMALL(S27:S37,3)+SMALL(S27:S37,4)+SMALL(S27:S37,5)</f>
        <v>-20</v>
      </c>
      <c r="T26" s="10" t="s">
        <v>370</v>
      </c>
      <c r="U26" s="11">
        <f>SMALL(U27:U36,1)+SMALL(U27:U36,2)+SMALL(U27:U36,3)+SMALL(U27:U36,4)+SMALL(U27:U36,5)</f>
        <v>-24</v>
      </c>
      <c r="V26" s="10"/>
      <c r="W26" s="11"/>
    </row>
    <row r="27" spans="2:23" ht="15" x14ac:dyDescent="0.25">
      <c r="B27" s="59" t="str">
        <v>Isaacson</v>
      </c>
      <c r="C27" s="53">
        <v>-12</v>
      </c>
      <c r="D27" s="61"/>
      <c r="E27" s="13">
        <v>1</v>
      </c>
      <c r="F27" s="9" t="s">
        <v>26</v>
      </c>
      <c r="G27" s="3">
        <f>VLOOKUP(F27,ESPNScores!$A$2:$B$206,2,FALSE)</f>
        <v>-4</v>
      </c>
      <c r="H27" t="s">
        <v>26</v>
      </c>
      <c r="I27" s="3">
        <f>VLOOKUP(H27,ESPNScores!$A$2:$B$206,2,FALSE)</f>
        <v>-4</v>
      </c>
      <c r="J27" s="9" t="s">
        <v>392</v>
      </c>
      <c r="K27" s="3">
        <f>VLOOKUP(J27,ESPNScores!$A$2:$B$206,2,FALSE)</f>
        <v>50</v>
      </c>
      <c r="L27" s="9" t="s">
        <v>26</v>
      </c>
      <c r="M27" s="3">
        <f>VLOOKUP(L27,ESPNScores!$A$2:$B$206,2,FALSE)</f>
        <v>-4</v>
      </c>
      <c r="N27" s="9" t="s">
        <v>392</v>
      </c>
      <c r="O27" s="3">
        <f>VLOOKUP(N27,ESPNScores!$A$2:$B$206,2,FALSE)</f>
        <v>50</v>
      </c>
      <c r="P27" s="9" t="s">
        <v>26</v>
      </c>
      <c r="Q27" s="3">
        <f>VLOOKUP(P27,ESPNScores!$A$2:$B$206,2,FALSE)</f>
        <v>-4</v>
      </c>
      <c r="R27" s="9" t="s">
        <v>392</v>
      </c>
      <c r="S27" s="3">
        <f>VLOOKUP(R27,ESPNScores!$A$2:$B$206,2,FALSE)</f>
        <v>50</v>
      </c>
      <c r="T27" s="9" t="s">
        <v>26</v>
      </c>
      <c r="U27" s="3">
        <f>VLOOKUP(T27,ESPNScores!$A$2:$B$206,2,FALSE)</f>
        <v>-4</v>
      </c>
      <c r="V27" s="9"/>
    </row>
    <row r="28" spans="2:23" ht="15" x14ac:dyDescent="0.25">
      <c r="B28" s="59" t="str">
        <v>Bernau</v>
      </c>
      <c r="C28" s="53">
        <v>-10</v>
      </c>
      <c r="D28" s="14"/>
      <c r="E28" s="13">
        <v>2</v>
      </c>
      <c r="F28" s="9" t="s">
        <v>55</v>
      </c>
      <c r="G28" s="3">
        <f>VLOOKUP(F28,ESPNScores!$A$2:$B$206,2,FALSE)</f>
        <v>50</v>
      </c>
      <c r="H28" s="9" t="s">
        <v>73</v>
      </c>
      <c r="I28" s="3">
        <f>VLOOKUP(H28,ESPNScores!$A$2:$B$206,2,FALSE)</f>
        <v>50</v>
      </c>
      <c r="J28" s="9" t="s">
        <v>73</v>
      </c>
      <c r="K28" s="3">
        <f>VLOOKUP(J28,ESPNScores!$A$2:$B$206,2,FALSE)</f>
        <v>50</v>
      </c>
      <c r="L28" s="9" t="s">
        <v>73</v>
      </c>
      <c r="M28" s="3">
        <f>VLOOKUP(L28,ESPNScores!$A$2:$B$206,2,FALSE)</f>
        <v>50</v>
      </c>
      <c r="N28" s="9" t="s">
        <v>55</v>
      </c>
      <c r="O28" s="3">
        <f>VLOOKUP(N28,ESPNScores!$A$2:$B$206,2,FALSE)</f>
        <v>50</v>
      </c>
      <c r="P28" s="9" t="s">
        <v>73</v>
      </c>
      <c r="Q28" s="3">
        <f>VLOOKUP(P28,ESPNScores!$A$2:$B$206,2,FALSE)</f>
        <v>50</v>
      </c>
      <c r="R28" s="9" t="s">
        <v>55</v>
      </c>
      <c r="S28" s="3">
        <f>VLOOKUP(R28,ESPNScores!$A$2:$B$206,2,FALSE)</f>
        <v>50</v>
      </c>
      <c r="T28" s="9" t="s">
        <v>162</v>
      </c>
      <c r="U28" s="3">
        <f>VLOOKUP(T28,ESPNScores!$A$2:$B$206,2,FALSE)</f>
        <v>-2</v>
      </c>
      <c r="V28" s="9"/>
    </row>
    <row r="29" spans="2:23" ht="15" x14ac:dyDescent="0.25">
      <c r="B29" s="59" t="str">
        <v>Eliason</v>
      </c>
      <c r="C29" s="53">
        <v>-7</v>
      </c>
      <c r="D29" s="53"/>
      <c r="E29" s="13">
        <v>3</v>
      </c>
      <c r="F29" s="9" t="s">
        <v>450</v>
      </c>
      <c r="G29" s="3">
        <f>VLOOKUP(F29,ESPNScores!$A$2:$B$206,2,FALSE)</f>
        <v>50</v>
      </c>
      <c r="H29" s="9" t="s">
        <v>53</v>
      </c>
      <c r="I29" s="3">
        <f>VLOOKUP(H29,ESPNScores!$A$2:$B$206,2,FALSE)</f>
        <v>50</v>
      </c>
      <c r="J29" s="9" t="s">
        <v>53</v>
      </c>
      <c r="K29" s="3">
        <f>VLOOKUP(J29,ESPNScores!$A$2:$B$206,2,FALSE)</f>
        <v>50</v>
      </c>
      <c r="L29" s="9" t="s">
        <v>34</v>
      </c>
      <c r="M29" s="3">
        <f>VLOOKUP(L29,ESPNScores!$A$2:$B$206,2,FALSE)</f>
        <v>-3</v>
      </c>
      <c r="N29" s="9" t="s">
        <v>450</v>
      </c>
      <c r="O29" s="3">
        <f>VLOOKUP(N29,ESPNScores!$A$2:$B$206,2,FALSE)</f>
        <v>50</v>
      </c>
      <c r="P29" s="9" t="s">
        <v>31</v>
      </c>
      <c r="Q29" s="3">
        <f>VLOOKUP(P29,ESPNScores!$A$2:$B$206,2,FALSE)</f>
        <v>-6</v>
      </c>
      <c r="R29" s="9" t="s">
        <v>450</v>
      </c>
      <c r="S29" s="3">
        <f>VLOOKUP(R29,ESPNScores!$A$2:$B$206,2,FALSE)</f>
        <v>50</v>
      </c>
      <c r="T29" s="9" t="s">
        <v>34</v>
      </c>
      <c r="U29" s="3">
        <f>VLOOKUP(T29,ESPNScores!$A$2:$B$206,2,FALSE)</f>
        <v>-3</v>
      </c>
      <c r="V29" s="9"/>
    </row>
    <row r="30" spans="2:23" ht="15" x14ac:dyDescent="0.25">
      <c r="B30" s="59" t="str">
        <v>Steigmeyer</v>
      </c>
      <c r="C30" s="53">
        <v>-7</v>
      </c>
      <c r="D30" s="62"/>
      <c r="E30" s="13">
        <v>4</v>
      </c>
      <c r="F30" s="9" t="s">
        <v>51</v>
      </c>
      <c r="G30" s="3">
        <f>VLOOKUP(F30,ESPNScores!$A$2:$B$206,2,FALSE)</f>
        <v>-5</v>
      </c>
      <c r="H30" s="9" t="s">
        <v>190</v>
      </c>
      <c r="I30" s="3">
        <f>VLOOKUP(H30,ESPNScores!$A$2:$B$206,2,FALSE)</f>
        <v>-4</v>
      </c>
      <c r="J30" s="9" t="s">
        <v>190</v>
      </c>
      <c r="K30" s="3">
        <f>VLOOKUP(J30,ESPNScores!$A$2:$B$206,2,FALSE)</f>
        <v>-4</v>
      </c>
      <c r="L30" s="9" t="s">
        <v>190</v>
      </c>
      <c r="M30" s="3">
        <f>VLOOKUP(L30,ESPNScores!$A$2:$B$206,2,FALSE)</f>
        <v>-4</v>
      </c>
      <c r="N30" s="9" t="s">
        <v>54</v>
      </c>
      <c r="O30" s="3">
        <f>VLOOKUP(N30,ESPNScores!$A$2:$B$206,2,FALSE)</f>
        <v>-4</v>
      </c>
      <c r="P30" s="9" t="s">
        <v>51</v>
      </c>
      <c r="Q30" s="3">
        <f>VLOOKUP(P30,ESPNScores!$A$2:$B$206,2,FALSE)</f>
        <v>-5</v>
      </c>
      <c r="R30" s="9" t="s">
        <v>51</v>
      </c>
      <c r="S30" s="3">
        <f>VLOOKUP(R30,ESPNScores!$A$2:$B$206,2,FALSE)</f>
        <v>-5</v>
      </c>
      <c r="T30" s="9" t="s">
        <v>54</v>
      </c>
      <c r="U30" s="3">
        <f>VLOOKUP(T30,ESPNScores!$A$2:$B$206,2,FALSE)</f>
        <v>-4</v>
      </c>
      <c r="V30" s="9"/>
    </row>
    <row r="31" spans="2:23" ht="15" x14ac:dyDescent="0.25">
      <c r="B31" s="59" t="str">
        <v>Howell</v>
      </c>
      <c r="C31" s="53">
        <v>-6</v>
      </c>
      <c r="D31" s="62"/>
      <c r="E31" s="13">
        <v>5</v>
      </c>
      <c r="F31" s="9" t="s">
        <v>285</v>
      </c>
      <c r="G31" s="3">
        <f>VLOOKUP(F31,ESPNScores!$A$2:$B$206,2,FALSE)</f>
        <v>-5</v>
      </c>
      <c r="H31" s="9" t="s">
        <v>61</v>
      </c>
      <c r="I31" s="3">
        <f>VLOOKUP(H31,ESPNScores!$A$2:$B$206,2,FALSE)</f>
        <v>2</v>
      </c>
      <c r="J31" s="32" t="s">
        <v>61</v>
      </c>
      <c r="K31" s="3">
        <f>VLOOKUP(J31,ESPNScores!$A$2:$B$206,2,FALSE)</f>
        <v>2</v>
      </c>
      <c r="L31" s="32" t="s">
        <v>215</v>
      </c>
      <c r="M31" s="3">
        <f>VLOOKUP(L31,ESPNScores!$A$2:$B$206,2,FALSE)</f>
        <v>50</v>
      </c>
      <c r="N31" s="32" t="s">
        <v>285</v>
      </c>
      <c r="O31" s="3">
        <f>VLOOKUP(N31,ESPNScores!$A$2:$B$206,2,FALSE)</f>
        <v>-5</v>
      </c>
      <c r="P31" s="9" t="s">
        <v>285</v>
      </c>
      <c r="Q31" s="3">
        <f>VLOOKUP(P31,ESPNScores!$A$2:$B$206,2,FALSE)</f>
        <v>-5</v>
      </c>
      <c r="R31" s="32" t="s">
        <v>61</v>
      </c>
      <c r="S31" s="3">
        <f>VLOOKUP(R31,ESPNScores!$A$2:$B$206,2,FALSE)</f>
        <v>2</v>
      </c>
      <c r="T31" s="9" t="s">
        <v>291</v>
      </c>
      <c r="U31" s="3">
        <f>VLOOKUP(T31,ESPNScores!$A$2:$B$206,2,FALSE)</f>
        <v>50</v>
      </c>
      <c r="V31" s="32"/>
    </row>
    <row r="32" spans="2:23" ht="15" x14ac:dyDescent="0.25">
      <c r="B32" s="95" t="str">
        <v>Allen</v>
      </c>
      <c r="C32" s="64">
        <v>-2</v>
      </c>
      <c r="D32" s="92"/>
      <c r="E32" s="13">
        <v>6</v>
      </c>
      <c r="F32" s="9" t="s">
        <v>40</v>
      </c>
      <c r="G32" s="3">
        <f>VLOOKUP(F32,ESPNScores!$A$2:$B$206,2,FALSE)</f>
        <v>50</v>
      </c>
      <c r="H32" s="9" t="s">
        <v>40</v>
      </c>
      <c r="I32" s="3">
        <f>VLOOKUP(H32,ESPNScores!$A$2:$B$206,2,FALSE)</f>
        <v>50</v>
      </c>
      <c r="J32" s="9" t="s">
        <v>40</v>
      </c>
      <c r="K32" s="3">
        <f>VLOOKUP(J32,ESPNScores!$A$2:$B$206,2,FALSE)</f>
        <v>50</v>
      </c>
      <c r="L32" s="9" t="s">
        <v>40</v>
      </c>
      <c r="M32" s="3">
        <f>VLOOKUP(L32,ESPNScores!$A$2:$B$206,2,FALSE)</f>
        <v>50</v>
      </c>
      <c r="N32" s="9" t="s">
        <v>48</v>
      </c>
      <c r="O32" s="3">
        <f>VLOOKUP(N32,ESPNScores!$A$2:$B$206,2,FALSE)</f>
        <v>50</v>
      </c>
      <c r="P32" s="9" t="s">
        <v>40</v>
      </c>
      <c r="Q32" s="3">
        <f>VLOOKUP(P32,ESPNScores!$A$2:$B$206,2,FALSE)</f>
        <v>50</v>
      </c>
      <c r="R32" s="9" t="s">
        <v>40</v>
      </c>
      <c r="S32" s="3">
        <f>VLOOKUP(R32,ESPNScores!$A$2:$B$206,2,FALSE)</f>
        <v>50</v>
      </c>
      <c r="T32" s="9" t="s">
        <v>344</v>
      </c>
      <c r="U32" s="3">
        <f>VLOOKUP(T32,ESPNScores!$A$2:$B$206,2,FALSE)</f>
        <v>-10</v>
      </c>
      <c r="V32" s="9"/>
    </row>
    <row r="33" spans="2:23" ht="15" x14ac:dyDescent="0.25">
      <c r="E33" s="13">
        <v>7</v>
      </c>
      <c r="F33" s="9" t="s">
        <v>491</v>
      </c>
      <c r="G33" s="3">
        <f>VLOOKUP(F33,ESPNScores!$A$2:$B$206,2,FALSE)</f>
        <v>50</v>
      </c>
      <c r="H33" s="9" t="s">
        <v>59</v>
      </c>
      <c r="I33" s="3">
        <f>VLOOKUP(H33,ESPNScores!$A$2:$B$206,2,FALSE)</f>
        <v>-3</v>
      </c>
      <c r="J33" s="9" t="s">
        <v>59</v>
      </c>
      <c r="K33" s="3">
        <f>VLOOKUP(J33,ESPNScores!$A$2:$B$206,2,FALSE)</f>
        <v>-3</v>
      </c>
      <c r="L33" s="9" t="s">
        <v>59</v>
      </c>
      <c r="M33" s="3">
        <f>VLOOKUP(L33,ESPNScores!$A$2:$B$206,2,FALSE)</f>
        <v>-3</v>
      </c>
      <c r="N33" s="9" t="s">
        <v>491</v>
      </c>
      <c r="O33" s="3">
        <f>VLOOKUP(N33,ESPNScores!$A$2:$B$206,2,FALSE)</f>
        <v>50</v>
      </c>
      <c r="P33" s="9" t="s">
        <v>491</v>
      </c>
      <c r="Q33" s="3">
        <f>VLOOKUP(P33,ESPNScores!$A$2:$B$206,2,FALSE)</f>
        <v>50</v>
      </c>
      <c r="R33" s="9" t="s">
        <v>491</v>
      </c>
      <c r="S33" s="3">
        <f>VLOOKUP(R33,ESPNScores!$A$2:$B$206,2,FALSE)</f>
        <v>50</v>
      </c>
      <c r="T33" s="9" t="s">
        <v>491</v>
      </c>
      <c r="U33" s="3">
        <f>VLOOKUP(T33,ESPNScores!$A$2:$B$206,2,FALSE)</f>
        <v>50</v>
      </c>
      <c r="V33" s="9"/>
    </row>
    <row r="34" spans="2:23" ht="15" x14ac:dyDescent="0.25">
      <c r="B34" s="55" t="s">
        <v>398</v>
      </c>
      <c r="E34" s="13">
        <v>8</v>
      </c>
      <c r="F34" s="9" t="s">
        <v>32</v>
      </c>
      <c r="G34" s="3">
        <f>VLOOKUP(F34,ESPNScores!$A$2:$B$206,2,FALSE)</f>
        <v>50</v>
      </c>
      <c r="H34" s="9" t="s">
        <v>32</v>
      </c>
      <c r="I34" s="3">
        <f>VLOOKUP(H34,ESPNScores!$A$2:$B$206,2,FALSE)</f>
        <v>50</v>
      </c>
      <c r="J34" s="9" t="s">
        <v>60</v>
      </c>
      <c r="K34" s="3">
        <f>VLOOKUP(J34,ESPNScores!$A$2:$B$206,2,FALSE)</f>
        <v>50</v>
      </c>
      <c r="L34" s="9" t="s">
        <v>60</v>
      </c>
      <c r="M34" s="3">
        <f>VLOOKUP(L34,ESPNScores!$A$2:$B$206,2,FALSE)</f>
        <v>50</v>
      </c>
      <c r="N34" s="9" t="s">
        <v>32</v>
      </c>
      <c r="O34" s="3">
        <f>VLOOKUP(N34,ESPNScores!$A$2:$B$206,2,FALSE)</f>
        <v>50</v>
      </c>
      <c r="P34" s="9" t="s">
        <v>60</v>
      </c>
      <c r="Q34" s="3">
        <f>VLOOKUP(P34,ESPNScores!$A$2:$B$206,2,FALSE)</f>
        <v>50</v>
      </c>
      <c r="R34" s="9" t="s">
        <v>32</v>
      </c>
      <c r="S34" s="3">
        <f>VLOOKUP(R34,ESPNScores!$A$2:$B$206,2,FALSE)</f>
        <v>50</v>
      </c>
      <c r="T34" s="9" t="s">
        <v>60</v>
      </c>
      <c r="U34" s="3">
        <f>VLOOKUP(T34,ESPNScores!$A$2:$B$206,2,FALSE)</f>
        <v>50</v>
      </c>
      <c r="V34" s="9"/>
    </row>
    <row r="35" spans="2:23" ht="15" x14ac:dyDescent="0.25">
      <c r="B35" s="56" t="str">
        <f>ESPNScores!A2</f>
        <v>Rory McIlroy</v>
      </c>
      <c r="C35" s="56">
        <f>ESPNScores!B2</f>
        <v>-12</v>
      </c>
      <c r="E35" s="13" t="s">
        <v>9</v>
      </c>
      <c r="F35" s="93" t="s">
        <v>602</v>
      </c>
      <c r="G35" s="3">
        <f>VLOOKUP(F35,ESPNScores!$A$2:$B$206,2,FALSE)</f>
        <v>-9</v>
      </c>
      <c r="H35" s="9" t="s">
        <v>308</v>
      </c>
      <c r="I35" s="3">
        <f>VLOOKUP(H35,ESPNScores!$A$2:$B$206,2,FALSE)</f>
        <v>3</v>
      </c>
      <c r="J35" s="9" t="s">
        <v>314</v>
      </c>
      <c r="K35" s="3">
        <f>VLOOKUP(J35,ESPNScores!$A$2:$B$206,2,FALSE)</f>
        <v>-6</v>
      </c>
      <c r="L35" s="32" t="s">
        <v>265</v>
      </c>
      <c r="M35" s="3">
        <f>VLOOKUP(L35,ESPNScores!$A$2:$B$206,2,FALSE)</f>
        <v>6</v>
      </c>
      <c r="N35" s="9" t="s">
        <v>42</v>
      </c>
      <c r="O35" s="3">
        <f>VLOOKUP(N35,ESPNScores!$A$2:$B$206,2,FALSE)</f>
        <v>-9</v>
      </c>
      <c r="P35" s="9" t="s">
        <v>505</v>
      </c>
      <c r="Q35" s="3">
        <f>VLOOKUP(P35,ESPNScores!$A$2:$B$206,2,FALSE)</f>
        <v>50</v>
      </c>
      <c r="R35" s="9" t="s">
        <v>494</v>
      </c>
      <c r="S35" s="3">
        <f>VLOOKUP(R35,ESPNScores!$A$2:$B$206,2,FALSE)</f>
        <v>-4</v>
      </c>
      <c r="T35" s="9" t="s">
        <v>310</v>
      </c>
      <c r="U35" s="3">
        <f>VLOOKUP(T35,ESPNScores!$A$2:$B$206,2,FALSE)</f>
        <v>-3</v>
      </c>
      <c r="V35" s="9"/>
    </row>
    <row r="36" spans="2:23" ht="15" x14ac:dyDescent="0.25">
      <c r="B36" s="56" t="str">
        <f>ESPNScores!A3</f>
        <v>J.J. Spaun</v>
      </c>
      <c r="C36" s="56">
        <f>ESPNScores!B3</f>
        <v>-12</v>
      </c>
      <c r="E36" s="13" t="s">
        <v>10</v>
      </c>
      <c r="F36" s="93" t="s">
        <v>190</v>
      </c>
      <c r="G36" s="3">
        <f>VLOOKUP(F36,ESPNScores!$A$2:$B$206,2,FALSE)</f>
        <v>-4</v>
      </c>
      <c r="H36" s="9" t="s">
        <v>586</v>
      </c>
      <c r="I36" s="3">
        <f>VLOOKUP(H36,ESPNScores!$A$2:$B$206,2,FALSE)</f>
        <v>50</v>
      </c>
      <c r="J36" s="9" t="s">
        <v>50</v>
      </c>
      <c r="K36" s="3">
        <f>VLOOKUP(J36,ESPNScores!$A$2:$B$206,2,FALSE)</f>
        <v>4</v>
      </c>
      <c r="L36" s="9" t="s">
        <v>42</v>
      </c>
      <c r="M36" s="3">
        <f>VLOOKUP(L36,ESPNScores!$A$2:$B$206,2,FALSE)</f>
        <v>-9</v>
      </c>
      <c r="N36" s="9" t="s">
        <v>508</v>
      </c>
      <c r="O36" s="3">
        <f>VLOOKUP(N36,ESPNScores!$A$2:$B$206,2,FALSE)</f>
        <v>-12</v>
      </c>
      <c r="P36" s="9" t="s">
        <v>42</v>
      </c>
      <c r="Q36" s="3">
        <f>VLOOKUP(P36,ESPNScores!$A$2:$B$206,2,FALSE)</f>
        <v>-9</v>
      </c>
      <c r="R36" s="93" t="s">
        <v>602</v>
      </c>
      <c r="S36" s="3">
        <f>VLOOKUP(R36,ESPNScores!$A$2:$B$206,2,FALSE)</f>
        <v>-9</v>
      </c>
      <c r="T36" s="9" t="s">
        <v>50</v>
      </c>
      <c r="U36" s="3">
        <f>VLOOKUP(T36,ESPNScores!$A$2:$B$206,2,FALSE)</f>
        <v>4</v>
      </c>
      <c r="V36" s="9"/>
    </row>
    <row r="37" spans="2:23" ht="15" x14ac:dyDescent="0.25">
      <c r="B37" s="56" t="str">
        <f>ESPNScores!A4</f>
        <v>Tom Hoge</v>
      </c>
      <c r="C37" s="56">
        <f>ESPNScores!B4</f>
        <v>-10</v>
      </c>
      <c r="E37"/>
      <c r="G37" s="3"/>
      <c r="I37" s="3"/>
      <c r="K37" s="3"/>
      <c r="M37" s="3"/>
      <c r="N37" s="93" t="s">
        <v>602</v>
      </c>
      <c r="O37" s="3">
        <f>VLOOKUP(N37,ESPNScores!$A$2:$B$206,2,FALSE)</f>
        <v>-9</v>
      </c>
      <c r="Q37" s="3"/>
      <c r="R37" s="93" t="s">
        <v>190</v>
      </c>
      <c r="S37" s="3">
        <f>VLOOKUP(R37,ESPNScores!$A$2:$B$206,2,FALSE)</f>
        <v>-4</v>
      </c>
    </row>
    <row r="38" spans="2:23" x14ac:dyDescent="0.2">
      <c r="B38" s="56" t="str">
        <f>ESPNScores!A5</f>
        <v>Akshay Bhatia</v>
      </c>
      <c r="C38" s="56">
        <f>ESPNScores!B5</f>
        <v>-10</v>
      </c>
      <c r="E38" s="12"/>
      <c r="F38" s="10" t="s">
        <v>372</v>
      </c>
      <c r="G38" s="11">
        <f>SMALL(G39:G48,1)+SMALL(G39:G48,2)+SMALL(G39:G48,3)+SMALL(G39:G48,4)+SMALL(G39:G48,5)</f>
        <v>-14</v>
      </c>
      <c r="H38" s="10" t="s">
        <v>366</v>
      </c>
      <c r="I38" s="11">
        <f>SMALL(I39:I48,1)+SMALL(I39:I48,2)+SMALL(I39:I48,3)+SMALL(I39:I48,4)+SMALL(I39:I48,5)</f>
        <v>-7</v>
      </c>
      <c r="J38" s="10" t="s">
        <v>374</v>
      </c>
      <c r="K38" s="11">
        <f>SMALL(K39:K48,1)+SMALL(K39:K48,2)+SMALL(K39:K48,3)+SMALL(K39:K48,4)+SMALL(K39:K48,5)</f>
        <v>-22</v>
      </c>
      <c r="L38" s="10" t="s">
        <v>396</v>
      </c>
      <c r="M38" s="11">
        <f>SMALL(M39:M48,1)+SMALL(M39:M48,2)+SMALL(M39:M48,3)+SMALL(M39:M48,4)+SMALL(M39:M48,5)</f>
        <v>-29</v>
      </c>
      <c r="N38" s="10" t="s">
        <v>397</v>
      </c>
      <c r="O38" s="11">
        <f>SMALL(O39:O48,1)+SMALL(O39:O48,2)+SMALL(O39:O48,3)+SMALL(O39:O48,4)+SMALL(O39:O48,5)</f>
        <v>-12</v>
      </c>
      <c r="P38" s="10" t="s">
        <v>600</v>
      </c>
      <c r="Q38" s="11">
        <f>SMALL(Q39:Q48,1)+SMALL(Q39:Q48,2)+SMALL(Q39:Q48,3)+SMALL(Q39:Q48,4)+SMALL(Q39:Q48,5)</f>
        <v>-31</v>
      </c>
      <c r="R38" s="7"/>
      <c r="S38" s="1"/>
      <c r="T38" s="7"/>
      <c r="U38" s="1"/>
      <c r="V38" s="7"/>
      <c r="W38" s="1"/>
    </row>
    <row r="39" spans="2:23" ht="15" x14ac:dyDescent="0.25">
      <c r="B39" s="56" t="str">
        <f>ESPNScores!A6</f>
        <v>Lucas Glover</v>
      </c>
      <c r="C39" s="56">
        <f>ESPNScores!B6</f>
        <v>-10</v>
      </c>
      <c r="E39" s="13">
        <v>1</v>
      </c>
      <c r="F39" s="9" t="s">
        <v>392</v>
      </c>
      <c r="G39" s="3">
        <f>VLOOKUP(F39,ESPNScores!$A$2:$B$206,2,FALSE)</f>
        <v>50</v>
      </c>
      <c r="H39" t="s">
        <v>26</v>
      </c>
      <c r="I39" s="3">
        <f>VLOOKUP(H39,ESPNScores!$A$2:$B$206,2,FALSE)</f>
        <v>-4</v>
      </c>
      <c r="J39" s="9" t="s">
        <v>44</v>
      </c>
      <c r="K39" s="3">
        <f>VLOOKUP(J39,ESPNScores!$A$2:$B$206,2,FALSE)</f>
        <v>-7</v>
      </c>
      <c r="L39" s="9" t="s">
        <v>44</v>
      </c>
      <c r="M39" s="3">
        <f>VLOOKUP(L39,ESPNScores!$A$2:$B$206,2,FALSE)</f>
        <v>-7</v>
      </c>
      <c r="N39" s="9" t="s">
        <v>26</v>
      </c>
      <c r="O39" s="3">
        <f>VLOOKUP(N39,ESPNScores!$A$2:$B$206,2,FALSE)</f>
        <v>-4</v>
      </c>
      <c r="P39" s="9" t="s">
        <v>27</v>
      </c>
      <c r="Q39" s="3">
        <f>VLOOKUP(P39,ESPNScores!$A$2:$B$206,2,FALSE)</f>
        <v>-12</v>
      </c>
      <c r="R39" s="9"/>
      <c r="S39" s="3"/>
      <c r="V39" s="9"/>
    </row>
    <row r="40" spans="2:23" ht="15" x14ac:dyDescent="0.25">
      <c r="E40" s="13">
        <v>2</v>
      </c>
      <c r="F40" s="9" t="s">
        <v>33</v>
      </c>
      <c r="G40" s="3">
        <f>VLOOKUP(F40,ESPNScores!$A$2:$B$206,2,FALSE)</f>
        <v>-5</v>
      </c>
      <c r="H40" s="9" t="s">
        <v>73</v>
      </c>
      <c r="I40" s="3">
        <f>VLOOKUP(H40,ESPNScores!$A$2:$B$206,2,FALSE)</f>
        <v>50</v>
      </c>
      <c r="J40" s="9" t="s">
        <v>73</v>
      </c>
      <c r="K40" s="3">
        <f>VLOOKUP(J40,ESPNScores!$A$2:$B$206,2,FALSE)</f>
        <v>50</v>
      </c>
      <c r="L40" s="9" t="s">
        <v>55</v>
      </c>
      <c r="M40" s="3">
        <f>VLOOKUP(L40,ESPNScores!$A$2:$B$206,2,FALSE)</f>
        <v>50</v>
      </c>
      <c r="N40" s="9" t="s">
        <v>73</v>
      </c>
      <c r="O40" s="3">
        <f>VLOOKUP(N40,ESPNScores!$A$2:$B$206,2,FALSE)</f>
        <v>50</v>
      </c>
      <c r="P40" s="9" t="s">
        <v>55</v>
      </c>
      <c r="Q40" s="3">
        <f>VLOOKUP(P40,ESPNScores!$A$2:$B$206,2,FALSE)</f>
        <v>50</v>
      </c>
      <c r="R40" s="9"/>
      <c r="S40" s="3"/>
      <c r="V40" s="9"/>
    </row>
    <row r="41" spans="2:23" ht="15" x14ac:dyDescent="0.25">
      <c r="E41" s="13">
        <v>3</v>
      </c>
      <c r="F41" s="9" t="s">
        <v>34</v>
      </c>
      <c r="G41" s="3">
        <f>VLOOKUP(F41,ESPNScores!$A$2:$B$206,2,FALSE)</f>
        <v>-3</v>
      </c>
      <c r="H41" s="9" t="s">
        <v>450</v>
      </c>
      <c r="I41" s="3">
        <f>VLOOKUP(H41,ESPNScores!$A$2:$B$206,2,FALSE)</f>
        <v>50</v>
      </c>
      <c r="J41" s="9" t="s">
        <v>34</v>
      </c>
      <c r="K41" s="3">
        <f>VLOOKUP(J41,ESPNScores!$A$2:$B$206,2,FALSE)</f>
        <v>-3</v>
      </c>
      <c r="L41" s="9" t="s">
        <v>34</v>
      </c>
      <c r="M41" s="3">
        <f>VLOOKUP(L41,ESPNScores!$A$2:$B$206,2,FALSE)</f>
        <v>-3</v>
      </c>
      <c r="N41" s="9" t="s">
        <v>31</v>
      </c>
      <c r="O41" s="3">
        <f>VLOOKUP(N41,ESPNScores!$A$2:$B$206,2,FALSE)</f>
        <v>-6</v>
      </c>
      <c r="P41" s="9" t="s">
        <v>34</v>
      </c>
      <c r="Q41" s="3">
        <f>VLOOKUP(P41,ESPNScores!$A$2:$B$206,2,FALSE)</f>
        <v>-3</v>
      </c>
      <c r="R41" s="9"/>
      <c r="S41" s="3"/>
      <c r="V41" s="9"/>
    </row>
    <row r="42" spans="2:23" ht="15" x14ac:dyDescent="0.25">
      <c r="B42" s="55" t="s">
        <v>463</v>
      </c>
      <c r="E42" s="13">
        <v>4</v>
      </c>
      <c r="F42" s="9" t="s">
        <v>190</v>
      </c>
      <c r="G42" s="3">
        <f>VLOOKUP(F42,ESPNScores!$A$2:$B$206,2,FALSE)</f>
        <v>-4</v>
      </c>
      <c r="H42" s="9" t="s">
        <v>54</v>
      </c>
      <c r="I42" s="3">
        <f>VLOOKUP(H42,ESPNScores!$A$2:$B$206,2,FALSE)</f>
        <v>-4</v>
      </c>
      <c r="J42" s="9" t="s">
        <v>51</v>
      </c>
      <c r="K42" s="3">
        <f>VLOOKUP(J42,ESPNScores!$A$2:$B$206,2,FALSE)</f>
        <v>-5</v>
      </c>
      <c r="L42" s="9" t="s">
        <v>51</v>
      </c>
      <c r="M42" s="3">
        <f>VLOOKUP(L42,ESPNScores!$A$2:$B$206,2,FALSE)</f>
        <v>-5</v>
      </c>
      <c r="N42" s="9" t="s">
        <v>190</v>
      </c>
      <c r="O42" s="3">
        <f>VLOOKUP(N42,ESPNScores!$A$2:$B$206,2,FALSE)</f>
        <v>-4</v>
      </c>
      <c r="P42" s="9" t="s">
        <v>190</v>
      </c>
      <c r="Q42" s="3">
        <f>VLOOKUP(P42,ESPNScores!$A$2:$B$206,2,FALSE)</f>
        <v>-4</v>
      </c>
      <c r="R42" s="9"/>
      <c r="S42" s="3"/>
      <c r="V42" s="9"/>
    </row>
    <row r="43" spans="2:23" ht="15" x14ac:dyDescent="0.25">
      <c r="B43" s="57" t="s">
        <v>606</v>
      </c>
      <c r="E43" s="13">
        <v>5</v>
      </c>
      <c r="F43" s="9" t="s">
        <v>61</v>
      </c>
      <c r="G43" s="3">
        <f>VLOOKUP(F43,ESPNScores!$A$2:$B$206,2,FALSE)</f>
        <v>2</v>
      </c>
      <c r="H43" s="9" t="s">
        <v>61</v>
      </c>
      <c r="I43" s="3">
        <f>VLOOKUP(H43,ESPNScores!$A$2:$B$206,2,FALSE)</f>
        <v>2</v>
      </c>
      <c r="J43" s="32" t="s">
        <v>291</v>
      </c>
      <c r="K43" s="3">
        <f>VLOOKUP(J43,ESPNScores!$A$2:$B$206,2,FALSE)</f>
        <v>50</v>
      </c>
      <c r="L43" s="32" t="s">
        <v>38</v>
      </c>
      <c r="M43" s="3">
        <f>VLOOKUP(L43,ESPNScores!$A$2:$B$206,2,FALSE)</f>
        <v>6</v>
      </c>
      <c r="N43" s="32" t="s">
        <v>38</v>
      </c>
      <c r="O43" s="3">
        <f>VLOOKUP(N43,ESPNScores!$A$2:$B$206,2,FALSE)</f>
        <v>6</v>
      </c>
      <c r="P43" s="32" t="s">
        <v>38</v>
      </c>
      <c r="Q43" s="3">
        <f>VLOOKUP(P43,ESPNScores!$A$2:$B$206,2,FALSE)</f>
        <v>6</v>
      </c>
      <c r="R43" s="9"/>
      <c r="S43" s="3"/>
      <c r="V43" s="32"/>
    </row>
    <row r="44" spans="2:23" ht="15" x14ac:dyDescent="0.25">
      <c r="E44" s="13">
        <v>6</v>
      </c>
      <c r="F44" s="9" t="s">
        <v>48</v>
      </c>
      <c r="G44" s="3">
        <f>VLOOKUP(F44,ESPNScores!$A$2:$B$206,2,FALSE)</f>
        <v>50</v>
      </c>
      <c r="H44" s="9" t="s">
        <v>39</v>
      </c>
      <c r="I44" s="3">
        <f>VLOOKUP(H44,ESPNScores!$A$2:$B$206,2,FALSE)</f>
        <v>0</v>
      </c>
      <c r="J44" s="9" t="s">
        <v>45</v>
      </c>
      <c r="K44" s="3">
        <f>VLOOKUP(J44,ESPNScores!$A$2:$B$206,2,FALSE)</f>
        <v>50</v>
      </c>
      <c r="L44" s="9" t="s">
        <v>45</v>
      </c>
      <c r="M44" s="3">
        <f>VLOOKUP(L44,ESPNScores!$A$2:$B$206,2,FALSE)</f>
        <v>50</v>
      </c>
      <c r="N44" s="9" t="s">
        <v>45</v>
      </c>
      <c r="O44" s="3">
        <f>VLOOKUP(N44,ESPNScores!$A$2:$B$206,2,FALSE)</f>
        <v>50</v>
      </c>
      <c r="P44" s="9" t="s">
        <v>48</v>
      </c>
      <c r="Q44" s="3">
        <f>VLOOKUP(P44,ESPNScores!$A$2:$B$206,2,FALSE)</f>
        <v>50</v>
      </c>
      <c r="R44" s="9"/>
      <c r="S44" s="3"/>
      <c r="V44" s="9"/>
    </row>
    <row r="45" spans="2:23" ht="15" x14ac:dyDescent="0.25">
      <c r="E45" s="13">
        <v>7</v>
      </c>
      <c r="F45" s="9" t="s">
        <v>491</v>
      </c>
      <c r="G45" s="3">
        <f>VLOOKUP(F45,ESPNScores!$A$2:$B$206,2,FALSE)</f>
        <v>50</v>
      </c>
      <c r="H45" s="9" t="s">
        <v>328</v>
      </c>
      <c r="I45" s="3">
        <f>VLOOKUP(H45,ESPNScores!$A$2:$B$206,2,FALSE)</f>
        <v>50</v>
      </c>
      <c r="J45" s="9" t="s">
        <v>59</v>
      </c>
      <c r="K45" s="3">
        <f>VLOOKUP(J45,ESPNScores!$A$2:$B$206,2,FALSE)</f>
        <v>-3</v>
      </c>
      <c r="L45" s="70" t="s">
        <v>491</v>
      </c>
      <c r="M45" s="3">
        <f>VLOOKUP(L45,ESPNScores!$A$2:$B$206,2,FALSE)</f>
        <v>50</v>
      </c>
      <c r="N45" s="9" t="s">
        <v>491</v>
      </c>
      <c r="O45" s="3">
        <f>VLOOKUP(N45,ESPNScores!$A$2:$B$206,2,FALSE)</f>
        <v>50</v>
      </c>
      <c r="P45" s="9" t="s">
        <v>491</v>
      </c>
      <c r="Q45" s="3">
        <f>VLOOKUP(P45,ESPNScores!$A$2:$B$206,2,FALSE)</f>
        <v>50</v>
      </c>
      <c r="R45" s="9"/>
      <c r="S45" s="3"/>
      <c r="V45" s="9"/>
    </row>
    <row r="46" spans="2:23" ht="15" x14ac:dyDescent="0.25">
      <c r="E46" s="13">
        <v>8</v>
      </c>
      <c r="F46" s="70" t="s">
        <v>60</v>
      </c>
      <c r="G46" s="3">
        <f>VLOOKUP(F46,ESPNScores!$A$2:$B$206,2,FALSE)</f>
        <v>50</v>
      </c>
      <c r="H46" s="9" t="s">
        <v>60</v>
      </c>
      <c r="I46" s="3">
        <f>VLOOKUP(H46,ESPNScores!$A$2:$B$206,2,FALSE)</f>
        <v>50</v>
      </c>
      <c r="J46" s="9" t="s">
        <v>60</v>
      </c>
      <c r="K46" s="3">
        <f>VLOOKUP(J46,ESPNScores!$A$2:$B$206,2,FALSE)</f>
        <v>50</v>
      </c>
      <c r="L46" s="9" t="s">
        <v>65</v>
      </c>
      <c r="M46" s="3">
        <f>VLOOKUP(L46,ESPNScores!$A$2:$B$206,2,FALSE)</f>
        <v>-5</v>
      </c>
      <c r="N46" s="9" t="s">
        <v>60</v>
      </c>
      <c r="O46" s="3">
        <f>VLOOKUP(N46,ESPNScores!$A$2:$B$206,2,FALSE)</f>
        <v>50</v>
      </c>
      <c r="P46" s="9" t="s">
        <v>60</v>
      </c>
      <c r="Q46" s="3">
        <f>VLOOKUP(P46,ESPNScores!$A$2:$B$206,2,FALSE)</f>
        <v>50</v>
      </c>
      <c r="R46" s="9"/>
      <c r="S46" s="3"/>
    </row>
    <row r="47" spans="2:23" ht="15" x14ac:dyDescent="0.25">
      <c r="E47" s="13" t="s">
        <v>9</v>
      </c>
      <c r="F47" s="9" t="s">
        <v>69</v>
      </c>
      <c r="G47" s="3">
        <f>VLOOKUP(F47,ESPNScores!$A$2:$B$206,2,FALSE)</f>
        <v>50</v>
      </c>
      <c r="H47" s="9" t="s">
        <v>43</v>
      </c>
      <c r="I47" s="3">
        <f>VLOOKUP(H47,ESPNScores!$A$2:$B$206,2,FALSE)</f>
        <v>-1</v>
      </c>
      <c r="J47" s="9" t="s">
        <v>513</v>
      </c>
      <c r="K47" s="3">
        <f>VLOOKUP(J47,ESPNScores!$A$2:$B$206,2,FALSE)</f>
        <v>-4</v>
      </c>
      <c r="L47" s="9" t="s">
        <v>505</v>
      </c>
      <c r="M47" s="3">
        <f>VLOOKUP(L47,ESPNScores!$A$2:$B$206,2,FALSE)</f>
        <v>50</v>
      </c>
      <c r="N47" s="9" t="s">
        <v>494</v>
      </c>
      <c r="O47" s="3">
        <f>VLOOKUP(N47,ESPNScores!$A$2:$B$206,2,FALSE)</f>
        <v>-4</v>
      </c>
      <c r="P47" s="9" t="s">
        <v>310</v>
      </c>
      <c r="Q47" s="3">
        <f>VLOOKUP(P47,ESPNScores!$A$2:$B$206,2,FALSE)</f>
        <v>-3</v>
      </c>
      <c r="R47" s="31"/>
      <c r="S47" s="3"/>
      <c r="V47" s="9"/>
    </row>
    <row r="48" spans="2:23" ht="15" x14ac:dyDescent="0.25">
      <c r="E48" s="13" t="s">
        <v>10</v>
      </c>
      <c r="F48" s="9" t="s">
        <v>230</v>
      </c>
      <c r="G48" s="3">
        <f>VLOOKUP(F48,ESPNScores!$A$2:$B$206,2,FALSE)</f>
        <v>-4</v>
      </c>
      <c r="H48" s="9" t="s">
        <v>282</v>
      </c>
      <c r="I48" s="3">
        <f>VLOOKUP(H48,ESPNScores!$A$2:$B$206,2,FALSE)</f>
        <v>50</v>
      </c>
      <c r="J48" s="9" t="s">
        <v>569</v>
      </c>
      <c r="K48" s="3">
        <f>VLOOKUP(J48,ESPNScores!$A$2:$B$206,2,FALSE)</f>
        <v>50</v>
      </c>
      <c r="L48" s="9" t="s">
        <v>42</v>
      </c>
      <c r="M48" s="3">
        <f>VLOOKUP(L48,ESPNScores!$A$2:$B$206,2,FALSE)</f>
        <v>-9</v>
      </c>
      <c r="N48" s="65" t="s">
        <v>282</v>
      </c>
      <c r="O48" s="3">
        <f>VLOOKUP(N48,ESPNScores!$A$2:$B$206,2,FALSE)</f>
        <v>50</v>
      </c>
      <c r="P48" s="65" t="s">
        <v>42</v>
      </c>
      <c r="Q48" s="3">
        <f>VLOOKUP(P48,ESPNScores!$A$2:$B$206,2,FALSE)</f>
        <v>-9</v>
      </c>
      <c r="R48" s="9"/>
      <c r="S48" s="3"/>
      <c r="V48" s="9"/>
    </row>
    <row r="49" spans="5:35" x14ac:dyDescent="0.2">
      <c r="E49"/>
      <c r="G49" s="3"/>
      <c r="I49" s="3"/>
      <c r="K49" s="3"/>
      <c r="M49" s="3"/>
      <c r="O49" s="3"/>
      <c r="Q49" s="3"/>
      <c r="S49" s="3"/>
    </row>
    <row r="50" spans="5:35" x14ac:dyDescent="0.2">
      <c r="E50"/>
      <c r="F50" t="str">
        <f>F2</f>
        <v>Webster</v>
      </c>
      <c r="G50" t="str">
        <f>H2</f>
        <v>Mattson</v>
      </c>
      <c r="H50" t="str">
        <f>J2</f>
        <v>Holiday</v>
      </c>
      <c r="I50" t="str">
        <f>L2</f>
        <v>Donasky</v>
      </c>
      <c r="J50" t="str">
        <f>N2</f>
        <v>Allen</v>
      </c>
      <c r="K50" t="str">
        <f>P2</f>
        <v>L Hill</v>
      </c>
      <c r="L50" t="str">
        <f>R2</f>
        <v>Armstrong</v>
      </c>
      <c r="M50" t="str">
        <f>T2</f>
        <v>Horvath</v>
      </c>
      <c r="N50" t="str">
        <f>F14</f>
        <v>Chernick</v>
      </c>
      <c r="O50" s="19" t="str">
        <f>H14</f>
        <v>Rush</v>
      </c>
      <c r="P50" t="str">
        <f>J14</f>
        <v>Tsutsumi</v>
      </c>
      <c r="Q50" t="str">
        <f>L14</f>
        <v>Bernau</v>
      </c>
      <c r="R50" t="str">
        <f>N14</f>
        <v>Dillabaugh</v>
      </c>
      <c r="S50" t="str">
        <f>P14</f>
        <v>B Hill</v>
      </c>
      <c r="T50" t="str">
        <f>R14</f>
        <v>Fish</v>
      </c>
      <c r="U50" t="str">
        <f>T14</f>
        <v>Richard</v>
      </c>
      <c r="V50" t="str">
        <f>F26</f>
        <v>Rakusin</v>
      </c>
      <c r="W50" s="3" t="str">
        <f>H26</f>
        <v>Howell</v>
      </c>
      <c r="X50" t="str">
        <f>J26</f>
        <v>Eliason</v>
      </c>
      <c r="Y50" t="str">
        <f>L26</f>
        <v>Balme</v>
      </c>
      <c r="Z50" t="str">
        <f>N26</f>
        <v>McElroy</v>
      </c>
      <c r="AA50" t="str">
        <f>P26</f>
        <v>Hitchman</v>
      </c>
      <c r="AB50" t="str">
        <f>R26</f>
        <v>Hempel</v>
      </c>
      <c r="AC50" t="str">
        <f>T26</f>
        <v>Langer</v>
      </c>
      <c r="AD50" t="str">
        <f>F38</f>
        <v>Weiss</v>
      </c>
      <c r="AE50" s="19" t="str">
        <f>H38</f>
        <v>Steigmeyer</v>
      </c>
      <c r="AF50" t="str">
        <f>J38</f>
        <v>Stabile</v>
      </c>
      <c r="AG50" t="str">
        <f>L38</f>
        <v>Cruickshank</v>
      </c>
      <c r="AH50" t="str">
        <f>N38</f>
        <v>Isaacson</v>
      </c>
      <c r="AI50" t="s">
        <v>600</v>
      </c>
    </row>
    <row r="51" spans="5:35" x14ac:dyDescent="0.2">
      <c r="E51" t="s">
        <v>79</v>
      </c>
      <c r="F51" s="3">
        <f>G2</f>
        <v>-37</v>
      </c>
      <c r="G51" s="3">
        <f>I2</f>
        <v>-32</v>
      </c>
      <c r="H51" s="3">
        <f>K2</f>
        <v>-24</v>
      </c>
      <c r="I51" s="3">
        <f>M2</f>
        <v>-29</v>
      </c>
      <c r="J51" s="3">
        <f>O2</f>
        <v>-2</v>
      </c>
      <c r="K51" s="3">
        <f>Q2</f>
        <v>-17</v>
      </c>
      <c r="L51" s="3">
        <f>S2</f>
        <v>-26</v>
      </c>
      <c r="M51" s="3">
        <f>U2</f>
        <v>-19</v>
      </c>
      <c r="N51" s="3">
        <f>G14</f>
        <v>-26</v>
      </c>
      <c r="O51" s="3">
        <f>I14</f>
        <v>-41</v>
      </c>
      <c r="P51" s="3">
        <f>K14</f>
        <v>-29</v>
      </c>
      <c r="Q51" s="3">
        <f>M14</f>
        <v>-10</v>
      </c>
      <c r="R51" s="3">
        <f>O14</f>
        <v>-25</v>
      </c>
      <c r="S51" s="3">
        <f>Q14</f>
        <v>-22</v>
      </c>
      <c r="T51" s="3">
        <f>S14</f>
        <v>-32</v>
      </c>
      <c r="U51" s="3">
        <f>U14</f>
        <v>-26</v>
      </c>
      <c r="V51" s="3">
        <f>G26</f>
        <v>-27</v>
      </c>
      <c r="W51" s="3">
        <f>I26</f>
        <v>-6</v>
      </c>
      <c r="X51" s="3">
        <f>K26</f>
        <v>-7</v>
      </c>
      <c r="Y51" s="3">
        <f>M26</f>
        <v>-23</v>
      </c>
      <c r="Z51" s="3">
        <f>O26</f>
        <v>-39</v>
      </c>
      <c r="AA51" s="3">
        <f>Q26</f>
        <v>-29</v>
      </c>
      <c r="AB51">
        <f>S26</f>
        <v>-20</v>
      </c>
      <c r="AC51">
        <f>U26</f>
        <v>-24</v>
      </c>
      <c r="AD51">
        <f>G38</f>
        <v>-14</v>
      </c>
      <c r="AE51">
        <f>I38</f>
        <v>-7</v>
      </c>
      <c r="AF51">
        <f>K38</f>
        <v>-22</v>
      </c>
      <c r="AG51">
        <f>M38</f>
        <v>-29</v>
      </c>
      <c r="AH51">
        <f>O38</f>
        <v>-12</v>
      </c>
      <c r="AI51">
        <f>Q38</f>
        <v>-31</v>
      </c>
    </row>
    <row r="52" spans="5:35" x14ac:dyDescent="0.2">
      <c r="E52" t="s">
        <v>376</v>
      </c>
      <c r="F52" s="48">
        <v>-19</v>
      </c>
      <c r="G52" s="48">
        <v>-20</v>
      </c>
      <c r="H52" s="48">
        <v>-13</v>
      </c>
      <c r="I52" s="48">
        <v>-19</v>
      </c>
      <c r="J52" s="48">
        <v>-15</v>
      </c>
      <c r="K52" s="48">
        <v>-19</v>
      </c>
      <c r="L52" s="48">
        <v>-20</v>
      </c>
      <c r="M52" s="48">
        <v>-18</v>
      </c>
      <c r="N52" s="48">
        <v>-18</v>
      </c>
      <c r="O52" s="48">
        <v>-20</v>
      </c>
      <c r="P52" s="48">
        <v>-12</v>
      </c>
      <c r="Q52" s="48">
        <v>-17</v>
      </c>
      <c r="R52" s="48">
        <v>-16</v>
      </c>
      <c r="S52" s="48">
        <v>-21</v>
      </c>
      <c r="T52" s="48">
        <v>-19</v>
      </c>
      <c r="U52" s="48">
        <v>-16</v>
      </c>
      <c r="V52" s="48">
        <v>-18</v>
      </c>
      <c r="W52" s="48">
        <v>-13</v>
      </c>
      <c r="X52" s="48">
        <v>-18</v>
      </c>
      <c r="Y52" s="48">
        <v>-15</v>
      </c>
      <c r="Z52" s="48">
        <v>-14</v>
      </c>
      <c r="AA52" s="48">
        <v>-18</v>
      </c>
      <c r="AB52" s="47">
        <v>-16</v>
      </c>
      <c r="AC52" s="47">
        <v>-7</v>
      </c>
      <c r="AD52" s="47">
        <v>-17</v>
      </c>
      <c r="AE52" s="47">
        <v>-18</v>
      </c>
      <c r="AF52" s="47">
        <v>-14</v>
      </c>
      <c r="AG52" s="47">
        <v>-18</v>
      </c>
      <c r="AH52" s="47">
        <v>-18</v>
      </c>
      <c r="AI52">
        <v>-17</v>
      </c>
    </row>
    <row r="53" spans="5:35" x14ac:dyDescent="0.2">
      <c r="E53"/>
      <c r="F53" s="48"/>
      <c r="G53" s="48"/>
      <c r="H53" s="48"/>
      <c r="I53" s="48"/>
      <c r="J53" s="48"/>
      <c r="K53" s="48"/>
      <c r="L53" s="48"/>
      <c r="M53" s="48"/>
      <c r="N53" s="48"/>
      <c r="O53" s="48"/>
      <c r="P53" s="48"/>
      <c r="Q53" s="48"/>
      <c r="R53" s="48"/>
      <c r="S53" s="48"/>
      <c r="T53" s="48"/>
      <c r="U53" s="48"/>
      <c r="V53" s="48"/>
      <c r="W53" s="48"/>
      <c r="X53" s="48"/>
      <c r="Y53" s="48"/>
      <c r="Z53" s="48"/>
      <c r="AA53" s="48"/>
      <c r="AB53" s="47"/>
      <c r="AC53" s="47"/>
      <c r="AD53" s="47"/>
      <c r="AE53" s="47"/>
      <c r="AF53" s="47"/>
      <c r="AG53" s="47"/>
      <c r="AH53" s="47"/>
    </row>
    <row r="54" spans="5:35" x14ac:dyDescent="0.2">
      <c r="E54"/>
      <c r="F54" s="7" t="s">
        <v>25</v>
      </c>
      <c r="G54" s="20">
        <f>SMALL(G55:G62,1)+SMALL(G55:G62,2)+SMALL(G55:G62,3)+SMALL(G55:G62,4)+SMALL(G55:G62,5)</f>
        <v>-41</v>
      </c>
      <c r="I54" s="3"/>
      <c r="K54" s="3"/>
      <c r="M54" s="3"/>
      <c r="O54" s="3"/>
      <c r="Q54" s="3"/>
      <c r="S54" s="3"/>
    </row>
    <row r="55" spans="5:35" x14ac:dyDescent="0.2">
      <c r="E55"/>
      <c r="G55">
        <f>'Top 40'!B36</f>
        <v>-12</v>
      </c>
      <c r="I55"/>
      <c r="M55" s="3"/>
      <c r="O55" s="3"/>
      <c r="Q55" s="3"/>
      <c r="S55" s="3"/>
    </row>
    <row r="56" spans="5:35" x14ac:dyDescent="0.2">
      <c r="E56"/>
      <c r="G56">
        <f>'Top 40'!B37</f>
        <v>-5</v>
      </c>
      <c r="I56"/>
      <c r="M56" s="3"/>
      <c r="O56" s="3"/>
      <c r="Q56" s="3"/>
      <c r="S56" s="3"/>
    </row>
    <row r="57" spans="5:35" x14ac:dyDescent="0.2">
      <c r="G57">
        <f>'Top 40'!B38</f>
        <v>-6</v>
      </c>
      <c r="I57"/>
    </row>
    <row r="58" spans="5:35" x14ac:dyDescent="0.2">
      <c r="G58">
        <f>'Top 40'!B39</f>
        <v>-8</v>
      </c>
      <c r="I58"/>
    </row>
    <row r="59" spans="5:35" x14ac:dyDescent="0.2">
      <c r="G59">
        <f>'Top 40'!B40</f>
        <v>-5</v>
      </c>
      <c r="I59"/>
    </row>
    <row r="60" spans="5:35" x14ac:dyDescent="0.2">
      <c r="G60">
        <f>'Top 40'!B41</f>
        <v>-10</v>
      </c>
      <c r="I60"/>
    </row>
    <row r="61" spans="5:35" x14ac:dyDescent="0.2">
      <c r="G61">
        <f>'Top 40'!B42</f>
        <v>-3</v>
      </c>
      <c r="I61"/>
    </row>
    <row r="62" spans="5:35" x14ac:dyDescent="0.2">
      <c r="G62" s="22">
        <f>'Top 40'!B43</f>
        <v>-5</v>
      </c>
      <c r="I62"/>
    </row>
    <row r="63" spans="5:35" x14ac:dyDescent="0.2">
      <c r="F63" s="21"/>
      <c r="G63" s="19"/>
      <c r="I63"/>
    </row>
    <row r="64" spans="5:35" x14ac:dyDescent="0.2">
      <c r="F64" s="21"/>
      <c r="G64"/>
      <c r="I64"/>
    </row>
    <row r="65" spans="7:9" x14ac:dyDescent="0.2">
      <c r="G65"/>
      <c r="I65"/>
    </row>
    <row r="66" spans="7:9" x14ac:dyDescent="0.2">
      <c r="G66"/>
      <c r="I66"/>
    </row>
    <row r="67" spans="7:9" x14ac:dyDescent="0.2">
      <c r="G67"/>
      <c r="I67"/>
    </row>
    <row r="68" spans="7:9" x14ac:dyDescent="0.2">
      <c r="G68"/>
      <c r="I68"/>
    </row>
    <row r="69" spans="7:9" x14ac:dyDescent="0.2">
      <c r="G69"/>
      <c r="I69"/>
    </row>
    <row r="70" spans="7:9" x14ac:dyDescent="0.2">
      <c r="G70"/>
      <c r="I70"/>
    </row>
    <row r="71" spans="7:9" x14ac:dyDescent="0.2">
      <c r="G71"/>
      <c r="I71"/>
    </row>
    <row r="72" spans="7:9" x14ac:dyDescent="0.2">
      <c r="G72"/>
      <c r="I72"/>
    </row>
    <row r="73" spans="7:9" x14ac:dyDescent="0.2">
      <c r="G73"/>
      <c r="I73"/>
    </row>
    <row r="74" spans="7:9" x14ac:dyDescent="0.2">
      <c r="G74"/>
      <c r="I74"/>
    </row>
    <row r="75" spans="7:9" x14ac:dyDescent="0.2">
      <c r="G75"/>
      <c r="I75"/>
    </row>
    <row r="76" spans="7:9" x14ac:dyDescent="0.2">
      <c r="G76"/>
      <c r="I76"/>
    </row>
    <row r="77" spans="7:9" x14ac:dyDescent="0.2">
      <c r="G77"/>
      <c r="I77"/>
    </row>
    <row r="78" spans="7:9" x14ac:dyDescent="0.2">
      <c r="G78"/>
      <c r="I78"/>
    </row>
    <row r="79" spans="7:9" x14ac:dyDescent="0.2">
      <c r="G79"/>
      <c r="I79"/>
    </row>
    <row r="80" spans="7:9" x14ac:dyDescent="0.2">
      <c r="G80"/>
      <c r="I80"/>
    </row>
    <row r="81" spans="7:9" x14ac:dyDescent="0.2">
      <c r="G81"/>
      <c r="I81"/>
    </row>
    <row r="82" spans="7:9" x14ac:dyDescent="0.2">
      <c r="G82"/>
      <c r="I82"/>
    </row>
    <row r="83" spans="7:9" x14ac:dyDescent="0.2">
      <c r="G83"/>
      <c r="I83"/>
    </row>
  </sheetData>
  <conditionalFormatting sqref="F2:U2 F14:U14 F3:F12 H3:H12 J3:J12 L3:L12 N3:N12 P3:P12 R3:R12 T3:T12 F25:U26 F15:F24 H15:H24 J15:J24 L15:L24 N15:N24 P15:P24 R15:R24 T15:T24 F27:F36 T27:T36 P27:P36 L27:L36 J27:J36 H27:H36 N27:N37 T13:U13 F13:R13 R27:R37">
    <cfRule type="cellIs" dxfId="106" priority="164" operator="equal">
      <formula>50</formula>
    </cfRule>
  </conditionalFormatting>
  <conditionalFormatting sqref="F38:K38 H39:H48 J39:J48 F39:F48">
    <cfRule type="cellIs" dxfId="105" priority="163" operator="equal">
      <formula>50</formula>
    </cfRule>
  </conditionalFormatting>
  <conditionalFormatting sqref="F1:U2 F14:U14 F3:F12 H3:H12 J3:J12 L3:L12 N3:N12 P3:P12 R3:R12 T3:T12 F25:U26 F15:F24 H15:H24 J15:J24 L15:L24 N15:N24 P15:P24 R15:R24 T15:T24 F37:M37 F27:F36 T27:T36 R27:R36 P27:P36 L27:L36 J27:J36 H27:H36 H39:H48 J39:J48 N39:N48 F39:F48 L39:L48 R38:U48 F38:Q38 P39:P48 N27:N37 T13:U13 F13:R13 T37:U37 P37:R37">
    <cfRule type="expression" dxfId="104" priority="162">
      <formula>G1=50</formula>
    </cfRule>
  </conditionalFormatting>
  <conditionalFormatting sqref="L38:M38 L39:L48">
    <cfRule type="cellIs" dxfId="103" priority="161" operator="equal">
      <formula>50</formula>
    </cfRule>
  </conditionalFormatting>
  <conditionalFormatting sqref="N39:N48 N38:Q38 P39:P48">
    <cfRule type="cellIs" dxfId="102" priority="160" operator="equal">
      <formula>50</formula>
    </cfRule>
  </conditionalFormatting>
  <conditionalFormatting sqref="G3:G12">
    <cfRule type="cellIs" dxfId="101" priority="159" operator="equal">
      <formula>50</formula>
    </cfRule>
  </conditionalFormatting>
  <conditionalFormatting sqref="I3:I12">
    <cfRule type="cellIs" dxfId="100" priority="29" operator="equal">
      <formula>50</formula>
    </cfRule>
  </conditionalFormatting>
  <conditionalFormatting sqref="K3:K12">
    <cfRule type="cellIs" dxfId="99" priority="28" operator="equal">
      <formula>50</formula>
    </cfRule>
  </conditionalFormatting>
  <conditionalFormatting sqref="M3:M12">
    <cfRule type="cellIs" dxfId="98" priority="27" operator="equal">
      <formula>50</formula>
    </cfRule>
  </conditionalFormatting>
  <conditionalFormatting sqref="O3:O12">
    <cfRule type="cellIs" dxfId="97" priority="26" operator="equal">
      <formula>50</formula>
    </cfRule>
  </conditionalFormatting>
  <conditionalFormatting sqref="Q3:Q12">
    <cfRule type="cellIs" dxfId="96" priority="25" operator="equal">
      <formula>50</formula>
    </cfRule>
  </conditionalFormatting>
  <conditionalFormatting sqref="S3:S13">
    <cfRule type="cellIs" dxfId="95" priority="24" operator="equal">
      <formula>50</formula>
    </cfRule>
  </conditionalFormatting>
  <conditionalFormatting sqref="U3:U12">
    <cfRule type="cellIs" dxfId="94" priority="23" operator="equal">
      <formula>50</formula>
    </cfRule>
  </conditionalFormatting>
  <conditionalFormatting sqref="U15:U24">
    <cfRule type="cellIs" dxfId="93" priority="22" operator="equal">
      <formula>50</formula>
    </cfRule>
  </conditionalFormatting>
  <conditionalFormatting sqref="S15:S24">
    <cfRule type="cellIs" dxfId="92" priority="21" operator="equal">
      <formula>50</formula>
    </cfRule>
  </conditionalFormatting>
  <conditionalFormatting sqref="Q15:Q24">
    <cfRule type="cellIs" dxfId="91" priority="20" operator="equal">
      <formula>50</formula>
    </cfRule>
  </conditionalFormatting>
  <conditionalFormatting sqref="O15:O24">
    <cfRule type="cellIs" dxfId="90" priority="19" operator="equal">
      <formula>50</formula>
    </cfRule>
  </conditionalFormatting>
  <conditionalFormatting sqref="M15:M24">
    <cfRule type="cellIs" dxfId="89" priority="18" operator="equal">
      <formula>50</formula>
    </cfRule>
  </conditionalFormatting>
  <conditionalFormatting sqref="K15:K24">
    <cfRule type="cellIs" dxfId="88" priority="17" operator="equal">
      <formula>50</formula>
    </cfRule>
  </conditionalFormatting>
  <conditionalFormatting sqref="I15:I24">
    <cfRule type="cellIs" dxfId="87" priority="16" operator="equal">
      <formula>50</formula>
    </cfRule>
  </conditionalFormatting>
  <conditionalFormatting sqref="G15:G24">
    <cfRule type="cellIs" dxfId="86" priority="15" operator="equal">
      <formula>50</formula>
    </cfRule>
  </conditionalFormatting>
  <conditionalFormatting sqref="G27:G36">
    <cfRule type="cellIs" dxfId="85" priority="14" operator="equal">
      <formula>50</formula>
    </cfRule>
  </conditionalFormatting>
  <conditionalFormatting sqref="I27:I36">
    <cfRule type="cellIs" dxfId="84" priority="13" operator="equal">
      <formula>50</formula>
    </cfRule>
  </conditionalFormatting>
  <conditionalFormatting sqref="K27:K36">
    <cfRule type="cellIs" dxfId="83" priority="12" operator="equal">
      <formula>50</formula>
    </cfRule>
  </conditionalFormatting>
  <conditionalFormatting sqref="M27:M36">
    <cfRule type="cellIs" dxfId="82" priority="11" operator="equal">
      <formula>50</formula>
    </cfRule>
  </conditionalFormatting>
  <conditionalFormatting sqref="O27:O37">
    <cfRule type="cellIs" dxfId="81" priority="10" operator="equal">
      <formula>50</formula>
    </cfRule>
  </conditionalFormatting>
  <conditionalFormatting sqref="Q27:Q36">
    <cfRule type="cellIs" dxfId="80" priority="9" operator="equal">
      <formula>50</formula>
    </cfRule>
  </conditionalFormatting>
  <conditionalFormatting sqref="S27:S37">
    <cfRule type="cellIs" dxfId="79" priority="8" operator="equal">
      <formula>50</formula>
    </cfRule>
  </conditionalFormatting>
  <conditionalFormatting sqref="U27:U36">
    <cfRule type="cellIs" dxfId="78" priority="7" operator="equal">
      <formula>50</formula>
    </cfRule>
  </conditionalFormatting>
  <conditionalFormatting sqref="G39:G48">
    <cfRule type="cellIs" dxfId="77" priority="6" operator="equal">
      <formula>50</formula>
    </cfRule>
  </conditionalFormatting>
  <conditionalFormatting sqref="I39:I48">
    <cfRule type="cellIs" dxfId="76" priority="5" operator="equal">
      <formula>50</formula>
    </cfRule>
  </conditionalFormatting>
  <conditionalFormatting sqref="K39:K48">
    <cfRule type="cellIs" dxfId="75" priority="4" operator="equal">
      <formula>50</formula>
    </cfRule>
  </conditionalFormatting>
  <conditionalFormatting sqref="M39:M48">
    <cfRule type="cellIs" dxfId="74" priority="3" operator="equal">
      <formula>50</formula>
    </cfRule>
  </conditionalFormatting>
  <conditionalFormatting sqref="O39:O48">
    <cfRule type="cellIs" dxfId="73" priority="2" operator="equal">
      <formula>50</formula>
    </cfRule>
  </conditionalFormatting>
  <conditionalFormatting sqref="Q39:Q48">
    <cfRule type="cellIs" dxfId="72" priority="1" operator="equal">
      <formula>50</formula>
    </cfRule>
  </conditionalFormatting>
  <hyperlinks>
    <hyperlink ref="B34" r:id="rId1" xr:uid="{A99EB3DC-AEA4-4FD3-B6EF-A04254EAF48A}"/>
    <hyperlink ref="B42" r:id="rId2" xr:uid="{507FEA03-9883-4876-B97C-7AB5AA360628}"/>
  </hyperlinks>
  <pageMargins left="0.7" right="0.7" top="0.75" bottom="0.75" header="0.3" footer="0.3"/>
  <pageSetup orientation="portrait" r:id="rId3"/>
  <webPublishItems count="1">
    <webPublishItem id="10164" divId="JoeMagneticoMicro_10164" sourceType="range" sourceRef="A1:U48" destinationFile="C:\pga\html\micr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E30AC420-F31B-49D1-8B34-A85C1C539AE3}">
          <x14:formula1>
            <xm:f>'Top 40'!$C$3:$G$3</xm:f>
          </x14:formula1>
          <xm:sqref>F3 R27 H3 J3 N15 H15 R3 N27 J27 P3 P27 J15 R15 L27 L15 P15 H27 F15 F27 L3 T39 T3 N3 V27 T15 R39 L39 T27 N39 F39 V39 J39 H39 P39</xm:sqref>
        </x14:dataValidation>
        <x14:dataValidation type="list" allowBlank="1" showInputMessage="1" showErrorMessage="1" xr:uid="{79AD9C2F-7B86-4B10-878B-4E621197236E}">
          <x14:formula1>
            <xm:f>'Top 40'!$C$5:$G$5</xm:f>
          </x14:formula1>
          <xm:sqref>J17 F17 H29 J29 N29 L5 F5 H5 J5 N5 V41 F29 L29 R5 P29 R17 P17 N17 L17 H17 T5 R29 P5 T17 V29 N41 T41 L41 R41 T29 F41 H41 J41 P41</xm:sqref>
        </x14:dataValidation>
        <x14:dataValidation type="list" allowBlank="1" showInputMessage="1" showErrorMessage="1" xr:uid="{DEE9EE9A-8274-40D7-B6B4-D8932B3F3052}">
          <x14:formula1>
            <xm:f>'Top 40'!$C$6:$G$6</xm:f>
          </x14:formula1>
          <xm:sqref>F6 H6 J6 N6 L6 T42 P30 P18 R30 R6 P6 L18 R18 L30 J18 H18 F18 F30 H30 J30 N30 N18 T6 V30 T18 R42 J42 N42 V42 T30 L42 F42 H42 P42</xm:sqref>
        </x14:dataValidation>
        <x14:dataValidation type="list" allowBlank="1" showInputMessage="1" showErrorMessage="1" xr:uid="{0811DA0D-F971-4B44-891D-BD7540E75C82}">
          <x14:formula1>
            <xm:f>'Top 40'!$C$7:$G$7</xm:f>
          </x14:formula1>
          <xm:sqref>F7 H7 J7 L7 P19 P7 N31 T7 P31 N7 R7 V43 N19 L19 J19 F31 R31 F19 L31 H31 R19 H19 J31 T19 V31 L43 N43 J43 T43 T31 R43 F43 H43 P43</xm:sqref>
        </x14:dataValidation>
        <x14:dataValidation type="list" allowBlank="1" showInputMessage="1" showErrorMessage="1" xr:uid="{AA3603E9-EFA3-4171-9B2F-A38936412F72}">
          <x14:formula1>
            <xm:f>'Top 40'!$C$8:$G$8</xm:f>
          </x14:formula1>
          <xm:sqref>F8 H8 J8 L8 N8 T44 P8 R32 R8 T8 R20 P20 N20 P32 H20 L20 F20 F32 J20 L32 H32 N32 J32 V32 T20 R44 N44 T32 J44 V44 L44 F44 H44 P44</xm:sqref>
        </x14:dataValidation>
        <x14:dataValidation type="list" allowBlank="1" showInputMessage="1" showErrorMessage="1" xr:uid="{998EDAB5-DA6C-47E4-89A2-8F7058F19ABE}">
          <x14:formula1>
            <xm:f>'Top 40'!$C$9:$G$9</xm:f>
          </x14:formula1>
          <xm:sqref>F9 R9 J9 L9 N9 T45 F21 T9 R33 H9 P33 R21 P9 P21 J21 L21 N21 F33 H21 H33 L33 N33 J33 V33 T21 H45 R45 V45 J45 N45 T33 F45 P45</xm:sqref>
        </x14:dataValidation>
        <x14:dataValidation type="list" allowBlank="1" showInputMessage="1" showErrorMessage="1" xr:uid="{F93300B1-7011-4AF6-B911-9B81CD770B10}">
          <x14:formula1>
            <xm:f>'Top 40'!$C$10:$G$10</xm:f>
          </x14:formula1>
          <xm:sqref>R46 T46 H34 N46 T22 J34 L34 L46 V46 F10 H10 J10 L10 N10 P10 N34 V34 P34 R34 R10 R22 P22 N22 L22 J22 H22 F22 F34 H46 J46 P46</xm:sqref>
        </x14:dataValidation>
        <x14:dataValidation type="list" allowBlank="1" showInputMessage="1" showErrorMessage="1" xr:uid="{126AF9A2-D7AF-45F9-B9C2-6BA0B9107118}">
          <x14:formula1>
            <xm:f>'Top 40'!$C$4:$G$4</xm:f>
          </x14:formula1>
          <xm:sqref>F4 H4 J4 P16 N4 P4 L4 N16 V40 P28 R4 R28 R16 H16 L16 T4 J16 F28 H28 N28 L28 J28 F16 T16 V28 N40 T28 T40 L40 R40 J40 F40 H40 P40</xm:sqref>
        </x14:dataValidation>
        <x14:dataValidation type="list" allowBlank="1" showInputMessage="1" showErrorMessage="1" xr:uid="{B1321A76-6E79-4E87-8FAD-CD035CE44441}">
          <x14:formula1>
            <xm:f>ESPNField!$A$2:$A$190</xm:f>
          </x14:formula1>
          <xm:sqref>F23:F24 N47:N48 R11:R13 T34:T36 L11:L12 L47:L48 L45 R47:R48 T47:T48 V47:V48 V35:V36 F46:F48 N35:N37 P23:P24 J35:J36 H35:H36 F35:F36 J11:J12 H23:H24 J23:J24 H11:H12 N23:N24 L23:L24 R23:R24 T10:T12 R35:R37 P35:P36 F11:F12 L35:L36 P11:P12 N11:N12 J47:J48 H47:H48 T23:T24 P47:P48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04A8B-0C56-4223-9F92-CDB548AF16ED}">
  <sheetPr codeName="Sheet10"/>
  <dimension ref="A1:B146"/>
  <sheetViews>
    <sheetView topLeftCell="A44" workbookViewId="0">
      <selection activeCell="A69" sqref="A1:B146"/>
    </sheetView>
  </sheetViews>
  <sheetFormatPr defaultRowHeight="12.75" x14ac:dyDescent="0.2"/>
  <cols>
    <col min="1" max="1" width="21.5703125" bestFit="1" customWidth="1"/>
    <col min="2" max="2" width="9.7109375" bestFit="1" customWidth="1"/>
  </cols>
  <sheetData>
    <row r="1" spans="1:2" x14ac:dyDescent="0.2">
      <c r="A1" t="s">
        <v>476</v>
      </c>
      <c r="B1" t="s">
        <v>477</v>
      </c>
    </row>
    <row r="2" spans="1:2" x14ac:dyDescent="0.2">
      <c r="A2" t="s">
        <v>27</v>
      </c>
      <c r="B2">
        <v>-12</v>
      </c>
    </row>
    <row r="3" spans="1:2" x14ac:dyDescent="0.2">
      <c r="A3" t="s">
        <v>508</v>
      </c>
      <c r="B3">
        <v>-12</v>
      </c>
    </row>
    <row r="4" spans="1:2" x14ac:dyDescent="0.2">
      <c r="A4" t="s">
        <v>67</v>
      </c>
      <c r="B4">
        <v>-10</v>
      </c>
    </row>
    <row r="5" spans="1:2" x14ac:dyDescent="0.2">
      <c r="A5" t="s">
        <v>344</v>
      </c>
      <c r="B5">
        <v>-10</v>
      </c>
    </row>
    <row r="6" spans="1:2" x14ac:dyDescent="0.2">
      <c r="A6" t="s">
        <v>29</v>
      </c>
      <c r="B6">
        <v>-10</v>
      </c>
    </row>
    <row r="7" spans="1:2" x14ac:dyDescent="0.2">
      <c r="A7" t="s">
        <v>602</v>
      </c>
      <c r="B7">
        <v>-9</v>
      </c>
    </row>
    <row r="8" spans="1:2" x14ac:dyDescent="0.2">
      <c r="A8" t="s">
        <v>42</v>
      </c>
      <c r="B8">
        <v>-9</v>
      </c>
    </row>
    <row r="9" spans="1:2" x14ac:dyDescent="0.2">
      <c r="A9" t="s">
        <v>574</v>
      </c>
      <c r="B9">
        <v>-9</v>
      </c>
    </row>
    <row r="10" spans="1:2" x14ac:dyDescent="0.2">
      <c r="A10" t="s">
        <v>298</v>
      </c>
      <c r="B10">
        <v>-8</v>
      </c>
    </row>
    <row r="11" spans="1:2" x14ac:dyDescent="0.2">
      <c r="A11" t="s">
        <v>44</v>
      </c>
      <c r="B11">
        <v>-7</v>
      </c>
    </row>
    <row r="12" spans="1:2" x14ac:dyDescent="0.2">
      <c r="A12" t="s">
        <v>459</v>
      </c>
      <c r="B12">
        <v>-7</v>
      </c>
    </row>
    <row r="13" spans="1:2" x14ac:dyDescent="0.2">
      <c r="A13" t="s">
        <v>31</v>
      </c>
      <c r="B13">
        <v>-6</v>
      </c>
    </row>
    <row r="14" spans="1:2" x14ac:dyDescent="0.2">
      <c r="A14" t="s">
        <v>314</v>
      </c>
      <c r="B14">
        <v>-6</v>
      </c>
    </row>
    <row r="15" spans="1:2" x14ac:dyDescent="0.2">
      <c r="A15" t="s">
        <v>285</v>
      </c>
      <c r="B15">
        <v>-5</v>
      </c>
    </row>
    <row r="16" spans="1:2" x14ac:dyDescent="0.2">
      <c r="A16" t="s">
        <v>65</v>
      </c>
      <c r="B16">
        <v>-5</v>
      </c>
    </row>
    <row r="17" spans="1:2" x14ac:dyDescent="0.2">
      <c r="A17" t="s">
        <v>33</v>
      </c>
      <c r="B17">
        <v>-5</v>
      </c>
    </row>
    <row r="18" spans="1:2" x14ac:dyDescent="0.2">
      <c r="A18" t="s">
        <v>591</v>
      </c>
      <c r="B18">
        <v>-5</v>
      </c>
    </row>
    <row r="19" spans="1:2" x14ac:dyDescent="0.2">
      <c r="A19" t="s">
        <v>51</v>
      </c>
      <c r="B19">
        <v>-5</v>
      </c>
    </row>
    <row r="20" spans="1:2" x14ac:dyDescent="0.2">
      <c r="A20" t="s">
        <v>407</v>
      </c>
      <c r="B20">
        <v>-5</v>
      </c>
    </row>
    <row r="21" spans="1:2" x14ac:dyDescent="0.2">
      <c r="A21" t="s">
        <v>190</v>
      </c>
      <c r="B21">
        <v>-4</v>
      </c>
    </row>
    <row r="22" spans="1:2" x14ac:dyDescent="0.2">
      <c r="A22" t="s">
        <v>222</v>
      </c>
      <c r="B22">
        <v>-4</v>
      </c>
    </row>
    <row r="23" spans="1:2" x14ac:dyDescent="0.2">
      <c r="A23" t="s">
        <v>54</v>
      </c>
      <c r="B23">
        <v>-4</v>
      </c>
    </row>
    <row r="24" spans="1:2" x14ac:dyDescent="0.2">
      <c r="A24" t="s">
        <v>513</v>
      </c>
      <c r="B24">
        <v>-4</v>
      </c>
    </row>
    <row r="25" spans="1:2" x14ac:dyDescent="0.2">
      <c r="A25" t="s">
        <v>510</v>
      </c>
      <c r="B25">
        <v>-4</v>
      </c>
    </row>
    <row r="26" spans="1:2" x14ac:dyDescent="0.2">
      <c r="A26" t="s">
        <v>494</v>
      </c>
      <c r="B26">
        <v>-4</v>
      </c>
    </row>
    <row r="27" spans="1:2" x14ac:dyDescent="0.2">
      <c r="A27" t="s">
        <v>26</v>
      </c>
      <c r="B27">
        <v>-4</v>
      </c>
    </row>
    <row r="28" spans="1:2" x14ac:dyDescent="0.2">
      <c r="A28" t="s">
        <v>230</v>
      </c>
      <c r="B28">
        <v>-4</v>
      </c>
    </row>
    <row r="29" spans="1:2" x14ac:dyDescent="0.2">
      <c r="A29" t="s">
        <v>534</v>
      </c>
      <c r="B29">
        <v>-4</v>
      </c>
    </row>
    <row r="30" spans="1:2" x14ac:dyDescent="0.2">
      <c r="A30" t="s">
        <v>323</v>
      </c>
      <c r="B30">
        <v>-4</v>
      </c>
    </row>
    <row r="31" spans="1:2" x14ac:dyDescent="0.2">
      <c r="A31" t="s">
        <v>34</v>
      </c>
      <c r="B31">
        <v>-3</v>
      </c>
    </row>
    <row r="32" spans="1:2" x14ac:dyDescent="0.2">
      <c r="A32" t="s">
        <v>59</v>
      </c>
      <c r="B32">
        <v>-3</v>
      </c>
    </row>
    <row r="33" spans="1:2" x14ac:dyDescent="0.2">
      <c r="A33" t="s">
        <v>310</v>
      </c>
      <c r="B33">
        <v>-3</v>
      </c>
    </row>
    <row r="34" spans="1:2" x14ac:dyDescent="0.2">
      <c r="A34" t="s">
        <v>575</v>
      </c>
      <c r="B34">
        <v>-2</v>
      </c>
    </row>
    <row r="35" spans="1:2" x14ac:dyDescent="0.2">
      <c r="A35" t="s">
        <v>72</v>
      </c>
      <c r="B35">
        <v>-2</v>
      </c>
    </row>
    <row r="36" spans="1:2" x14ac:dyDescent="0.2">
      <c r="A36" t="s">
        <v>162</v>
      </c>
      <c r="B36">
        <v>-2</v>
      </c>
    </row>
    <row r="37" spans="1:2" x14ac:dyDescent="0.2">
      <c r="A37" t="s">
        <v>41</v>
      </c>
      <c r="B37">
        <v>-2</v>
      </c>
    </row>
    <row r="38" spans="1:2" x14ac:dyDescent="0.2">
      <c r="A38" t="s">
        <v>62</v>
      </c>
      <c r="B38">
        <v>-2</v>
      </c>
    </row>
    <row r="39" spans="1:2" x14ac:dyDescent="0.2">
      <c r="A39" t="s">
        <v>43</v>
      </c>
      <c r="B39">
        <v>-1</v>
      </c>
    </row>
    <row r="40" spans="1:2" x14ac:dyDescent="0.2">
      <c r="A40" t="s">
        <v>538</v>
      </c>
      <c r="B40">
        <v>-1</v>
      </c>
    </row>
    <row r="41" spans="1:2" x14ac:dyDescent="0.2">
      <c r="A41" t="s">
        <v>470</v>
      </c>
      <c r="B41">
        <v>-1</v>
      </c>
    </row>
    <row r="42" spans="1:2" x14ac:dyDescent="0.2">
      <c r="A42" t="s">
        <v>338</v>
      </c>
      <c r="B42">
        <v>-1</v>
      </c>
    </row>
    <row r="43" spans="1:2" x14ac:dyDescent="0.2">
      <c r="A43" t="s">
        <v>578</v>
      </c>
      <c r="B43">
        <v>0</v>
      </c>
    </row>
    <row r="44" spans="1:2" x14ac:dyDescent="0.2">
      <c r="A44" t="s">
        <v>588</v>
      </c>
      <c r="B44">
        <v>0</v>
      </c>
    </row>
    <row r="45" spans="1:2" x14ac:dyDescent="0.2">
      <c r="A45" t="s">
        <v>225</v>
      </c>
      <c r="B45">
        <v>0</v>
      </c>
    </row>
    <row r="46" spans="1:2" x14ac:dyDescent="0.2">
      <c r="A46" t="s">
        <v>446</v>
      </c>
      <c r="B46">
        <v>0</v>
      </c>
    </row>
    <row r="47" spans="1:2" x14ac:dyDescent="0.2">
      <c r="A47" t="s">
        <v>594</v>
      </c>
      <c r="B47">
        <v>0</v>
      </c>
    </row>
    <row r="48" spans="1:2" x14ac:dyDescent="0.2">
      <c r="A48" t="s">
        <v>39</v>
      </c>
      <c r="B48">
        <v>0</v>
      </c>
    </row>
    <row r="49" spans="1:2" x14ac:dyDescent="0.2">
      <c r="A49" t="s">
        <v>58</v>
      </c>
      <c r="B49">
        <v>0</v>
      </c>
    </row>
    <row r="50" spans="1:2" x14ac:dyDescent="0.2">
      <c r="A50" t="s">
        <v>599</v>
      </c>
      <c r="B50">
        <v>0</v>
      </c>
    </row>
    <row r="51" spans="1:2" x14ac:dyDescent="0.2">
      <c r="A51" t="s">
        <v>326</v>
      </c>
      <c r="B51">
        <v>1</v>
      </c>
    </row>
    <row r="52" spans="1:2" x14ac:dyDescent="0.2">
      <c r="A52" t="s">
        <v>584</v>
      </c>
      <c r="B52">
        <v>1</v>
      </c>
    </row>
    <row r="53" spans="1:2" x14ac:dyDescent="0.2">
      <c r="A53" t="s">
        <v>63</v>
      </c>
      <c r="B53">
        <v>2</v>
      </c>
    </row>
    <row r="54" spans="1:2" x14ac:dyDescent="0.2">
      <c r="A54" t="s">
        <v>61</v>
      </c>
      <c r="B54">
        <v>2</v>
      </c>
    </row>
    <row r="55" spans="1:2" x14ac:dyDescent="0.2">
      <c r="A55" t="s">
        <v>308</v>
      </c>
      <c r="B55">
        <v>3</v>
      </c>
    </row>
    <row r="56" spans="1:2" x14ac:dyDescent="0.2">
      <c r="A56" t="s">
        <v>589</v>
      </c>
      <c r="B56">
        <v>3</v>
      </c>
    </row>
    <row r="57" spans="1:2" x14ac:dyDescent="0.2">
      <c r="A57" t="s">
        <v>437</v>
      </c>
      <c r="B57">
        <v>3</v>
      </c>
    </row>
    <row r="58" spans="1:2" x14ac:dyDescent="0.2">
      <c r="A58" t="s">
        <v>346</v>
      </c>
      <c r="B58">
        <v>3</v>
      </c>
    </row>
    <row r="59" spans="1:2" x14ac:dyDescent="0.2">
      <c r="A59" t="s">
        <v>565</v>
      </c>
      <c r="B59">
        <v>3</v>
      </c>
    </row>
    <row r="60" spans="1:2" x14ac:dyDescent="0.2">
      <c r="A60" t="s">
        <v>50</v>
      </c>
      <c r="B60">
        <v>4</v>
      </c>
    </row>
    <row r="61" spans="1:2" x14ac:dyDescent="0.2">
      <c r="A61" t="s">
        <v>516</v>
      </c>
      <c r="B61">
        <v>5</v>
      </c>
    </row>
    <row r="62" spans="1:2" x14ac:dyDescent="0.2">
      <c r="A62" t="s">
        <v>592</v>
      </c>
      <c r="B62">
        <v>6</v>
      </c>
    </row>
    <row r="63" spans="1:2" x14ac:dyDescent="0.2">
      <c r="A63" t="s">
        <v>64</v>
      </c>
      <c r="B63">
        <v>6</v>
      </c>
    </row>
    <row r="64" spans="1:2" x14ac:dyDescent="0.2">
      <c r="A64" t="s">
        <v>38</v>
      </c>
      <c r="B64">
        <v>6</v>
      </c>
    </row>
    <row r="65" spans="1:2" x14ac:dyDescent="0.2">
      <c r="A65" t="s">
        <v>581</v>
      </c>
      <c r="B65">
        <v>6</v>
      </c>
    </row>
    <row r="66" spans="1:2" x14ac:dyDescent="0.2">
      <c r="A66" t="s">
        <v>475</v>
      </c>
      <c r="B66">
        <v>6</v>
      </c>
    </row>
    <row r="67" spans="1:2" x14ac:dyDescent="0.2">
      <c r="A67" t="s">
        <v>265</v>
      </c>
      <c r="B67">
        <v>6</v>
      </c>
    </row>
    <row r="68" spans="1:2" x14ac:dyDescent="0.2">
      <c r="A68" t="s">
        <v>49</v>
      </c>
      <c r="B68">
        <v>7</v>
      </c>
    </row>
    <row r="69" spans="1:2" x14ac:dyDescent="0.2">
      <c r="A69" t="s">
        <v>579</v>
      </c>
      <c r="B69">
        <v>8</v>
      </c>
    </row>
    <row r="70" spans="1:2" x14ac:dyDescent="0.2">
      <c r="A70" t="s">
        <v>583</v>
      </c>
      <c r="B70">
        <v>9</v>
      </c>
    </row>
    <row r="71" spans="1:2" x14ac:dyDescent="0.2">
      <c r="A71" t="s">
        <v>455</v>
      </c>
      <c r="B71">
        <v>9</v>
      </c>
    </row>
    <row r="72" spans="1:2" x14ac:dyDescent="0.2">
      <c r="A72" t="s">
        <v>37</v>
      </c>
      <c r="B72">
        <v>12</v>
      </c>
    </row>
    <row r="73" spans="1:2" x14ac:dyDescent="0.2">
      <c r="A73" t="s">
        <v>36</v>
      </c>
      <c r="B73">
        <v>13</v>
      </c>
    </row>
    <row r="75" spans="1:2" x14ac:dyDescent="0.2">
      <c r="A75" t="s">
        <v>561</v>
      </c>
      <c r="B75">
        <v>50</v>
      </c>
    </row>
    <row r="76" spans="1:2" x14ac:dyDescent="0.2">
      <c r="A76" t="s">
        <v>505</v>
      </c>
      <c r="B76">
        <v>50</v>
      </c>
    </row>
    <row r="77" spans="1:2" x14ac:dyDescent="0.2">
      <c r="A77" t="s">
        <v>73</v>
      </c>
      <c r="B77">
        <v>50</v>
      </c>
    </row>
    <row r="78" spans="1:2" x14ac:dyDescent="0.2">
      <c r="A78" t="s">
        <v>582</v>
      </c>
      <c r="B78">
        <v>50</v>
      </c>
    </row>
    <row r="79" spans="1:2" x14ac:dyDescent="0.2">
      <c r="A79" t="s">
        <v>389</v>
      </c>
      <c r="B79">
        <v>50</v>
      </c>
    </row>
    <row r="80" spans="1:2" x14ac:dyDescent="0.2">
      <c r="A80" t="s">
        <v>60</v>
      </c>
      <c r="B80">
        <v>50</v>
      </c>
    </row>
    <row r="81" spans="1:2" x14ac:dyDescent="0.2">
      <c r="A81" t="s">
        <v>601</v>
      </c>
      <c r="B81">
        <v>50</v>
      </c>
    </row>
    <row r="82" spans="1:2" x14ac:dyDescent="0.2">
      <c r="A82" t="s">
        <v>408</v>
      </c>
      <c r="B82">
        <v>50</v>
      </c>
    </row>
    <row r="83" spans="1:2" x14ac:dyDescent="0.2">
      <c r="A83" t="s">
        <v>497</v>
      </c>
      <c r="B83">
        <v>50</v>
      </c>
    </row>
    <row r="84" spans="1:2" x14ac:dyDescent="0.2">
      <c r="A84" t="s">
        <v>590</v>
      </c>
      <c r="B84">
        <v>50</v>
      </c>
    </row>
    <row r="85" spans="1:2" x14ac:dyDescent="0.2">
      <c r="A85" t="s">
        <v>552</v>
      </c>
      <c r="B85">
        <v>50</v>
      </c>
    </row>
    <row r="86" spans="1:2" x14ac:dyDescent="0.2">
      <c r="A86" t="s">
        <v>569</v>
      </c>
      <c r="B86">
        <v>50</v>
      </c>
    </row>
    <row r="87" spans="1:2" x14ac:dyDescent="0.2">
      <c r="A87" t="s">
        <v>572</v>
      </c>
      <c r="B87">
        <v>50</v>
      </c>
    </row>
    <row r="88" spans="1:2" x14ac:dyDescent="0.2">
      <c r="A88" t="s">
        <v>580</v>
      </c>
      <c r="B88">
        <v>50</v>
      </c>
    </row>
    <row r="89" spans="1:2" x14ac:dyDescent="0.2">
      <c r="A89" t="s">
        <v>48</v>
      </c>
      <c r="B89">
        <v>50</v>
      </c>
    </row>
    <row r="90" spans="1:2" x14ac:dyDescent="0.2">
      <c r="A90" t="s">
        <v>563</v>
      </c>
      <c r="B90">
        <v>50</v>
      </c>
    </row>
    <row r="91" spans="1:2" x14ac:dyDescent="0.2">
      <c r="A91" t="s">
        <v>260</v>
      </c>
      <c r="B91">
        <v>50</v>
      </c>
    </row>
    <row r="92" spans="1:2" x14ac:dyDescent="0.2">
      <c r="A92" t="s">
        <v>46</v>
      </c>
      <c r="B92">
        <v>50</v>
      </c>
    </row>
    <row r="93" spans="1:2" x14ac:dyDescent="0.2">
      <c r="A93" t="s">
        <v>318</v>
      </c>
      <c r="B93">
        <v>50</v>
      </c>
    </row>
    <row r="94" spans="1:2" x14ac:dyDescent="0.2">
      <c r="A94" t="s">
        <v>240</v>
      </c>
      <c r="B94">
        <v>50</v>
      </c>
    </row>
    <row r="95" spans="1:2" x14ac:dyDescent="0.2">
      <c r="A95" t="s">
        <v>341</v>
      </c>
      <c r="B95">
        <v>50</v>
      </c>
    </row>
    <row r="96" spans="1:2" x14ac:dyDescent="0.2">
      <c r="A96" t="s">
        <v>573</v>
      </c>
      <c r="B96">
        <v>50</v>
      </c>
    </row>
    <row r="97" spans="1:2" x14ac:dyDescent="0.2">
      <c r="A97" t="s">
        <v>391</v>
      </c>
      <c r="B97">
        <v>50</v>
      </c>
    </row>
    <row r="98" spans="1:2" x14ac:dyDescent="0.2">
      <c r="A98" t="s">
        <v>577</v>
      </c>
      <c r="B98">
        <v>50</v>
      </c>
    </row>
    <row r="99" spans="1:2" x14ac:dyDescent="0.2">
      <c r="A99" t="s">
        <v>215</v>
      </c>
      <c r="B99">
        <v>50</v>
      </c>
    </row>
    <row r="100" spans="1:2" x14ac:dyDescent="0.2">
      <c r="A100" t="s">
        <v>567</v>
      </c>
      <c r="B100">
        <v>50</v>
      </c>
    </row>
    <row r="101" spans="1:2" x14ac:dyDescent="0.2">
      <c r="A101" t="s">
        <v>45</v>
      </c>
      <c r="B101">
        <v>50</v>
      </c>
    </row>
    <row r="102" spans="1:2" x14ac:dyDescent="0.2">
      <c r="A102" t="s">
        <v>453</v>
      </c>
      <c r="B102">
        <v>50</v>
      </c>
    </row>
    <row r="103" spans="1:2" x14ac:dyDescent="0.2">
      <c r="A103" t="s">
        <v>394</v>
      </c>
      <c r="B103">
        <v>50</v>
      </c>
    </row>
    <row r="104" spans="1:2" x14ac:dyDescent="0.2">
      <c r="A104" t="s">
        <v>570</v>
      </c>
      <c r="B104">
        <v>50</v>
      </c>
    </row>
    <row r="105" spans="1:2" x14ac:dyDescent="0.2">
      <c r="A105" t="s">
        <v>334</v>
      </c>
      <c r="B105">
        <v>50</v>
      </c>
    </row>
    <row r="106" spans="1:2" x14ac:dyDescent="0.2">
      <c r="A106" t="s">
        <v>564</v>
      </c>
      <c r="B106">
        <v>50</v>
      </c>
    </row>
    <row r="107" spans="1:2" x14ac:dyDescent="0.2">
      <c r="A107" t="s">
        <v>392</v>
      </c>
      <c r="B107">
        <v>50</v>
      </c>
    </row>
    <row r="108" spans="1:2" x14ac:dyDescent="0.2">
      <c r="A108" t="s">
        <v>71</v>
      </c>
      <c r="B108">
        <v>50</v>
      </c>
    </row>
    <row r="109" spans="1:2" x14ac:dyDescent="0.2">
      <c r="A109" t="s">
        <v>291</v>
      </c>
      <c r="B109">
        <v>50</v>
      </c>
    </row>
    <row r="110" spans="1:2" x14ac:dyDescent="0.2">
      <c r="A110" t="s">
        <v>597</v>
      </c>
      <c r="B110">
        <v>50</v>
      </c>
    </row>
    <row r="111" spans="1:2" x14ac:dyDescent="0.2">
      <c r="A111" t="s">
        <v>598</v>
      </c>
      <c r="B111">
        <v>50</v>
      </c>
    </row>
    <row r="112" spans="1:2" x14ac:dyDescent="0.2">
      <c r="A112" t="s">
        <v>562</v>
      </c>
      <c r="B112">
        <v>50</v>
      </c>
    </row>
    <row r="113" spans="1:2" x14ac:dyDescent="0.2">
      <c r="A113" t="s">
        <v>526</v>
      </c>
      <c r="B113">
        <v>50</v>
      </c>
    </row>
    <row r="114" spans="1:2" x14ac:dyDescent="0.2">
      <c r="A114" t="s">
        <v>571</v>
      </c>
      <c r="B114">
        <v>50</v>
      </c>
    </row>
    <row r="115" spans="1:2" x14ac:dyDescent="0.2">
      <c r="A115" t="s">
        <v>593</v>
      </c>
      <c r="B115">
        <v>50</v>
      </c>
    </row>
    <row r="116" spans="1:2" x14ac:dyDescent="0.2">
      <c r="A116" t="s">
        <v>282</v>
      </c>
      <c r="B116">
        <v>50</v>
      </c>
    </row>
    <row r="117" spans="1:2" x14ac:dyDescent="0.2">
      <c r="A117" t="s">
        <v>586</v>
      </c>
      <c r="B117">
        <v>50</v>
      </c>
    </row>
    <row r="118" spans="1:2" x14ac:dyDescent="0.2">
      <c r="A118" t="s">
        <v>53</v>
      </c>
      <c r="B118">
        <v>50</v>
      </c>
    </row>
    <row r="119" spans="1:2" x14ac:dyDescent="0.2">
      <c r="A119" t="s">
        <v>69</v>
      </c>
      <c r="B119">
        <v>50</v>
      </c>
    </row>
    <row r="120" spans="1:2" x14ac:dyDescent="0.2">
      <c r="A120" t="s">
        <v>419</v>
      </c>
      <c r="B120">
        <v>50</v>
      </c>
    </row>
    <row r="121" spans="1:2" x14ac:dyDescent="0.2">
      <c r="A121" t="s">
        <v>332</v>
      </c>
      <c r="B121">
        <v>50</v>
      </c>
    </row>
    <row r="122" spans="1:2" x14ac:dyDescent="0.2">
      <c r="A122" t="s">
        <v>68</v>
      </c>
      <c r="B122">
        <v>50</v>
      </c>
    </row>
    <row r="123" spans="1:2" x14ac:dyDescent="0.2">
      <c r="A123" t="s">
        <v>585</v>
      </c>
      <c r="B123">
        <v>50</v>
      </c>
    </row>
    <row r="124" spans="1:2" x14ac:dyDescent="0.2">
      <c r="A124" t="s">
        <v>404</v>
      </c>
      <c r="B124">
        <v>50</v>
      </c>
    </row>
    <row r="125" spans="1:2" x14ac:dyDescent="0.2">
      <c r="A125" t="s">
        <v>445</v>
      </c>
      <c r="B125">
        <v>50</v>
      </c>
    </row>
    <row r="126" spans="1:2" x14ac:dyDescent="0.2">
      <c r="A126" t="s">
        <v>320</v>
      </c>
      <c r="B126">
        <v>50</v>
      </c>
    </row>
    <row r="127" spans="1:2" x14ac:dyDescent="0.2">
      <c r="A127" t="s">
        <v>30</v>
      </c>
      <c r="B127">
        <v>50</v>
      </c>
    </row>
    <row r="128" spans="1:2" x14ac:dyDescent="0.2">
      <c r="A128" t="s">
        <v>35</v>
      </c>
      <c r="B128">
        <v>50</v>
      </c>
    </row>
    <row r="129" spans="1:2" x14ac:dyDescent="0.2">
      <c r="A129" t="s">
        <v>596</v>
      </c>
      <c r="B129">
        <v>50</v>
      </c>
    </row>
    <row r="130" spans="1:2" x14ac:dyDescent="0.2">
      <c r="A130" t="s">
        <v>560</v>
      </c>
      <c r="B130">
        <v>50</v>
      </c>
    </row>
    <row r="131" spans="1:2" x14ac:dyDescent="0.2">
      <c r="A131" t="s">
        <v>32</v>
      </c>
      <c r="B131">
        <v>50</v>
      </c>
    </row>
    <row r="132" spans="1:2" x14ac:dyDescent="0.2">
      <c r="A132" t="s">
        <v>587</v>
      </c>
      <c r="B132">
        <v>50</v>
      </c>
    </row>
    <row r="133" spans="1:2" x14ac:dyDescent="0.2">
      <c r="A133" t="s">
        <v>576</v>
      </c>
      <c r="B133">
        <v>50</v>
      </c>
    </row>
    <row r="134" spans="1:2" x14ac:dyDescent="0.2">
      <c r="A134" t="s">
        <v>66</v>
      </c>
      <c r="B134">
        <v>50</v>
      </c>
    </row>
    <row r="135" spans="1:2" x14ac:dyDescent="0.2">
      <c r="A135" t="s">
        <v>283</v>
      </c>
      <c r="B135">
        <v>50</v>
      </c>
    </row>
    <row r="136" spans="1:2" x14ac:dyDescent="0.2">
      <c r="A136" t="s">
        <v>566</v>
      </c>
      <c r="B136">
        <v>50</v>
      </c>
    </row>
    <row r="137" spans="1:2" x14ac:dyDescent="0.2">
      <c r="A137" t="s">
        <v>40</v>
      </c>
      <c r="B137">
        <v>50</v>
      </c>
    </row>
    <row r="138" spans="1:2" x14ac:dyDescent="0.2">
      <c r="A138" t="s">
        <v>491</v>
      </c>
      <c r="B138">
        <v>50</v>
      </c>
    </row>
    <row r="139" spans="1:2" x14ac:dyDescent="0.2">
      <c r="A139" t="s">
        <v>443</v>
      </c>
      <c r="B139">
        <v>50</v>
      </c>
    </row>
    <row r="140" spans="1:2" x14ac:dyDescent="0.2">
      <c r="A140" t="s">
        <v>595</v>
      </c>
      <c r="B140">
        <v>50</v>
      </c>
    </row>
    <row r="141" spans="1:2" x14ac:dyDescent="0.2">
      <c r="A141" t="s">
        <v>450</v>
      </c>
      <c r="B141">
        <v>50</v>
      </c>
    </row>
    <row r="142" spans="1:2" x14ac:dyDescent="0.2">
      <c r="A142" t="s">
        <v>328</v>
      </c>
      <c r="B142">
        <v>50</v>
      </c>
    </row>
    <row r="143" spans="1:2" x14ac:dyDescent="0.2">
      <c r="A143" t="s">
        <v>568</v>
      </c>
      <c r="B143">
        <v>50</v>
      </c>
    </row>
    <row r="144" spans="1:2" x14ac:dyDescent="0.2">
      <c r="A144" t="s">
        <v>347</v>
      </c>
      <c r="B144">
        <v>50</v>
      </c>
    </row>
    <row r="145" spans="1:2" x14ac:dyDescent="0.2">
      <c r="A145" t="s">
        <v>395</v>
      </c>
      <c r="B145">
        <v>50</v>
      </c>
    </row>
    <row r="146" spans="1:2" x14ac:dyDescent="0.2">
      <c r="A146" t="s">
        <v>55</v>
      </c>
      <c r="B146">
        <v>50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93D1D-5AA7-4973-9788-FDCAD9C17682}">
  <sheetPr codeName="Sheet13"/>
  <dimension ref="A1:A145"/>
  <sheetViews>
    <sheetView workbookViewId="0">
      <selection activeCell="A12" sqref="A12"/>
    </sheetView>
  </sheetViews>
  <sheetFormatPr defaultRowHeight="12.75" x14ac:dyDescent="0.2"/>
  <cols>
    <col min="1" max="1" width="21.5703125" bestFit="1" customWidth="1"/>
  </cols>
  <sheetData>
    <row r="1" spans="1:1" x14ac:dyDescent="0.2">
      <c r="A1" t="s">
        <v>476</v>
      </c>
    </row>
    <row r="2" spans="1:1" x14ac:dyDescent="0.2">
      <c r="A2" t="s">
        <v>560</v>
      </c>
    </row>
    <row r="3" spans="1:1" x14ac:dyDescent="0.2">
      <c r="A3" t="s">
        <v>455</v>
      </c>
    </row>
    <row r="4" spans="1:1" x14ac:dyDescent="0.2">
      <c r="A4" t="s">
        <v>561</v>
      </c>
    </row>
    <row r="5" spans="1:1" x14ac:dyDescent="0.2">
      <c r="A5" t="s">
        <v>562</v>
      </c>
    </row>
    <row r="6" spans="1:1" x14ac:dyDescent="0.2">
      <c r="A6" t="s">
        <v>526</v>
      </c>
    </row>
    <row r="7" spans="1:1" x14ac:dyDescent="0.2">
      <c r="A7" t="s">
        <v>563</v>
      </c>
    </row>
    <row r="8" spans="1:1" x14ac:dyDescent="0.2">
      <c r="A8" t="s">
        <v>564</v>
      </c>
    </row>
    <row r="9" spans="1:1" x14ac:dyDescent="0.2">
      <c r="A9" t="s">
        <v>565</v>
      </c>
    </row>
    <row r="10" spans="1:1" x14ac:dyDescent="0.2">
      <c r="A10" t="s">
        <v>332</v>
      </c>
    </row>
    <row r="11" spans="1:1" x14ac:dyDescent="0.2">
      <c r="A11" t="s">
        <v>240</v>
      </c>
    </row>
    <row r="12" spans="1:1" x14ac:dyDescent="0.2">
      <c r="A12" t="s">
        <v>538</v>
      </c>
    </row>
    <row r="13" spans="1:1" x14ac:dyDescent="0.2">
      <c r="A13" t="s">
        <v>394</v>
      </c>
    </row>
    <row r="14" spans="1:1" x14ac:dyDescent="0.2">
      <c r="A14" t="s">
        <v>326</v>
      </c>
    </row>
    <row r="15" spans="1:1" x14ac:dyDescent="0.2">
      <c r="A15" t="s">
        <v>566</v>
      </c>
    </row>
    <row r="16" spans="1:1" x14ac:dyDescent="0.2">
      <c r="A16" t="s">
        <v>505</v>
      </c>
    </row>
    <row r="17" spans="1:1" x14ac:dyDescent="0.2">
      <c r="A17" t="s">
        <v>283</v>
      </c>
    </row>
    <row r="18" spans="1:1" x14ac:dyDescent="0.2">
      <c r="A18" t="s">
        <v>407</v>
      </c>
    </row>
    <row r="19" spans="1:1" x14ac:dyDescent="0.2">
      <c r="A19" t="s">
        <v>567</v>
      </c>
    </row>
    <row r="20" spans="1:1" x14ac:dyDescent="0.2">
      <c r="A20" t="s">
        <v>32</v>
      </c>
    </row>
    <row r="21" spans="1:1" x14ac:dyDescent="0.2">
      <c r="A21" t="s">
        <v>40</v>
      </c>
    </row>
    <row r="22" spans="1:1" x14ac:dyDescent="0.2">
      <c r="A22" t="s">
        <v>347</v>
      </c>
    </row>
    <row r="23" spans="1:1" x14ac:dyDescent="0.2">
      <c r="A23" t="s">
        <v>568</v>
      </c>
    </row>
    <row r="24" spans="1:1" x14ac:dyDescent="0.2">
      <c r="A24" t="s">
        <v>450</v>
      </c>
    </row>
    <row r="25" spans="1:1" x14ac:dyDescent="0.2">
      <c r="A25" t="s">
        <v>470</v>
      </c>
    </row>
    <row r="26" spans="1:1" x14ac:dyDescent="0.2">
      <c r="A26" t="s">
        <v>162</v>
      </c>
    </row>
    <row r="27" spans="1:1" x14ac:dyDescent="0.2">
      <c r="A27" t="s">
        <v>73</v>
      </c>
    </row>
    <row r="28" spans="1:1" x14ac:dyDescent="0.2">
      <c r="A28" t="s">
        <v>569</v>
      </c>
    </row>
    <row r="29" spans="1:1" x14ac:dyDescent="0.2">
      <c r="A29" t="s">
        <v>392</v>
      </c>
    </row>
    <row r="30" spans="1:1" x14ac:dyDescent="0.2">
      <c r="A30" t="s">
        <v>513</v>
      </c>
    </row>
    <row r="31" spans="1:1" x14ac:dyDescent="0.2">
      <c r="A31" t="s">
        <v>510</v>
      </c>
    </row>
    <row r="32" spans="1:1" x14ac:dyDescent="0.2">
      <c r="A32" t="s">
        <v>29</v>
      </c>
    </row>
    <row r="33" spans="1:1" x14ac:dyDescent="0.2">
      <c r="A33" t="s">
        <v>570</v>
      </c>
    </row>
    <row r="34" spans="1:1" x14ac:dyDescent="0.2">
      <c r="A34" t="s">
        <v>190</v>
      </c>
    </row>
    <row r="35" spans="1:1" x14ac:dyDescent="0.2">
      <c r="A35" t="s">
        <v>34</v>
      </c>
    </row>
    <row r="36" spans="1:1" x14ac:dyDescent="0.2">
      <c r="A36" t="s">
        <v>42</v>
      </c>
    </row>
    <row r="37" spans="1:1" x14ac:dyDescent="0.2">
      <c r="A37" t="s">
        <v>53</v>
      </c>
    </row>
    <row r="38" spans="1:1" x14ac:dyDescent="0.2">
      <c r="A38" t="s">
        <v>602</v>
      </c>
    </row>
    <row r="39" spans="1:1" x14ac:dyDescent="0.2">
      <c r="A39" t="s">
        <v>50</v>
      </c>
    </row>
    <row r="40" spans="1:1" x14ac:dyDescent="0.2">
      <c r="A40" t="s">
        <v>35</v>
      </c>
    </row>
    <row r="41" spans="1:1" x14ac:dyDescent="0.2">
      <c r="A41" t="s">
        <v>310</v>
      </c>
    </row>
    <row r="42" spans="1:1" x14ac:dyDescent="0.2">
      <c r="A42" t="s">
        <v>61</v>
      </c>
    </row>
    <row r="43" spans="1:1" x14ac:dyDescent="0.2">
      <c r="A43" t="s">
        <v>55</v>
      </c>
    </row>
    <row r="44" spans="1:1" x14ac:dyDescent="0.2">
      <c r="A44" t="s">
        <v>45</v>
      </c>
    </row>
    <row r="45" spans="1:1" x14ac:dyDescent="0.2">
      <c r="A45" t="s">
        <v>291</v>
      </c>
    </row>
    <row r="46" spans="1:1" x14ac:dyDescent="0.2">
      <c r="A46" t="s">
        <v>67</v>
      </c>
    </row>
    <row r="47" spans="1:1" x14ac:dyDescent="0.2">
      <c r="A47" t="s">
        <v>323</v>
      </c>
    </row>
    <row r="48" spans="1:1" x14ac:dyDescent="0.2">
      <c r="A48" t="s">
        <v>51</v>
      </c>
    </row>
    <row r="49" spans="1:1" x14ac:dyDescent="0.2">
      <c r="A49" t="s">
        <v>459</v>
      </c>
    </row>
    <row r="50" spans="1:1" x14ac:dyDescent="0.2">
      <c r="A50" t="s">
        <v>571</v>
      </c>
    </row>
    <row r="51" spans="1:1" x14ac:dyDescent="0.2">
      <c r="A51" t="s">
        <v>260</v>
      </c>
    </row>
    <row r="52" spans="1:1" x14ac:dyDescent="0.2">
      <c r="A52" t="s">
        <v>282</v>
      </c>
    </row>
    <row r="53" spans="1:1" x14ac:dyDescent="0.2">
      <c r="A53" t="s">
        <v>62</v>
      </c>
    </row>
    <row r="54" spans="1:1" x14ac:dyDescent="0.2">
      <c r="A54" t="s">
        <v>395</v>
      </c>
    </row>
    <row r="55" spans="1:1" x14ac:dyDescent="0.2">
      <c r="A55" t="s">
        <v>285</v>
      </c>
    </row>
    <row r="56" spans="1:1" x14ac:dyDescent="0.2">
      <c r="A56" t="s">
        <v>320</v>
      </c>
    </row>
    <row r="57" spans="1:1" x14ac:dyDescent="0.2">
      <c r="A57" t="s">
        <v>58</v>
      </c>
    </row>
    <row r="58" spans="1:1" x14ac:dyDescent="0.2">
      <c r="A58" t="s">
        <v>30</v>
      </c>
    </row>
    <row r="59" spans="1:1" x14ac:dyDescent="0.2">
      <c r="A59" t="s">
        <v>66</v>
      </c>
    </row>
    <row r="60" spans="1:1" x14ac:dyDescent="0.2">
      <c r="A60" t="s">
        <v>298</v>
      </c>
    </row>
    <row r="61" spans="1:1" x14ac:dyDescent="0.2">
      <c r="A61" t="s">
        <v>38</v>
      </c>
    </row>
    <row r="62" spans="1:1" x14ac:dyDescent="0.2">
      <c r="A62" t="s">
        <v>572</v>
      </c>
    </row>
    <row r="63" spans="1:1" x14ac:dyDescent="0.2">
      <c r="A63" t="s">
        <v>573</v>
      </c>
    </row>
    <row r="64" spans="1:1" x14ac:dyDescent="0.2">
      <c r="A64" t="s">
        <v>574</v>
      </c>
    </row>
    <row r="65" spans="1:1" x14ac:dyDescent="0.2">
      <c r="A65" t="s">
        <v>575</v>
      </c>
    </row>
    <row r="66" spans="1:1" x14ac:dyDescent="0.2">
      <c r="A66" t="s">
        <v>576</v>
      </c>
    </row>
    <row r="67" spans="1:1" x14ac:dyDescent="0.2">
      <c r="A67" t="s">
        <v>577</v>
      </c>
    </row>
    <row r="68" spans="1:1" x14ac:dyDescent="0.2">
      <c r="A68" t="s">
        <v>578</v>
      </c>
    </row>
    <row r="69" spans="1:1" x14ac:dyDescent="0.2">
      <c r="A69" t="s">
        <v>391</v>
      </c>
    </row>
    <row r="70" spans="1:1" x14ac:dyDescent="0.2">
      <c r="A70" t="s">
        <v>579</v>
      </c>
    </row>
    <row r="71" spans="1:1" x14ac:dyDescent="0.2">
      <c r="A71" t="s">
        <v>446</v>
      </c>
    </row>
    <row r="72" spans="1:1" x14ac:dyDescent="0.2">
      <c r="A72" t="s">
        <v>580</v>
      </c>
    </row>
    <row r="73" spans="1:1" x14ac:dyDescent="0.2">
      <c r="A73" t="s">
        <v>581</v>
      </c>
    </row>
    <row r="74" spans="1:1" x14ac:dyDescent="0.2">
      <c r="A74" t="s">
        <v>222</v>
      </c>
    </row>
    <row r="75" spans="1:1" x14ac:dyDescent="0.2">
      <c r="A75" t="s">
        <v>582</v>
      </c>
    </row>
    <row r="76" spans="1:1" x14ac:dyDescent="0.2">
      <c r="A76" t="s">
        <v>408</v>
      </c>
    </row>
    <row r="77" spans="1:1" x14ac:dyDescent="0.2">
      <c r="A77" t="s">
        <v>250</v>
      </c>
    </row>
    <row r="78" spans="1:1" x14ac:dyDescent="0.2">
      <c r="A78" t="s">
        <v>404</v>
      </c>
    </row>
    <row r="79" spans="1:1" x14ac:dyDescent="0.2">
      <c r="A79" t="s">
        <v>583</v>
      </c>
    </row>
    <row r="80" spans="1:1" x14ac:dyDescent="0.2">
      <c r="A80" t="s">
        <v>437</v>
      </c>
    </row>
    <row r="81" spans="1:1" x14ac:dyDescent="0.2">
      <c r="A81" t="s">
        <v>68</v>
      </c>
    </row>
    <row r="82" spans="1:1" x14ac:dyDescent="0.2">
      <c r="A82" t="s">
        <v>65</v>
      </c>
    </row>
    <row r="83" spans="1:1" x14ac:dyDescent="0.2">
      <c r="A83" t="s">
        <v>69</v>
      </c>
    </row>
    <row r="84" spans="1:1" x14ac:dyDescent="0.2">
      <c r="A84" t="s">
        <v>491</v>
      </c>
    </row>
    <row r="85" spans="1:1" x14ac:dyDescent="0.2">
      <c r="A85" t="s">
        <v>341</v>
      </c>
    </row>
    <row r="86" spans="1:1" x14ac:dyDescent="0.2">
      <c r="A86" t="s">
        <v>494</v>
      </c>
    </row>
    <row r="87" spans="1:1" x14ac:dyDescent="0.2">
      <c r="A87" t="s">
        <v>508</v>
      </c>
    </row>
    <row r="88" spans="1:1" x14ac:dyDescent="0.2">
      <c r="A88" t="s">
        <v>443</v>
      </c>
    </row>
    <row r="89" spans="1:1" x14ac:dyDescent="0.2">
      <c r="A89" t="s">
        <v>230</v>
      </c>
    </row>
    <row r="90" spans="1:1" x14ac:dyDescent="0.2">
      <c r="A90" t="s">
        <v>475</v>
      </c>
    </row>
    <row r="91" spans="1:1" x14ac:dyDescent="0.2">
      <c r="A91" t="s">
        <v>584</v>
      </c>
    </row>
    <row r="92" spans="1:1" x14ac:dyDescent="0.2">
      <c r="A92" t="s">
        <v>60</v>
      </c>
    </row>
    <row r="93" spans="1:1" x14ac:dyDescent="0.2">
      <c r="A93" t="s">
        <v>225</v>
      </c>
    </row>
    <row r="94" spans="1:1" x14ac:dyDescent="0.2">
      <c r="A94" t="s">
        <v>63</v>
      </c>
    </row>
    <row r="95" spans="1:1" x14ac:dyDescent="0.2">
      <c r="A95" t="s">
        <v>59</v>
      </c>
    </row>
    <row r="96" spans="1:1" x14ac:dyDescent="0.2">
      <c r="A96" t="s">
        <v>49</v>
      </c>
    </row>
    <row r="97" spans="1:1" x14ac:dyDescent="0.2">
      <c r="A97" t="s">
        <v>46</v>
      </c>
    </row>
    <row r="98" spans="1:1" x14ac:dyDescent="0.2">
      <c r="A98" t="s">
        <v>27</v>
      </c>
    </row>
    <row r="99" spans="1:1" x14ac:dyDescent="0.2">
      <c r="A99" t="s">
        <v>389</v>
      </c>
    </row>
    <row r="100" spans="1:1" x14ac:dyDescent="0.2">
      <c r="A100" t="s">
        <v>26</v>
      </c>
    </row>
    <row r="101" spans="1:1" x14ac:dyDescent="0.2">
      <c r="A101" t="s">
        <v>338</v>
      </c>
    </row>
    <row r="102" spans="1:1" x14ac:dyDescent="0.2">
      <c r="A102" t="s">
        <v>36</v>
      </c>
    </row>
    <row r="103" spans="1:1" x14ac:dyDescent="0.2">
      <c r="A103" t="s">
        <v>72</v>
      </c>
    </row>
    <row r="104" spans="1:1" x14ac:dyDescent="0.2">
      <c r="A104" t="s">
        <v>215</v>
      </c>
    </row>
    <row r="105" spans="1:1" x14ac:dyDescent="0.2">
      <c r="A105" t="s">
        <v>346</v>
      </c>
    </row>
    <row r="106" spans="1:1" x14ac:dyDescent="0.2">
      <c r="A106" t="s">
        <v>445</v>
      </c>
    </row>
    <row r="107" spans="1:1" x14ac:dyDescent="0.2">
      <c r="A107" t="s">
        <v>33</v>
      </c>
    </row>
    <row r="108" spans="1:1" x14ac:dyDescent="0.2">
      <c r="A108" t="s">
        <v>44</v>
      </c>
    </row>
    <row r="109" spans="1:1" x14ac:dyDescent="0.2">
      <c r="A109" t="s">
        <v>308</v>
      </c>
    </row>
    <row r="110" spans="1:1" x14ac:dyDescent="0.2">
      <c r="A110" t="s">
        <v>37</v>
      </c>
    </row>
    <row r="111" spans="1:1" x14ac:dyDescent="0.2">
      <c r="A111" t="s">
        <v>54</v>
      </c>
    </row>
    <row r="112" spans="1:1" x14ac:dyDescent="0.2">
      <c r="A112" t="s">
        <v>31</v>
      </c>
    </row>
    <row r="113" spans="1:1" x14ac:dyDescent="0.2">
      <c r="A113" t="s">
        <v>314</v>
      </c>
    </row>
    <row r="114" spans="1:1" x14ac:dyDescent="0.2">
      <c r="A114" t="s">
        <v>41</v>
      </c>
    </row>
    <row r="115" spans="1:1" x14ac:dyDescent="0.2">
      <c r="A115" t="s">
        <v>265</v>
      </c>
    </row>
    <row r="116" spans="1:1" x14ac:dyDescent="0.2">
      <c r="A116" t="s">
        <v>318</v>
      </c>
    </row>
    <row r="117" spans="1:1" x14ac:dyDescent="0.2">
      <c r="A117" t="s">
        <v>585</v>
      </c>
    </row>
    <row r="118" spans="1:1" x14ac:dyDescent="0.2">
      <c r="A118" t="s">
        <v>586</v>
      </c>
    </row>
    <row r="119" spans="1:1" x14ac:dyDescent="0.2">
      <c r="A119" t="s">
        <v>344</v>
      </c>
    </row>
    <row r="120" spans="1:1" x14ac:dyDescent="0.2">
      <c r="A120" t="s">
        <v>39</v>
      </c>
    </row>
    <row r="121" spans="1:1" x14ac:dyDescent="0.2">
      <c r="A121" t="s">
        <v>328</v>
      </c>
    </row>
    <row r="122" spans="1:1" x14ac:dyDescent="0.2">
      <c r="A122" t="s">
        <v>43</v>
      </c>
    </row>
    <row r="123" spans="1:1" x14ac:dyDescent="0.2">
      <c r="A123" t="s">
        <v>48</v>
      </c>
    </row>
    <row r="124" spans="1:1" x14ac:dyDescent="0.2">
      <c r="A124" t="s">
        <v>64</v>
      </c>
    </row>
    <row r="125" spans="1:1" x14ac:dyDescent="0.2">
      <c r="A125" t="s">
        <v>552</v>
      </c>
    </row>
    <row r="126" spans="1:1" x14ac:dyDescent="0.2">
      <c r="A126" t="s">
        <v>453</v>
      </c>
    </row>
    <row r="127" spans="1:1" x14ac:dyDescent="0.2">
      <c r="A127" t="s">
        <v>587</v>
      </c>
    </row>
    <row r="128" spans="1:1" x14ac:dyDescent="0.2">
      <c r="A128" t="s">
        <v>588</v>
      </c>
    </row>
    <row r="129" spans="1:1" x14ac:dyDescent="0.2">
      <c r="A129" t="s">
        <v>516</v>
      </c>
    </row>
    <row r="130" spans="1:1" x14ac:dyDescent="0.2">
      <c r="A130" t="s">
        <v>71</v>
      </c>
    </row>
    <row r="131" spans="1:1" x14ac:dyDescent="0.2">
      <c r="A131" t="s">
        <v>419</v>
      </c>
    </row>
    <row r="132" spans="1:1" x14ac:dyDescent="0.2">
      <c r="A132" t="s">
        <v>589</v>
      </c>
    </row>
    <row r="133" spans="1:1" x14ac:dyDescent="0.2">
      <c r="A133" t="s">
        <v>590</v>
      </c>
    </row>
    <row r="134" spans="1:1" x14ac:dyDescent="0.2">
      <c r="A134" t="s">
        <v>497</v>
      </c>
    </row>
    <row r="135" spans="1:1" x14ac:dyDescent="0.2">
      <c r="A135" t="s">
        <v>591</v>
      </c>
    </row>
    <row r="136" spans="1:1" x14ac:dyDescent="0.2">
      <c r="A136" t="s">
        <v>592</v>
      </c>
    </row>
    <row r="137" spans="1:1" x14ac:dyDescent="0.2">
      <c r="A137" t="s">
        <v>593</v>
      </c>
    </row>
    <row r="138" spans="1:1" x14ac:dyDescent="0.2">
      <c r="A138" t="s">
        <v>594</v>
      </c>
    </row>
    <row r="139" spans="1:1" x14ac:dyDescent="0.2">
      <c r="A139" t="s">
        <v>334</v>
      </c>
    </row>
    <row r="140" spans="1:1" x14ac:dyDescent="0.2">
      <c r="A140" t="s">
        <v>595</v>
      </c>
    </row>
    <row r="141" spans="1:1" x14ac:dyDescent="0.2">
      <c r="A141" t="s">
        <v>534</v>
      </c>
    </row>
    <row r="142" spans="1:1" x14ac:dyDescent="0.2">
      <c r="A142" t="s">
        <v>596</v>
      </c>
    </row>
    <row r="143" spans="1:1" x14ac:dyDescent="0.2">
      <c r="A143" t="s">
        <v>597</v>
      </c>
    </row>
    <row r="144" spans="1:1" x14ac:dyDescent="0.2">
      <c r="A144" t="s">
        <v>598</v>
      </c>
    </row>
    <row r="145" spans="1:1" x14ac:dyDescent="0.2">
      <c r="A145" t="s">
        <v>599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F7E0F-E4F6-4502-8615-26D02476EC26}">
  <sheetPr codeName="Sheet8"/>
  <dimension ref="A1:AA76"/>
  <sheetViews>
    <sheetView zoomScaleNormal="100" workbookViewId="0"/>
  </sheetViews>
  <sheetFormatPr defaultColWidth="8.5703125" defaultRowHeight="12.75" x14ac:dyDescent="0.2"/>
  <cols>
    <col min="1" max="1" width="5.28515625" customWidth="1"/>
    <col min="2" max="2" width="18.28515625" customWidth="1"/>
    <col min="3" max="3" width="5.140625" style="3" customWidth="1"/>
    <col min="4" max="4" width="6.140625" style="43" bestFit="1" customWidth="1"/>
    <col min="5" max="5" width="8.5703125" style="3"/>
    <col min="6" max="6" width="17.85546875" style="19" bestFit="1" customWidth="1"/>
    <col min="7" max="7" width="8.5703125" style="77" customWidth="1"/>
    <col min="8" max="8" width="19.5703125" style="19" bestFit="1" customWidth="1"/>
    <col min="9" max="9" width="8.5703125" style="77"/>
    <col min="10" max="10" width="17.85546875" style="19" bestFit="1" customWidth="1"/>
    <col min="11" max="11" width="8.5703125" style="77"/>
    <col min="12" max="12" width="17.85546875" style="19" bestFit="1" customWidth="1"/>
    <col min="13" max="13" width="8.5703125" style="77"/>
    <col min="14" max="14" width="16.28515625" style="19" bestFit="1" customWidth="1"/>
    <col min="15" max="15" width="8.5703125" style="77"/>
    <col min="16" max="16" width="17.85546875" style="19" bestFit="1" customWidth="1"/>
    <col min="17" max="17" width="8.5703125" style="77"/>
    <col min="18" max="18" width="17.85546875" style="19" bestFit="1" customWidth="1"/>
    <col min="19" max="19" width="8.5703125" style="77"/>
    <col min="20" max="20" width="16.42578125" style="19" bestFit="1" customWidth="1"/>
    <col min="21" max="21" width="8.5703125" style="18"/>
    <col min="22" max="22" width="6.85546875" customWidth="1"/>
    <col min="23" max="23" width="8.5703125" style="3"/>
  </cols>
  <sheetData>
    <row r="1" spans="1:21" x14ac:dyDescent="0.2">
      <c r="A1" s="15"/>
      <c r="D1" s="42"/>
      <c r="E1" s="8"/>
    </row>
    <row r="2" spans="1:21" s="7" customFormat="1" x14ac:dyDescent="0.2">
      <c r="B2" s="34" t="s">
        <v>1</v>
      </c>
      <c r="C2" s="35"/>
      <c r="D2" s="74" t="s">
        <v>303</v>
      </c>
      <c r="E2" s="12"/>
      <c r="F2" s="10" t="s">
        <v>2</v>
      </c>
      <c r="G2" s="11">
        <f>SMALL(G3:G12,1)+SMALL(G3:G12,2)+SMALL(G3:G12,3)+SMALL(G3:G12,4)+SMALL(G3:G12,5)</f>
        <v>-21</v>
      </c>
      <c r="H2" s="10" t="s">
        <v>348</v>
      </c>
      <c r="I2" s="11">
        <f>SMALL(I3:I12,1)+SMALL(I3:I12,2)+SMALL(I3:I12,3)+SMALL(I3:I12,4)+SMALL(I3:I12,5)</f>
        <v>-18</v>
      </c>
      <c r="J2" s="10" t="s">
        <v>3</v>
      </c>
      <c r="K2" s="11">
        <f>SMALL(K3:K12,1)+SMALL(K3:K12,2)+SMALL(K3:K12,3)+SMALL(K3:K12,4)+SMALL(K3:K12,5)</f>
        <v>-35</v>
      </c>
      <c r="L2" s="7" t="s">
        <v>8</v>
      </c>
      <c r="M2" s="11">
        <f>SMALL(M3:M12,1)+SMALL(M3:M12,2)+SMALL(M3:M12,3)+SMALL(M3:M12,4)+SMALL(M3:M12,5)</f>
        <v>-25</v>
      </c>
      <c r="N2" s="10" t="s">
        <v>5</v>
      </c>
      <c r="O2" s="11">
        <f>SMALL(O3:O12,1)+SMALL(O3:O12,2)+SMALL(O3:O12,3)+SMALL(O3:O12,4)+SMALL(O3:O12,5)</f>
        <v>-3</v>
      </c>
      <c r="P2" s="10" t="s">
        <v>12</v>
      </c>
      <c r="Q2" s="11">
        <f>SMALL(Q3:Q12,1)+SMALL(Q3:Q12,2)+SMALL(Q3:Q12,3)+SMALL(Q3:Q12,4)+SMALL(Q3:Q12,5)</f>
        <v>-30</v>
      </c>
      <c r="R2" s="10" t="s">
        <v>15</v>
      </c>
      <c r="S2" s="11">
        <f>SMALL(S3:S12,1)+SMALL(S3:S12,2)+SMALL(S3:S12,3)+SMALL(S3:S12,4)+SMALL(S3:S12,5)</f>
        <v>-13</v>
      </c>
      <c r="T2" s="10" t="s">
        <v>17</v>
      </c>
      <c r="U2" s="11">
        <f>SMALL(U3:U12,1)+SMALL(U3:U12,2)+SMALL(U3:U12,3)+SMALL(U3:U12,4)+SMALL(U3:U12,5)</f>
        <v>-9</v>
      </c>
    </row>
    <row r="3" spans="1:21" x14ac:dyDescent="0.2">
      <c r="B3" s="36" t="str" cm="1">
        <f t="array" ref="B3:C24">TRANSPOSE(_xlfn._xlws.SORT(F45:AA46,2,1,TRUE))</f>
        <v>Frank Prestifilippo</v>
      </c>
      <c r="C3" s="37">
        <v>-46</v>
      </c>
      <c r="D3" s="74">
        <f t="shared" ref="D3:D10" si="0">HLOOKUP(B3,$F$45:$AB$47,3,)</f>
        <v>-15</v>
      </c>
      <c r="E3" s="13">
        <v>1</v>
      </c>
      <c r="F3" s="19" t="s">
        <v>26</v>
      </c>
      <c r="G3" s="18">
        <f>VLOOKUP(F3,ESPNScores!$A$2:$B$206,2,FALSE)</f>
        <v>-4</v>
      </c>
      <c r="H3" s="19" t="s">
        <v>36</v>
      </c>
      <c r="I3" s="18">
        <f>VLOOKUP(H3,ESPNScores!$A$2:$B$206,2,FALSE)</f>
        <v>13</v>
      </c>
      <c r="J3" s="19" t="s">
        <v>36</v>
      </c>
      <c r="K3" s="18">
        <f>VLOOKUP(J3,ESPNScores!$A$2:$B$206,2,FALSE)</f>
        <v>13</v>
      </c>
      <c r="L3" s="19" t="s">
        <v>36</v>
      </c>
      <c r="M3" s="18">
        <f>VLOOKUP(L3,ESPNScores!$A$2:$B$206,2,FALSE)</f>
        <v>13</v>
      </c>
      <c r="N3" s="19" t="s">
        <v>36</v>
      </c>
      <c r="O3" s="18">
        <f>VLOOKUP(N3,ESPNScores!$A$2:$B$206,2,FALSE)</f>
        <v>13</v>
      </c>
      <c r="P3" s="19" t="s">
        <v>26</v>
      </c>
      <c r="Q3" s="18">
        <f>VLOOKUP(P3,ESPNScores!$A$2:$B$206,2,FALSE)</f>
        <v>-4</v>
      </c>
      <c r="R3" s="19" t="s">
        <v>26</v>
      </c>
      <c r="S3" s="18">
        <f>VLOOKUP(R3,ESPNScores!$A$2:$B$206,2,FALSE)</f>
        <v>-4</v>
      </c>
      <c r="T3" s="76" t="s">
        <v>36</v>
      </c>
      <c r="U3" s="18">
        <f>VLOOKUP(T3,ESPNScores!$A$2:$B$206,2,FALSE)</f>
        <v>13</v>
      </c>
    </row>
    <row r="4" spans="1:21" x14ac:dyDescent="0.2">
      <c r="B4" s="36" t="str">
        <v>Matt Myers</v>
      </c>
      <c r="C4" s="37">
        <v>-41</v>
      </c>
      <c r="D4" s="74">
        <f t="shared" si="0"/>
        <v>23</v>
      </c>
      <c r="E4" s="13">
        <v>2</v>
      </c>
      <c r="F4" s="19" t="s">
        <v>392</v>
      </c>
      <c r="G4" s="18">
        <f>VLOOKUP(F4,ESPNScores!$A$2:$B$206,2,FALSE)</f>
        <v>50</v>
      </c>
      <c r="H4" s="19" t="s">
        <v>392</v>
      </c>
      <c r="I4" s="18">
        <f>VLOOKUP(H4,ESPNScores!$A$2:$B$206,2,FALSE)</f>
        <v>50</v>
      </c>
      <c r="J4" s="19" t="s">
        <v>27</v>
      </c>
      <c r="K4" s="18">
        <f>VLOOKUP(J4,ESPNScores!$A$2:$B$206,2,FALSE)</f>
        <v>-12</v>
      </c>
      <c r="L4" s="19" t="s">
        <v>392</v>
      </c>
      <c r="M4" s="18">
        <f>VLOOKUP(L4,ESPNScores!$A$2:$B$206,2,FALSE)</f>
        <v>50</v>
      </c>
      <c r="N4" s="19" t="s">
        <v>392</v>
      </c>
      <c r="O4" s="18">
        <f>VLOOKUP(N4,ESPNScores!$A$2:$B$206,2,FALSE)</f>
        <v>50</v>
      </c>
      <c r="P4" s="19" t="s">
        <v>392</v>
      </c>
      <c r="Q4" s="18">
        <f>VLOOKUP(P4,ESPNScores!$A$2:$B$206,2,FALSE)</f>
        <v>50</v>
      </c>
      <c r="R4" s="19" t="s">
        <v>392</v>
      </c>
      <c r="S4" s="18">
        <f>VLOOKUP(R4,ESPNScores!$A$2:$B$206,2,FALSE)</f>
        <v>50</v>
      </c>
      <c r="T4" s="76" t="s">
        <v>392</v>
      </c>
      <c r="U4" s="18">
        <f>VLOOKUP(T4,ESPNScores!$A$2:$B$206,2,FALSE)</f>
        <v>50</v>
      </c>
    </row>
    <row r="5" spans="1:21" x14ac:dyDescent="0.2">
      <c r="B5" s="36" t="str">
        <v>Mike Coope</v>
      </c>
      <c r="C5" s="37">
        <v>-38</v>
      </c>
      <c r="D5" s="74">
        <f t="shared" si="0"/>
        <v>-22</v>
      </c>
      <c r="E5" s="13">
        <v>3</v>
      </c>
      <c r="F5" s="19" t="s">
        <v>44</v>
      </c>
      <c r="G5" s="18">
        <f>VLOOKUP(F5,ESPNScores!$A$2:$B$206,2,FALSE)</f>
        <v>-7</v>
      </c>
      <c r="H5" s="19" t="s">
        <v>44</v>
      </c>
      <c r="I5" s="18">
        <f>VLOOKUP(H5,ESPNScores!$A$2:$B$206,2,FALSE)</f>
        <v>-7</v>
      </c>
      <c r="J5" s="19" t="s">
        <v>31</v>
      </c>
      <c r="K5" s="18">
        <f>VLOOKUP(J5,ESPNScores!$A$2:$B$206,2,FALSE)</f>
        <v>-6</v>
      </c>
      <c r="L5" s="19" t="s">
        <v>44</v>
      </c>
      <c r="M5" s="18">
        <f>VLOOKUP(L5,ESPNScores!$A$2:$B$206,2,FALSE)</f>
        <v>-7</v>
      </c>
      <c r="N5" s="19" t="s">
        <v>31</v>
      </c>
      <c r="O5" s="18">
        <f>VLOOKUP(N5,ESPNScores!$A$2:$B$206,2,FALSE)</f>
        <v>-6</v>
      </c>
      <c r="P5" s="19" t="s">
        <v>44</v>
      </c>
      <c r="Q5" s="18">
        <f>VLOOKUP(P5,ESPNScores!$A$2:$B$206,2,FALSE)</f>
        <v>-7</v>
      </c>
      <c r="R5" s="19" t="s">
        <v>55</v>
      </c>
      <c r="S5" s="18">
        <f>VLOOKUP(R5,ESPNScores!$A$2:$B$206,2,FALSE)</f>
        <v>50</v>
      </c>
      <c r="T5" s="76" t="s">
        <v>55</v>
      </c>
      <c r="U5" s="18">
        <f>VLOOKUP(T5,ESPNScores!$A$2:$B$206,2,FALSE)</f>
        <v>50</v>
      </c>
    </row>
    <row r="6" spans="1:21" x14ac:dyDescent="0.2">
      <c r="B6" s="36" t="str">
        <v>Laurie Seeger</v>
      </c>
      <c r="C6" s="37">
        <v>-37</v>
      </c>
      <c r="D6" s="74">
        <f t="shared" si="0"/>
        <v>-28</v>
      </c>
      <c r="E6" s="13">
        <v>4</v>
      </c>
      <c r="F6" s="19" t="s">
        <v>40</v>
      </c>
      <c r="G6" s="18">
        <f>VLOOKUP(F6,ESPNScores!$A$2:$B$206,2,FALSE)</f>
        <v>50</v>
      </c>
      <c r="H6" s="19" t="s">
        <v>40</v>
      </c>
      <c r="I6" s="18">
        <f>VLOOKUP(H6,ESPNScores!$A$2:$B$206,2,FALSE)</f>
        <v>50</v>
      </c>
      <c r="J6" s="19" t="s">
        <v>48</v>
      </c>
      <c r="K6" s="18">
        <f>VLOOKUP(J6,ESPNScores!$A$2:$B$206,2,FALSE)</f>
        <v>50</v>
      </c>
      <c r="L6" s="19" t="s">
        <v>61</v>
      </c>
      <c r="M6" s="18">
        <f>VLOOKUP(L6,ESPNScores!$A$2:$B$206,2,FALSE)</f>
        <v>2</v>
      </c>
      <c r="N6" s="19" t="s">
        <v>48</v>
      </c>
      <c r="O6" s="18">
        <f>VLOOKUP(N6,ESPNScores!$A$2:$B$206,2,FALSE)</f>
        <v>50</v>
      </c>
      <c r="P6" s="19" t="s">
        <v>61</v>
      </c>
      <c r="Q6" s="18">
        <f>VLOOKUP(P6,ESPNScores!$A$2:$B$206,2,FALSE)</f>
        <v>2</v>
      </c>
      <c r="R6" s="19" t="s">
        <v>61</v>
      </c>
      <c r="S6" s="18">
        <f>VLOOKUP(R6,ESPNScores!$A$2:$B$206,2,FALSE)</f>
        <v>2</v>
      </c>
      <c r="T6" s="76" t="s">
        <v>48</v>
      </c>
      <c r="U6" s="18">
        <f>VLOOKUP(T6,ESPNScores!$A$2:$B$206,2,FALSE)</f>
        <v>50</v>
      </c>
    </row>
    <row r="7" spans="1:21" x14ac:dyDescent="0.2">
      <c r="B7" s="36" t="str">
        <v>Dean Nardone</v>
      </c>
      <c r="C7" s="37">
        <v>-35</v>
      </c>
      <c r="D7" s="74">
        <f t="shared" si="0"/>
        <v>-23</v>
      </c>
      <c r="E7" s="13">
        <v>5</v>
      </c>
      <c r="F7" s="19" t="s">
        <v>38</v>
      </c>
      <c r="G7" s="18">
        <f>VLOOKUP(F7,ESPNScores!$A$2:$B$206,2,FALSE)</f>
        <v>6</v>
      </c>
      <c r="H7" s="19" t="s">
        <v>190</v>
      </c>
      <c r="I7" s="18">
        <f>VLOOKUP(H7,ESPNScores!$A$2:$B$206,2,FALSE)</f>
        <v>-4</v>
      </c>
      <c r="J7" s="19" t="s">
        <v>38</v>
      </c>
      <c r="K7" s="18">
        <f>VLOOKUP(J7,ESPNScores!$A$2:$B$206,2,FALSE)</f>
        <v>6</v>
      </c>
      <c r="L7" s="19" t="s">
        <v>215</v>
      </c>
      <c r="M7" s="18">
        <f>VLOOKUP(L7,ESPNScores!$A$2:$B$206,2,FALSE)</f>
        <v>50</v>
      </c>
      <c r="N7" s="19" t="s">
        <v>215</v>
      </c>
      <c r="O7" s="18">
        <f>VLOOKUP(N7,ESPNScores!$A$2:$B$206,2,FALSE)</f>
        <v>50</v>
      </c>
      <c r="P7" s="19" t="s">
        <v>190</v>
      </c>
      <c r="Q7" s="18">
        <f>VLOOKUP(P7,ESPNScores!$A$2:$B$206,2,FALSE)</f>
        <v>-4</v>
      </c>
      <c r="R7" s="19" t="s">
        <v>215</v>
      </c>
      <c r="S7" s="18">
        <f>VLOOKUP(R7,ESPNScores!$A$2:$B$206,2,FALSE)</f>
        <v>50</v>
      </c>
      <c r="T7" s="76" t="s">
        <v>215</v>
      </c>
      <c r="U7" s="18">
        <f>VLOOKUP(T7,ESPNScores!$A$2:$B$206,2,FALSE)</f>
        <v>50</v>
      </c>
    </row>
    <row r="8" spans="1:21" x14ac:dyDescent="0.2">
      <c r="B8" s="36" t="str">
        <v>Lorraine McGill</v>
      </c>
      <c r="C8" s="37">
        <v>-33</v>
      </c>
      <c r="D8" s="74">
        <f t="shared" si="0"/>
        <v>-19</v>
      </c>
      <c r="E8" s="13">
        <v>6</v>
      </c>
      <c r="F8" s="19" t="s">
        <v>53</v>
      </c>
      <c r="G8" s="18">
        <f>VLOOKUP(F8,ESPNScores!$A$2:$B$206,2,FALSE)</f>
        <v>50</v>
      </c>
      <c r="H8" s="19" t="s">
        <v>53</v>
      </c>
      <c r="I8" s="18">
        <f>VLOOKUP(H8,ESPNScores!$A$2:$B$206,2,FALSE)</f>
        <v>50</v>
      </c>
      <c r="J8" s="19" t="s">
        <v>53</v>
      </c>
      <c r="K8" s="18">
        <f>VLOOKUP(J8,ESPNScores!$A$2:$B$206,2,FALSE)</f>
        <v>50</v>
      </c>
      <c r="L8" s="19" t="s">
        <v>53</v>
      </c>
      <c r="M8" s="18">
        <f>VLOOKUP(L8,ESPNScores!$A$2:$B$206,2,FALSE)</f>
        <v>50</v>
      </c>
      <c r="N8" s="19" t="s">
        <v>53</v>
      </c>
      <c r="O8" s="18">
        <f>VLOOKUP(N8,ESPNScores!$A$2:$B$206,2,FALSE)</f>
        <v>50</v>
      </c>
      <c r="P8" s="19" t="s">
        <v>53</v>
      </c>
      <c r="Q8" s="18">
        <f>VLOOKUP(P8,ESPNScores!$A$2:$B$206,2,FALSE)</f>
        <v>50</v>
      </c>
      <c r="R8" s="19" t="s">
        <v>53</v>
      </c>
      <c r="S8" s="18">
        <f>VLOOKUP(R8,ESPNScores!$A$2:$B$206,2,FALSE)</f>
        <v>50</v>
      </c>
      <c r="T8" s="76" t="s">
        <v>34</v>
      </c>
      <c r="U8" s="18">
        <f>VLOOKUP(T8,ESPNScores!$A$2:$B$206,2,FALSE)</f>
        <v>-3</v>
      </c>
    </row>
    <row r="9" spans="1:21" x14ac:dyDescent="0.2">
      <c r="B9" s="36" t="str">
        <v>Gary Casarsa</v>
      </c>
      <c r="C9" s="37">
        <v>-30</v>
      </c>
      <c r="D9" s="74">
        <f t="shared" si="0"/>
        <v>-27</v>
      </c>
      <c r="E9" s="13">
        <v>7</v>
      </c>
      <c r="F9" s="19" t="s">
        <v>33</v>
      </c>
      <c r="G9" s="18">
        <f>VLOOKUP(F9,ESPNScores!$A$2:$B$206,2,FALSE)</f>
        <v>-5</v>
      </c>
      <c r="H9" s="19" t="s">
        <v>33</v>
      </c>
      <c r="I9" s="18">
        <f>VLOOKUP(H9,ESPNScores!$A$2:$B$206,2,FALSE)</f>
        <v>-5</v>
      </c>
      <c r="J9" s="19" t="s">
        <v>33</v>
      </c>
      <c r="K9" s="18">
        <f>VLOOKUP(J9,ESPNScores!$A$2:$B$206,2,FALSE)</f>
        <v>-5</v>
      </c>
      <c r="L9" s="19" t="s">
        <v>344</v>
      </c>
      <c r="M9" s="18">
        <f>VLOOKUP(L9,ESPNScores!$A$2:$B$206,2,FALSE)</f>
        <v>-10</v>
      </c>
      <c r="N9" s="19" t="s">
        <v>33</v>
      </c>
      <c r="O9" s="18">
        <f>VLOOKUP(N9,ESPNScores!$A$2:$B$206,2,FALSE)</f>
        <v>-5</v>
      </c>
      <c r="P9" s="19" t="s">
        <v>344</v>
      </c>
      <c r="Q9" s="18">
        <f>VLOOKUP(P9,ESPNScores!$A$2:$B$206,2,FALSE)</f>
        <v>-10</v>
      </c>
      <c r="R9" s="19" t="s">
        <v>344</v>
      </c>
      <c r="S9" s="18">
        <f>VLOOKUP(R9,ESPNScores!$A$2:$B$206,2,FALSE)</f>
        <v>-10</v>
      </c>
      <c r="T9" s="76" t="s">
        <v>33</v>
      </c>
      <c r="U9" s="18">
        <f>VLOOKUP(T9,ESPNScores!$A$2:$B$206,2,FALSE)</f>
        <v>-5</v>
      </c>
    </row>
    <row r="10" spans="1:21" x14ac:dyDescent="0.2">
      <c r="B10" s="36" t="str">
        <v>Steve McFadden</v>
      </c>
      <c r="C10" s="37">
        <v>-29</v>
      </c>
      <c r="D10" s="74">
        <f t="shared" si="0"/>
        <v>-22</v>
      </c>
      <c r="E10" s="13">
        <v>8</v>
      </c>
      <c r="F10" s="19" t="s">
        <v>225</v>
      </c>
      <c r="G10" s="18">
        <f>VLOOKUP(F10,ESPNScores!$A$2:$B$206,2,FALSE)</f>
        <v>0</v>
      </c>
      <c r="H10" s="19" t="s">
        <v>225</v>
      </c>
      <c r="I10" s="18">
        <f>VLOOKUP(H10,ESPNScores!$A$2:$B$206,2,FALSE)</f>
        <v>0</v>
      </c>
      <c r="J10" s="19" t="s">
        <v>225</v>
      </c>
      <c r="K10" s="18">
        <f>VLOOKUP(J10,ESPNScores!$A$2:$B$206,2,FALSE)</f>
        <v>0</v>
      </c>
      <c r="L10" s="19" t="s">
        <v>51</v>
      </c>
      <c r="M10" s="18">
        <f>VLOOKUP(L10,ESPNScores!$A$2:$B$206,2,FALSE)</f>
        <v>-5</v>
      </c>
      <c r="N10" s="19" t="s">
        <v>225</v>
      </c>
      <c r="O10" s="18">
        <f>VLOOKUP(N10,ESPNScores!$A$2:$B$206,2,FALSE)</f>
        <v>0</v>
      </c>
      <c r="P10" s="19" t="s">
        <v>51</v>
      </c>
      <c r="Q10" s="18">
        <f>VLOOKUP(P10,ESPNScores!$A$2:$B$206,2,FALSE)</f>
        <v>-5</v>
      </c>
      <c r="R10" s="19" t="s">
        <v>225</v>
      </c>
      <c r="S10" s="18">
        <f>VLOOKUP(R10,ESPNScores!$A$2:$B$206,2,FALSE)</f>
        <v>0</v>
      </c>
      <c r="T10" s="76" t="s">
        <v>225</v>
      </c>
      <c r="U10" s="18">
        <f>VLOOKUP(T10,ESPNScores!$A$2:$B$206,2,FALSE)</f>
        <v>0</v>
      </c>
    </row>
    <row r="11" spans="1:21" x14ac:dyDescent="0.2">
      <c r="B11" s="36" t="str">
        <v>Sean Christian</v>
      </c>
      <c r="C11" s="37">
        <v>-26</v>
      </c>
      <c r="D11" s="79"/>
      <c r="E11" s="13">
        <v>9</v>
      </c>
      <c r="F11" s="19" t="s">
        <v>285</v>
      </c>
      <c r="G11" s="18">
        <f>VLOOKUP(F11,ESPNScores!$A$2:$B$206,2,FALSE)</f>
        <v>-5</v>
      </c>
      <c r="H11" s="19" t="s">
        <v>162</v>
      </c>
      <c r="I11" s="18">
        <f>VLOOKUP(H11,ESPNScores!$A$2:$B$206,2,FALSE)</f>
        <v>-2</v>
      </c>
      <c r="J11" s="19" t="s">
        <v>162</v>
      </c>
      <c r="K11" s="18">
        <f>VLOOKUP(J11,ESPNScores!$A$2:$B$206,2,FALSE)</f>
        <v>-2</v>
      </c>
      <c r="L11" s="19" t="s">
        <v>285</v>
      </c>
      <c r="M11" s="18">
        <f>VLOOKUP(L11,ESPNScores!$A$2:$B$206,2,FALSE)</f>
        <v>-5</v>
      </c>
      <c r="N11" s="19" t="s">
        <v>285</v>
      </c>
      <c r="O11" s="18">
        <f>VLOOKUP(N11,ESPNScores!$A$2:$B$206,2,FALSE)</f>
        <v>-5</v>
      </c>
      <c r="P11" s="19" t="s">
        <v>338</v>
      </c>
      <c r="Q11" s="18">
        <f>VLOOKUP(P11,ESPNScores!$A$2:$B$206,2,FALSE)</f>
        <v>-1</v>
      </c>
      <c r="R11" s="19" t="s">
        <v>338</v>
      </c>
      <c r="S11" s="18">
        <f>VLOOKUP(R11,ESPNScores!$A$2:$B$206,2,FALSE)</f>
        <v>-1</v>
      </c>
      <c r="T11" s="76" t="s">
        <v>338</v>
      </c>
      <c r="U11" s="18">
        <f>VLOOKUP(T11,ESPNScores!$A$2:$B$206,2,FALSE)</f>
        <v>-1</v>
      </c>
    </row>
    <row r="12" spans="1:21" x14ac:dyDescent="0.2">
      <c r="B12" s="36" t="str">
        <v>Charlie Adams</v>
      </c>
      <c r="C12" s="37">
        <v>-25</v>
      </c>
      <c r="D12" s="79"/>
      <c r="E12" s="13">
        <v>10</v>
      </c>
      <c r="F12" s="19" t="s">
        <v>282</v>
      </c>
      <c r="G12" s="18">
        <f>VLOOKUP(F12,ESPNScores!$A$2:$B$206,2,FALSE)</f>
        <v>50</v>
      </c>
      <c r="H12" s="19" t="s">
        <v>58</v>
      </c>
      <c r="I12" s="18">
        <f>VLOOKUP(H12,ESPNScores!$A$2:$B$206,2,FALSE)</f>
        <v>0</v>
      </c>
      <c r="J12" s="19" t="s">
        <v>67</v>
      </c>
      <c r="K12" s="18">
        <f>VLOOKUP(J12,ESPNScores!$A$2:$B$206,2,FALSE)</f>
        <v>-10</v>
      </c>
      <c r="L12" s="19" t="s">
        <v>282</v>
      </c>
      <c r="M12" s="18">
        <f>VLOOKUP(L12,ESPNScores!$A$2:$B$206,2,FALSE)</f>
        <v>50</v>
      </c>
      <c r="N12" s="19" t="s">
        <v>282</v>
      </c>
      <c r="O12" s="18">
        <f>VLOOKUP(N12,ESPNScores!$A$2:$B$206,2,FALSE)</f>
        <v>50</v>
      </c>
      <c r="P12" s="19" t="s">
        <v>282</v>
      </c>
      <c r="Q12" s="18">
        <f>VLOOKUP(P12,ESPNScores!$A$2:$B$206,2,FALSE)</f>
        <v>50</v>
      </c>
      <c r="R12" s="19" t="s">
        <v>282</v>
      </c>
      <c r="S12" s="18">
        <f>VLOOKUP(R12,ESPNScores!$A$2:$B$206,2,FALSE)</f>
        <v>50</v>
      </c>
      <c r="T12" s="76" t="s">
        <v>58</v>
      </c>
      <c r="U12" s="18">
        <f>VLOOKUP(T12,ESPNScores!$A$2:$B$206,2,FALSE)</f>
        <v>0</v>
      </c>
    </row>
    <row r="13" spans="1:21" x14ac:dyDescent="0.2">
      <c r="B13" s="36" t="str">
        <v>Ken Webster</v>
      </c>
      <c r="C13" s="37">
        <v>-25</v>
      </c>
      <c r="D13" s="79"/>
      <c r="E13" s="14"/>
    </row>
    <row r="14" spans="1:21" s="7" customFormat="1" x14ac:dyDescent="0.2">
      <c r="B14" s="36" t="str">
        <v>Mark Brenman</v>
      </c>
      <c r="C14" s="37">
        <v>-22</v>
      </c>
      <c r="D14" s="79"/>
      <c r="E14" s="12"/>
      <c r="F14" s="10" t="s">
        <v>14</v>
      </c>
      <c r="G14" s="11">
        <f>SMALL(G15:G24,1)+SMALL(G15:G24,2)+SMALL(G15:G24,3)+SMALL(G15:G24,4)+SMALL(G15:G24,5)</f>
        <v>-38</v>
      </c>
      <c r="H14" s="10" t="s">
        <v>6</v>
      </c>
      <c r="I14" s="11">
        <f>SMALL(I15:I24,1)+SMALL(I15:I24,2)+SMALL(I15:I24,3)+SMALL(I15:I24,4)+SMALL(I15:I24,5)</f>
        <v>-16</v>
      </c>
      <c r="J14" s="10" t="s">
        <v>13</v>
      </c>
      <c r="K14" s="11">
        <f>SMALL(K15:K24,1)+SMALL(K15:K24,2)+SMALL(K15:K24,3)+SMALL(K15:K24,4)+SMALL(K15:K24,5)</f>
        <v>-37</v>
      </c>
      <c r="L14" s="7" t="s">
        <v>486</v>
      </c>
      <c r="M14" s="11">
        <f>SMALL(M15:M24,1)+SMALL(M15:M24,2)+SMALL(M15:M24,3)+SMALL(M15:M24,4)+SMALL(M15:M24,5)</f>
        <v>-20</v>
      </c>
      <c r="N14" s="10" t="s">
        <v>4</v>
      </c>
      <c r="O14" s="11">
        <f>SMALL(O15:O24,1)+SMALL(O15:O24,2)+SMALL(O15:O24,3)+SMALL(O15:O24,4)+SMALL(O15:O24,5)</f>
        <v>-33</v>
      </c>
      <c r="P14" s="10" t="s">
        <v>23</v>
      </c>
      <c r="Q14" s="11">
        <f>SMALL(Q15:Q24,1)+SMALL(Q15:Q24,2)+SMALL(Q15:Q24,3)+SMALL(Q15:Q24,4)+SMALL(Q15:Q24,5)</f>
        <v>-29</v>
      </c>
      <c r="R14" s="10" t="s">
        <v>16</v>
      </c>
      <c r="S14" s="11">
        <f>SMALL(S15:S24,1)+SMALL(S15:S24,2)+SMALL(S15:S24,3)+SMALL(S15:S24,4)+SMALL(S15:S24,5)</f>
        <v>-17</v>
      </c>
      <c r="T14" s="10"/>
      <c r="U14" s="11"/>
    </row>
    <row r="15" spans="1:21" x14ac:dyDescent="0.2">
      <c r="B15" s="36" t="str">
        <v>Joe Magnetico</v>
      </c>
      <c r="C15" s="37">
        <v>-21</v>
      </c>
      <c r="D15" s="79"/>
      <c r="E15" s="13">
        <v>1</v>
      </c>
      <c r="F15" s="19" t="s">
        <v>26</v>
      </c>
      <c r="G15" s="18">
        <f>VLOOKUP(F15,ESPNScores!$A$2:$B$206,2,FALSE)</f>
        <v>-4</v>
      </c>
      <c r="H15" s="19" t="s">
        <v>26</v>
      </c>
      <c r="I15" s="18">
        <f>VLOOKUP(H15,ESPNScores!$A$2:$B$206,2,FALSE)</f>
        <v>-4</v>
      </c>
      <c r="J15" s="19" t="s">
        <v>36</v>
      </c>
      <c r="K15" s="18">
        <f>VLOOKUP(J15,ESPNScores!$A$2:$B$206,2,FALSE)</f>
        <v>13</v>
      </c>
      <c r="L15" s="19" t="s">
        <v>36</v>
      </c>
      <c r="M15" s="18">
        <f>VLOOKUP(L15,ESPNScores!$A$2:$B$206,2,FALSE)</f>
        <v>13</v>
      </c>
      <c r="N15" s="19" t="s">
        <v>26</v>
      </c>
      <c r="O15" s="18">
        <f>VLOOKUP(N15,ESPNScores!$A$2:$B$206,2,FALSE)</f>
        <v>-4</v>
      </c>
      <c r="P15" s="19" t="s">
        <v>26</v>
      </c>
      <c r="Q15" s="18">
        <f>VLOOKUP(P15,ESPNScores!$A$2:$B$206,2,FALSE)</f>
        <v>-4</v>
      </c>
      <c r="R15" s="19" t="s">
        <v>36</v>
      </c>
      <c r="S15" s="18">
        <f>VLOOKUP(R15,ESPNScores!$A$2:$B$206,2,FALSE)</f>
        <v>13</v>
      </c>
      <c r="T15" s="76"/>
    </row>
    <row r="16" spans="1:21" x14ac:dyDescent="0.2">
      <c r="B16" s="36" t="str">
        <v>Anne Heal</v>
      </c>
      <c r="C16" s="37">
        <v>-20</v>
      </c>
      <c r="D16" s="79"/>
      <c r="E16" s="13">
        <v>2</v>
      </c>
      <c r="F16" s="19" t="s">
        <v>27</v>
      </c>
      <c r="G16" s="18">
        <f>VLOOKUP(F16,ESPNScores!$A$2:$B$206,2,FALSE)</f>
        <v>-12</v>
      </c>
      <c r="H16" s="19" t="s">
        <v>392</v>
      </c>
      <c r="I16" s="18">
        <f>VLOOKUP(H16,ESPNScores!$A$2:$B$206,2,FALSE)</f>
        <v>50</v>
      </c>
      <c r="J16" s="19" t="s">
        <v>27</v>
      </c>
      <c r="K16" s="18">
        <f>VLOOKUP(J16,ESPNScores!$A$2:$B$206,2,FALSE)</f>
        <v>-12</v>
      </c>
      <c r="L16" s="19" t="s">
        <v>54</v>
      </c>
      <c r="M16" s="18">
        <f>VLOOKUP(L16,ESPNScores!$A$2:$B$206,2,FALSE)</f>
        <v>-4</v>
      </c>
      <c r="N16" s="19" t="s">
        <v>54</v>
      </c>
      <c r="O16" s="18">
        <f>VLOOKUP(N16,ESPNScores!$A$2:$B$206,2,FALSE)</f>
        <v>-4</v>
      </c>
      <c r="P16" s="19" t="s">
        <v>392</v>
      </c>
      <c r="Q16" s="18">
        <f>VLOOKUP(P16,ESPNScores!$A$2:$B$206,2,FALSE)</f>
        <v>50</v>
      </c>
      <c r="R16" s="19" t="s">
        <v>392</v>
      </c>
      <c r="S16" s="18">
        <f>VLOOKUP(R16,ESPNScores!$A$2:$B$206,2,FALSE)</f>
        <v>50</v>
      </c>
      <c r="T16" s="76"/>
    </row>
    <row r="17" spans="2:23" x14ac:dyDescent="0.2">
      <c r="B17" s="36" t="str">
        <v>Richard Webster</v>
      </c>
      <c r="C17" s="37">
        <v>-18</v>
      </c>
      <c r="D17" s="79"/>
      <c r="E17" s="13">
        <v>3</v>
      </c>
      <c r="F17" s="19" t="s">
        <v>31</v>
      </c>
      <c r="G17" s="18">
        <f>VLOOKUP(F17,ESPNScores!$A$2:$B$206,2,FALSE)</f>
        <v>-6</v>
      </c>
      <c r="H17" s="19" t="s">
        <v>44</v>
      </c>
      <c r="I17" s="18">
        <f>VLOOKUP(H17,ESPNScores!$A$2:$B$206,2,FALSE)</f>
        <v>-7</v>
      </c>
      <c r="J17" s="19" t="s">
        <v>31</v>
      </c>
      <c r="K17" s="18">
        <f>VLOOKUP(J17,ESPNScores!$A$2:$B$206,2,FALSE)</f>
        <v>-6</v>
      </c>
      <c r="L17" s="19" t="s">
        <v>44</v>
      </c>
      <c r="M17" s="18">
        <f>VLOOKUP(L17,ESPNScores!$A$2:$B$206,2,FALSE)</f>
        <v>-7</v>
      </c>
      <c r="N17" s="19" t="s">
        <v>31</v>
      </c>
      <c r="O17" s="18">
        <f>VLOOKUP(N17,ESPNScores!$A$2:$B$206,2,FALSE)</f>
        <v>-6</v>
      </c>
      <c r="P17" s="19" t="s">
        <v>55</v>
      </c>
      <c r="Q17" s="18">
        <f>VLOOKUP(P17,ESPNScores!$A$2:$B$206,2,FALSE)</f>
        <v>50</v>
      </c>
      <c r="R17" s="19" t="s">
        <v>55</v>
      </c>
      <c r="S17" s="18">
        <f>VLOOKUP(R17,ESPNScores!$A$2:$B$206,2,FALSE)</f>
        <v>50</v>
      </c>
      <c r="T17" s="76"/>
    </row>
    <row r="18" spans="2:23" x14ac:dyDescent="0.2">
      <c r="B18" s="36" t="str">
        <v>Chris Callahan</v>
      </c>
      <c r="C18" s="37">
        <v>-17</v>
      </c>
      <c r="D18" s="79"/>
      <c r="E18" s="13">
        <v>4</v>
      </c>
      <c r="F18" s="19" t="s">
        <v>40</v>
      </c>
      <c r="G18" s="18">
        <f>VLOOKUP(F18,ESPNScores!$A$2:$B$206,2,FALSE)</f>
        <v>50</v>
      </c>
      <c r="H18" s="19" t="s">
        <v>48</v>
      </c>
      <c r="I18" s="18">
        <f>VLOOKUP(H18,ESPNScores!$A$2:$B$206,2,FALSE)</f>
        <v>50</v>
      </c>
      <c r="J18" s="19" t="s">
        <v>61</v>
      </c>
      <c r="K18" s="18">
        <f>VLOOKUP(J18,ESPNScores!$A$2:$B$206,2,FALSE)</f>
        <v>2</v>
      </c>
      <c r="L18" s="19" t="s">
        <v>48</v>
      </c>
      <c r="M18" s="18">
        <f>VLOOKUP(L18,ESPNScores!$A$2:$B$206,2,FALSE)</f>
        <v>50</v>
      </c>
      <c r="N18" s="19" t="s">
        <v>48</v>
      </c>
      <c r="O18" s="18">
        <f>VLOOKUP(N18,ESPNScores!$A$2:$B$206,2,FALSE)</f>
        <v>50</v>
      </c>
      <c r="P18" s="19" t="s">
        <v>61</v>
      </c>
      <c r="Q18" s="18">
        <f>VLOOKUP(P18,ESPNScores!$A$2:$B$206,2,FALSE)</f>
        <v>2</v>
      </c>
      <c r="R18" s="19" t="s">
        <v>48</v>
      </c>
      <c r="S18" s="18">
        <f>VLOOKUP(R18,ESPNScores!$A$2:$B$206,2,FALSE)</f>
        <v>50</v>
      </c>
      <c r="T18" s="76"/>
    </row>
    <row r="19" spans="2:23" x14ac:dyDescent="0.2">
      <c r="B19" s="36" t="str">
        <v>Chris Marinis</v>
      </c>
      <c r="C19" s="37">
        <v>-17</v>
      </c>
      <c r="D19" s="79"/>
      <c r="E19" s="13">
        <v>5</v>
      </c>
      <c r="F19" s="19" t="s">
        <v>215</v>
      </c>
      <c r="G19" s="18">
        <f>VLOOKUP(F19,ESPNScores!$A$2:$B$206,2,FALSE)</f>
        <v>50</v>
      </c>
      <c r="H19" s="19" t="s">
        <v>190</v>
      </c>
      <c r="I19" s="18">
        <f>VLOOKUP(H19,ESPNScores!$A$2:$B$206,2,FALSE)</f>
        <v>-4</v>
      </c>
      <c r="J19" s="19" t="s">
        <v>190</v>
      </c>
      <c r="K19" s="18">
        <f>VLOOKUP(J19,ESPNScores!$A$2:$B$206,2,FALSE)</f>
        <v>-4</v>
      </c>
      <c r="L19" s="19" t="s">
        <v>215</v>
      </c>
      <c r="M19" s="18">
        <f>VLOOKUP(L19,ESPNScores!$A$2:$B$206,2,FALSE)</f>
        <v>50</v>
      </c>
      <c r="N19" s="19" t="s">
        <v>190</v>
      </c>
      <c r="O19" s="18">
        <f>VLOOKUP(N19,ESPNScores!$A$2:$B$206,2,FALSE)</f>
        <v>-4</v>
      </c>
      <c r="P19" s="19" t="s">
        <v>190</v>
      </c>
      <c r="Q19" s="18">
        <f>VLOOKUP(P19,ESPNScores!$A$2:$B$206,2,FALSE)</f>
        <v>-4</v>
      </c>
      <c r="R19" s="19" t="s">
        <v>215</v>
      </c>
      <c r="S19" s="18">
        <f>VLOOKUP(R19,ESPNScores!$A$2:$B$206,2,FALSE)</f>
        <v>50</v>
      </c>
      <c r="T19" s="76"/>
    </row>
    <row r="20" spans="2:23" x14ac:dyDescent="0.2">
      <c r="B20" s="36" t="str">
        <v>Bill Seeger</v>
      </c>
      <c r="C20" s="37">
        <v>-16</v>
      </c>
      <c r="D20" s="79"/>
      <c r="E20" s="13">
        <v>6</v>
      </c>
      <c r="F20" s="19" t="s">
        <v>34</v>
      </c>
      <c r="G20" s="18">
        <f>VLOOKUP(F20,ESPNScores!$A$2:$B$206,2,FALSE)</f>
        <v>-3</v>
      </c>
      <c r="H20" s="19" t="s">
        <v>53</v>
      </c>
      <c r="I20" s="18">
        <f>VLOOKUP(H20,ESPNScores!$A$2:$B$206,2,FALSE)</f>
        <v>50</v>
      </c>
      <c r="J20" s="19" t="s">
        <v>53</v>
      </c>
      <c r="K20" s="18">
        <f>VLOOKUP(J20,ESPNScores!$A$2:$B$206,2,FALSE)</f>
        <v>50</v>
      </c>
      <c r="L20" s="19" t="s">
        <v>34</v>
      </c>
      <c r="M20" s="18">
        <f>VLOOKUP(L20,ESPNScores!$A$2:$B$206,2,FALSE)</f>
        <v>-3</v>
      </c>
      <c r="N20" s="19" t="s">
        <v>298</v>
      </c>
      <c r="O20" s="18">
        <f>VLOOKUP(N20,ESPNScores!$A$2:$B$206,2,FALSE)</f>
        <v>-8</v>
      </c>
      <c r="P20" s="19" t="s">
        <v>53</v>
      </c>
      <c r="Q20" s="18">
        <f>VLOOKUP(P20,ESPNScores!$A$2:$B$206,2,FALSE)</f>
        <v>50</v>
      </c>
      <c r="R20" s="19" t="s">
        <v>53</v>
      </c>
      <c r="S20" s="18">
        <f>VLOOKUP(R20,ESPNScores!$A$2:$B$206,2,FALSE)</f>
        <v>50</v>
      </c>
      <c r="T20" s="76"/>
    </row>
    <row r="21" spans="2:23" x14ac:dyDescent="0.2">
      <c r="B21" s="36" t="str">
        <v>Damon Chapman</v>
      </c>
      <c r="C21" s="37">
        <v>-14</v>
      </c>
      <c r="D21" s="79"/>
      <c r="E21" s="13">
        <v>7</v>
      </c>
      <c r="F21" s="19" t="s">
        <v>344</v>
      </c>
      <c r="G21" s="18">
        <f>VLOOKUP(F21,ESPNScores!$A$2:$B$206,2,FALSE)</f>
        <v>-10</v>
      </c>
      <c r="H21" s="19" t="s">
        <v>63</v>
      </c>
      <c r="I21" s="18">
        <f>VLOOKUP(H21,ESPNScores!$A$2:$B$206,2,FALSE)</f>
        <v>2</v>
      </c>
      <c r="J21" s="19" t="s">
        <v>33</v>
      </c>
      <c r="K21" s="18">
        <f>VLOOKUP(J21,ESPNScores!$A$2:$B$206,2,FALSE)</f>
        <v>-5</v>
      </c>
      <c r="L21" s="19" t="s">
        <v>33</v>
      </c>
      <c r="M21" s="18">
        <f>VLOOKUP(L21,ESPNScores!$A$2:$B$206,2,FALSE)</f>
        <v>-5</v>
      </c>
      <c r="N21" s="19" t="s">
        <v>344</v>
      </c>
      <c r="O21" s="18">
        <f>VLOOKUP(N21,ESPNScores!$A$2:$B$206,2,FALSE)</f>
        <v>-10</v>
      </c>
      <c r="P21" s="19" t="s">
        <v>344</v>
      </c>
      <c r="Q21" s="18">
        <f>VLOOKUP(P21,ESPNScores!$A$2:$B$206,2,FALSE)</f>
        <v>-10</v>
      </c>
      <c r="R21" s="19" t="s">
        <v>344</v>
      </c>
      <c r="S21" s="18">
        <f>VLOOKUP(R21,ESPNScores!$A$2:$B$206,2,FALSE)</f>
        <v>-10</v>
      </c>
      <c r="T21" s="78"/>
    </row>
    <row r="22" spans="2:23" x14ac:dyDescent="0.2">
      <c r="B22" s="36" t="str">
        <v>Halley Ganges</v>
      </c>
      <c r="C22" s="37">
        <v>-13</v>
      </c>
      <c r="D22" s="79"/>
      <c r="E22" s="13">
        <v>8</v>
      </c>
      <c r="F22" s="19" t="s">
        <v>51</v>
      </c>
      <c r="G22" s="18">
        <f>VLOOKUP(F22,ESPNScores!$A$2:$B$206,2,FALSE)</f>
        <v>-5</v>
      </c>
      <c r="H22" s="19" t="s">
        <v>225</v>
      </c>
      <c r="I22" s="18">
        <f>VLOOKUP(H22,ESPNScores!$A$2:$B$206,2,FALSE)</f>
        <v>0</v>
      </c>
      <c r="J22" s="19" t="s">
        <v>225</v>
      </c>
      <c r="K22" s="18">
        <f>VLOOKUP(J22,ESPNScores!$A$2:$B$206,2,FALSE)</f>
        <v>0</v>
      </c>
      <c r="L22" s="19" t="s">
        <v>308</v>
      </c>
      <c r="M22" s="18">
        <f>VLOOKUP(L22,ESPNScores!$A$2:$B$206,2,FALSE)</f>
        <v>3</v>
      </c>
      <c r="N22" s="19" t="s">
        <v>225</v>
      </c>
      <c r="O22" s="18">
        <f>VLOOKUP(N22,ESPNScores!$A$2:$B$206,2,FALSE)</f>
        <v>0</v>
      </c>
      <c r="P22" s="19" t="s">
        <v>225</v>
      </c>
      <c r="Q22" s="18">
        <f>VLOOKUP(P22,ESPNScores!$A$2:$B$206,2,FALSE)</f>
        <v>0</v>
      </c>
      <c r="R22" s="19" t="s">
        <v>51</v>
      </c>
      <c r="S22" s="18">
        <f>VLOOKUP(R22,ESPNScores!$A$2:$B$206,2,FALSE)</f>
        <v>-5</v>
      </c>
      <c r="T22" s="76"/>
    </row>
    <row r="23" spans="2:23" x14ac:dyDescent="0.2">
      <c r="B23" s="36" t="str">
        <v>Matt Desai</v>
      </c>
      <c r="C23" s="37">
        <v>-9</v>
      </c>
      <c r="D23" s="79"/>
      <c r="E23" s="13">
        <v>9</v>
      </c>
      <c r="F23" s="19" t="s">
        <v>285</v>
      </c>
      <c r="G23" s="18">
        <f>VLOOKUP(F23,ESPNScores!$A$2:$B$206,2,FALSE)</f>
        <v>-5</v>
      </c>
      <c r="H23" s="19" t="s">
        <v>338</v>
      </c>
      <c r="I23" s="18">
        <f>VLOOKUP(H23,ESPNScores!$A$2:$B$206,2,FALSE)</f>
        <v>-1</v>
      </c>
      <c r="J23" s="19" t="s">
        <v>162</v>
      </c>
      <c r="K23" s="18">
        <f>VLOOKUP(J23,ESPNScores!$A$2:$B$206,2,FALSE)</f>
        <v>-2</v>
      </c>
      <c r="L23" s="19" t="s">
        <v>338</v>
      </c>
      <c r="M23" s="18">
        <f>VLOOKUP(L23,ESPNScores!$A$2:$B$206,2,FALSE)</f>
        <v>-1</v>
      </c>
      <c r="N23" s="19" t="s">
        <v>285</v>
      </c>
      <c r="O23" s="18">
        <f>VLOOKUP(N23,ESPNScores!$A$2:$B$206,2,FALSE)</f>
        <v>-5</v>
      </c>
      <c r="P23" s="19" t="s">
        <v>338</v>
      </c>
      <c r="Q23" s="18">
        <f>VLOOKUP(P23,ESPNScores!$A$2:$B$206,2,FALSE)</f>
        <v>-1</v>
      </c>
      <c r="R23" s="19" t="s">
        <v>285</v>
      </c>
      <c r="S23" s="18">
        <f>VLOOKUP(R23,ESPNScores!$A$2:$B$206,2,FALSE)</f>
        <v>-5</v>
      </c>
      <c r="T23" s="76"/>
    </row>
    <row r="24" spans="2:23" x14ac:dyDescent="0.2">
      <c r="B24" s="38" t="str">
        <v>Russ Flagg</v>
      </c>
      <c r="C24" s="39">
        <v>-3</v>
      </c>
      <c r="D24" s="80"/>
      <c r="E24" s="13">
        <v>10</v>
      </c>
      <c r="F24" s="19" t="s">
        <v>58</v>
      </c>
      <c r="G24" s="18">
        <f>VLOOKUP(F24,ESPNScores!$A$2:$B$206,2,FALSE)</f>
        <v>0</v>
      </c>
      <c r="H24" s="19" t="s">
        <v>58</v>
      </c>
      <c r="I24" s="18">
        <f>VLOOKUP(H24,ESPNScores!$A$2:$B$206,2,FALSE)</f>
        <v>0</v>
      </c>
      <c r="J24" s="19" t="s">
        <v>67</v>
      </c>
      <c r="K24" s="18">
        <f>VLOOKUP(J24,ESPNScores!$A$2:$B$206,2,FALSE)</f>
        <v>-10</v>
      </c>
      <c r="L24" s="19" t="s">
        <v>282</v>
      </c>
      <c r="M24" s="18">
        <f>VLOOKUP(L24,ESPNScores!$A$2:$B$206,2,FALSE)</f>
        <v>50</v>
      </c>
      <c r="N24" s="19" t="s">
        <v>58</v>
      </c>
      <c r="O24" s="18">
        <f>VLOOKUP(N24,ESPNScores!$A$2:$B$206,2,FALSE)</f>
        <v>0</v>
      </c>
      <c r="P24" s="19" t="s">
        <v>67</v>
      </c>
      <c r="Q24" s="18">
        <f>VLOOKUP(P24,ESPNScores!$A$2:$B$206,2,FALSE)</f>
        <v>-10</v>
      </c>
      <c r="R24" s="19" t="s">
        <v>67</v>
      </c>
      <c r="S24" s="18">
        <f>VLOOKUP(R24,ESPNScores!$A$2:$B$206,2,FALSE)</f>
        <v>-10</v>
      </c>
      <c r="T24" s="76"/>
    </row>
    <row r="25" spans="2:23" x14ac:dyDescent="0.2">
      <c r="B25" s="19"/>
      <c r="C25" s="19"/>
      <c r="D25" s="19"/>
      <c r="E25" s="14"/>
    </row>
    <row r="26" spans="2:23" s="7" customFormat="1" x14ac:dyDescent="0.2">
      <c r="B26" s="19"/>
      <c r="C26" s="18"/>
      <c r="D26" s="81"/>
      <c r="E26" s="12"/>
      <c r="F26" s="10" t="s">
        <v>19</v>
      </c>
      <c r="G26" s="11">
        <f>SMALL(G27:G36,1)+SMALL(G27:G36,2)+SMALL(G27:G36,3)+SMALL(G27:G36,4)+SMALL(G27:G36,5)</f>
        <v>-26</v>
      </c>
      <c r="H26" s="10" t="s">
        <v>18</v>
      </c>
      <c r="I26" s="11">
        <f>SMALL(I27:I36,1)+SMALL(I27:I36,2)+SMALL(I27:I36,3)+SMALL(I27:I36,4)+SMALL(I27:I36,5)</f>
        <v>-22</v>
      </c>
      <c r="J26" s="10" t="s">
        <v>20</v>
      </c>
      <c r="K26" s="11">
        <f>SMALL(K27:K36,1)+SMALL(K27:K36,2)+SMALL(K27:K36,3)+SMALL(K27:K36,4)+SMALL(K27:K36,5)</f>
        <v>-25</v>
      </c>
      <c r="L26" s="10" t="s">
        <v>7</v>
      </c>
      <c r="M26" s="11">
        <f>SMALL(M27:M36,1)+SMALL(M27:M36,2)+SMALL(M27:M36,3)+SMALL(M27:M36,4)+SMALL(M27:M36,5)</f>
        <v>-41</v>
      </c>
      <c r="N26" s="10" t="s">
        <v>11</v>
      </c>
      <c r="O26" s="11">
        <f>SMALL(O27:O36,1)+SMALL(O27:O36,2)+SMALL(O27:O36,3)+SMALL(O27:O36,4)+SMALL(O27:O36,5)</f>
        <v>-14</v>
      </c>
      <c r="P26" s="10" t="s">
        <v>22</v>
      </c>
      <c r="Q26" s="11">
        <f>SMALL(Q27:Q36,1)+SMALL(Q27:Q36,2)+SMALL(Q27:Q36,3)+SMALL(Q27:Q36,4)+SMALL(Q27:Q36,5)</f>
        <v>-17</v>
      </c>
      <c r="R26" s="10" t="s">
        <v>21</v>
      </c>
      <c r="S26" s="11">
        <f>SMALL(S27:S36,1)+SMALL(S27:S36,2)+SMALL(S27:S36,3)+SMALL(S27:S36,4)+SMALL(S27:S36,5)</f>
        <v>-46</v>
      </c>
      <c r="T26" s="19"/>
      <c r="U26" s="19"/>
      <c r="V26"/>
      <c r="W26"/>
    </row>
    <row r="27" spans="2:23" x14ac:dyDescent="0.2">
      <c r="B27" s="19"/>
      <c r="C27" s="18"/>
      <c r="D27" s="44"/>
      <c r="E27" s="13">
        <v>1</v>
      </c>
      <c r="F27" s="19" t="s">
        <v>36</v>
      </c>
      <c r="G27" s="18">
        <f>VLOOKUP(F27,ESPNScores!$A$2:$B$206,2,FALSE)</f>
        <v>13</v>
      </c>
      <c r="H27" s="19" t="s">
        <v>26</v>
      </c>
      <c r="I27" s="18">
        <f>VLOOKUP(H27,ESPNScores!$A$2:$B$206,2,FALSE)</f>
        <v>-4</v>
      </c>
      <c r="J27" s="19" t="s">
        <v>26</v>
      </c>
      <c r="K27" s="18">
        <f>VLOOKUP(J27,ESPNScores!$A$2:$B$206,2,FALSE)</f>
        <v>-4</v>
      </c>
      <c r="L27" s="19" t="s">
        <v>26</v>
      </c>
      <c r="M27" s="18">
        <f>VLOOKUP(L27,ESPNScores!$A$2:$B$206,2,FALSE)</f>
        <v>-4</v>
      </c>
      <c r="N27" s="19" t="s">
        <v>26</v>
      </c>
      <c r="O27" s="18">
        <f>VLOOKUP(N27,ESPNScores!$A$2:$B$206,2,FALSE)</f>
        <v>-4</v>
      </c>
      <c r="P27" s="19" t="s">
        <v>26</v>
      </c>
      <c r="Q27" s="18">
        <f>VLOOKUP(P27,ESPNScores!$A$2:$B$206,2,FALSE)</f>
        <v>-4</v>
      </c>
      <c r="R27" s="19" t="s">
        <v>26</v>
      </c>
      <c r="S27" s="18">
        <f>VLOOKUP(R27,ESPNScores!$A$2:$B$206,2,FALSE)</f>
        <v>-4</v>
      </c>
      <c r="U27" s="19"/>
      <c r="W27"/>
    </row>
    <row r="28" spans="2:23" ht="15" x14ac:dyDescent="0.25">
      <c r="B28" s="88" t="s">
        <v>398</v>
      </c>
      <c r="C28" s="18"/>
      <c r="D28" s="44"/>
      <c r="E28" s="13">
        <v>2</v>
      </c>
      <c r="F28" s="19" t="s">
        <v>392</v>
      </c>
      <c r="G28" s="18">
        <f>VLOOKUP(F28,ESPNScores!$A$2:$B$206,2,FALSE)</f>
        <v>50</v>
      </c>
      <c r="H28" s="19" t="s">
        <v>392</v>
      </c>
      <c r="I28" s="18">
        <f>VLOOKUP(H28,ESPNScores!$A$2:$B$206,2,FALSE)</f>
        <v>50</v>
      </c>
      <c r="J28" s="19" t="s">
        <v>392</v>
      </c>
      <c r="K28" s="18">
        <f>VLOOKUP(J28,ESPNScores!$A$2:$B$206,2,FALSE)</f>
        <v>50</v>
      </c>
      <c r="L28" s="19" t="s">
        <v>27</v>
      </c>
      <c r="M28" s="18">
        <f>VLOOKUP(L28,ESPNScores!$A$2:$B$206,2,FALSE)</f>
        <v>-12</v>
      </c>
      <c r="N28" s="19" t="s">
        <v>392</v>
      </c>
      <c r="O28" s="18">
        <f>VLOOKUP(N28,ESPNScores!$A$2:$B$206,2,FALSE)</f>
        <v>50</v>
      </c>
      <c r="P28" s="19" t="s">
        <v>392</v>
      </c>
      <c r="Q28" s="18">
        <f>VLOOKUP(P28,ESPNScores!$A$2:$B$206,2,FALSE)</f>
        <v>50</v>
      </c>
      <c r="R28" s="19" t="s">
        <v>27</v>
      </c>
      <c r="S28" s="18">
        <f>VLOOKUP(R28,ESPNScores!$A$2:$B$206,2,FALSE)</f>
        <v>-12</v>
      </c>
      <c r="V28" s="9"/>
    </row>
    <row r="29" spans="2:23" ht="15" x14ac:dyDescent="0.25">
      <c r="B29" s="87" t="str">
        <f>ESPNScores!A2</f>
        <v>Rory McIlroy</v>
      </c>
      <c r="C29" s="87">
        <f>ESPNScores!B2</f>
        <v>-12</v>
      </c>
      <c r="D29" s="44"/>
      <c r="E29" s="13">
        <v>3</v>
      </c>
      <c r="F29" s="19" t="s">
        <v>44</v>
      </c>
      <c r="G29" s="18">
        <f>VLOOKUP(F29,ESPNScores!$A$2:$B$206,2,FALSE)</f>
        <v>-7</v>
      </c>
      <c r="H29" s="19" t="s">
        <v>44</v>
      </c>
      <c r="I29" s="18">
        <f>VLOOKUP(H29,ESPNScores!$A$2:$B$206,2,FALSE)</f>
        <v>-7</v>
      </c>
      <c r="J29" s="19" t="s">
        <v>44</v>
      </c>
      <c r="K29" s="18">
        <f>VLOOKUP(J29,ESPNScores!$A$2:$B$206,2,FALSE)</f>
        <v>-7</v>
      </c>
      <c r="L29" s="19" t="s">
        <v>44</v>
      </c>
      <c r="M29" s="18">
        <f>VLOOKUP(L29,ESPNScores!$A$2:$B$206,2,FALSE)</f>
        <v>-7</v>
      </c>
      <c r="N29" s="19" t="s">
        <v>55</v>
      </c>
      <c r="O29" s="18">
        <f>VLOOKUP(N29,ESPNScores!$A$2:$B$206,2,FALSE)</f>
        <v>50</v>
      </c>
      <c r="P29" s="19" t="s">
        <v>44</v>
      </c>
      <c r="Q29" s="18">
        <f>VLOOKUP(P29,ESPNScores!$A$2:$B$206,2,FALSE)</f>
        <v>-7</v>
      </c>
      <c r="R29" s="19" t="s">
        <v>31</v>
      </c>
      <c r="S29" s="18">
        <f>VLOOKUP(R29,ESPNScores!$A$2:$B$206,2,FALSE)</f>
        <v>-6</v>
      </c>
      <c r="V29" s="9"/>
    </row>
    <row r="30" spans="2:23" ht="15" x14ac:dyDescent="0.25">
      <c r="B30" s="87" t="str">
        <f>ESPNScores!A3</f>
        <v>J.J. Spaun</v>
      </c>
      <c r="C30" s="87">
        <f>ESPNScores!B3</f>
        <v>-12</v>
      </c>
      <c r="D30" s="44"/>
      <c r="E30" s="13">
        <v>4</v>
      </c>
      <c r="F30" s="19" t="s">
        <v>61</v>
      </c>
      <c r="G30" s="18">
        <f>VLOOKUP(F30,ESPNScores!$A$2:$B$206,2,FALSE)</f>
        <v>2</v>
      </c>
      <c r="H30" s="19" t="s">
        <v>48</v>
      </c>
      <c r="I30" s="18">
        <f>VLOOKUP(H30,ESPNScores!$A$2:$B$206,2,FALSE)</f>
        <v>50</v>
      </c>
      <c r="J30" s="19" t="s">
        <v>61</v>
      </c>
      <c r="K30" s="18">
        <f>VLOOKUP(J30,ESPNScores!$A$2:$B$206,2,FALSE)</f>
        <v>2</v>
      </c>
      <c r="L30" s="19" t="s">
        <v>48</v>
      </c>
      <c r="M30" s="18">
        <f>VLOOKUP(L30,ESPNScores!$A$2:$B$206,2,FALSE)</f>
        <v>50</v>
      </c>
      <c r="N30" s="19" t="s">
        <v>48</v>
      </c>
      <c r="O30" s="18">
        <f>VLOOKUP(N30,ESPNScores!$A$2:$B$206,2,FALSE)</f>
        <v>50</v>
      </c>
      <c r="P30" s="19" t="s">
        <v>48</v>
      </c>
      <c r="Q30" s="18">
        <f>VLOOKUP(P30,ESPNScores!$A$2:$B$206,2,FALSE)</f>
        <v>50</v>
      </c>
      <c r="R30" s="19" t="s">
        <v>61</v>
      </c>
      <c r="S30" s="18">
        <f>VLOOKUP(R30,ESPNScores!$A$2:$B$206,2,FALSE)</f>
        <v>2</v>
      </c>
      <c r="V30" s="9"/>
    </row>
    <row r="31" spans="2:23" ht="15" x14ac:dyDescent="0.25">
      <c r="B31" s="87" t="str">
        <f>ESPNScores!A4</f>
        <v>Tom Hoge</v>
      </c>
      <c r="C31" s="87">
        <f>ESPNScores!B4</f>
        <v>-10</v>
      </c>
      <c r="D31" s="44"/>
      <c r="E31" s="13">
        <v>5</v>
      </c>
      <c r="F31" s="19" t="s">
        <v>215</v>
      </c>
      <c r="G31" s="18">
        <f>VLOOKUP(F31,ESPNScores!$A$2:$B$206,2,FALSE)</f>
        <v>50</v>
      </c>
      <c r="H31" s="19" t="s">
        <v>190</v>
      </c>
      <c r="I31" s="18">
        <f>VLOOKUP(H31,ESPNScores!$A$2:$B$206,2,FALSE)</f>
        <v>-4</v>
      </c>
      <c r="J31" s="19" t="s">
        <v>38</v>
      </c>
      <c r="K31" s="18">
        <f>VLOOKUP(J31,ESPNScores!$A$2:$B$206,2,FALSE)</f>
        <v>6</v>
      </c>
      <c r="L31" s="19" t="s">
        <v>190</v>
      </c>
      <c r="M31" s="18">
        <f>VLOOKUP(L31,ESPNScores!$A$2:$B$206,2,FALSE)</f>
        <v>-4</v>
      </c>
      <c r="N31" s="19" t="s">
        <v>215</v>
      </c>
      <c r="O31" s="18">
        <f>VLOOKUP(N31,ESPNScores!$A$2:$B$206,2,FALSE)</f>
        <v>50</v>
      </c>
      <c r="P31" s="19" t="s">
        <v>215</v>
      </c>
      <c r="Q31" s="18">
        <f>VLOOKUP(P31,ESPNScores!$A$2:$B$206,2,FALSE)</f>
        <v>50</v>
      </c>
      <c r="R31" s="19" t="s">
        <v>190</v>
      </c>
      <c r="S31" s="18">
        <f>VLOOKUP(R31,ESPNScores!$A$2:$B$206,2,FALSE)</f>
        <v>-4</v>
      </c>
      <c r="V31" s="32"/>
    </row>
    <row r="32" spans="2:23" ht="15" x14ac:dyDescent="0.25">
      <c r="B32" s="87" t="str">
        <f>ESPNScores!A5</f>
        <v>Akshay Bhatia</v>
      </c>
      <c r="C32" s="87">
        <f>ESPNScores!B5</f>
        <v>-10</v>
      </c>
      <c r="D32" s="44"/>
      <c r="E32" s="13">
        <v>6</v>
      </c>
      <c r="F32" s="19" t="s">
        <v>53</v>
      </c>
      <c r="G32" s="18">
        <f>VLOOKUP(F32,ESPNScores!$A$2:$B$206,2,FALSE)</f>
        <v>50</v>
      </c>
      <c r="H32" s="19" t="s">
        <v>53</v>
      </c>
      <c r="I32" s="18">
        <f>VLOOKUP(H32,ESPNScores!$A$2:$B$206,2,FALSE)</f>
        <v>50</v>
      </c>
      <c r="J32" s="19" t="s">
        <v>298</v>
      </c>
      <c r="K32" s="18">
        <f>VLOOKUP(J32,ESPNScores!$A$2:$B$206,2,FALSE)</f>
        <v>-8</v>
      </c>
      <c r="L32" s="19" t="s">
        <v>298</v>
      </c>
      <c r="M32" s="18">
        <f>VLOOKUP(L32,ESPNScores!$A$2:$B$206,2,FALSE)</f>
        <v>-8</v>
      </c>
      <c r="N32" s="19" t="s">
        <v>53</v>
      </c>
      <c r="O32" s="18">
        <f>VLOOKUP(N32,ESPNScores!$A$2:$B$206,2,FALSE)</f>
        <v>50</v>
      </c>
      <c r="P32" s="19" t="s">
        <v>53</v>
      </c>
      <c r="Q32" s="18">
        <f>VLOOKUP(P32,ESPNScores!$A$2:$B$206,2,FALSE)</f>
        <v>50</v>
      </c>
      <c r="R32" s="19" t="s">
        <v>298</v>
      </c>
      <c r="S32" s="18">
        <f>VLOOKUP(R32,ESPNScores!$A$2:$B$206,2,FALSE)</f>
        <v>-8</v>
      </c>
      <c r="V32" s="9"/>
    </row>
    <row r="33" spans="2:27" ht="15" x14ac:dyDescent="0.25">
      <c r="B33" s="87" t="str">
        <f>ESPNScores!A6</f>
        <v>Lucas Glover</v>
      </c>
      <c r="C33" s="87">
        <f>ESPNScores!B6</f>
        <v>-10</v>
      </c>
      <c r="D33" s="44"/>
      <c r="E33" s="13">
        <v>7</v>
      </c>
      <c r="F33" s="19" t="s">
        <v>344</v>
      </c>
      <c r="G33" s="18">
        <f>VLOOKUP(F33,ESPNScores!$A$2:$B$206,2,FALSE)</f>
        <v>-10</v>
      </c>
      <c r="H33" s="19" t="s">
        <v>33</v>
      </c>
      <c r="I33" s="18">
        <f>VLOOKUP(H33,ESPNScores!$A$2:$B$206,2,FALSE)</f>
        <v>-5</v>
      </c>
      <c r="J33" s="19" t="s">
        <v>33</v>
      </c>
      <c r="K33" s="18">
        <f>VLOOKUP(J33,ESPNScores!$A$2:$B$206,2,FALSE)</f>
        <v>-5</v>
      </c>
      <c r="L33" s="19" t="s">
        <v>344</v>
      </c>
      <c r="M33" s="18">
        <f>VLOOKUP(L33,ESPNScores!$A$2:$B$206,2,FALSE)</f>
        <v>-10</v>
      </c>
      <c r="N33" s="19" t="s">
        <v>33</v>
      </c>
      <c r="O33" s="18">
        <f>VLOOKUP(N33,ESPNScores!$A$2:$B$206,2,FALSE)</f>
        <v>-5</v>
      </c>
      <c r="P33" s="19" t="s">
        <v>33</v>
      </c>
      <c r="Q33" s="18">
        <f>VLOOKUP(P33,ESPNScores!$A$2:$B$206,2,FALSE)</f>
        <v>-5</v>
      </c>
      <c r="R33" s="19" t="s">
        <v>344</v>
      </c>
      <c r="S33" s="18">
        <f>VLOOKUP(R33,ESPNScores!$A$2:$B$206,2,FALSE)</f>
        <v>-10</v>
      </c>
      <c r="V33" s="9"/>
    </row>
    <row r="34" spans="2:27" ht="15" x14ac:dyDescent="0.25">
      <c r="B34" s="19"/>
      <c r="C34" s="18"/>
      <c r="D34" s="44"/>
      <c r="E34" s="13">
        <v>8</v>
      </c>
      <c r="F34" s="19" t="s">
        <v>308</v>
      </c>
      <c r="G34" s="18">
        <f>VLOOKUP(F34,ESPNScores!$A$2:$B$206,2,FALSE)</f>
        <v>3</v>
      </c>
      <c r="H34" s="19" t="s">
        <v>225</v>
      </c>
      <c r="I34" s="18">
        <f>VLOOKUP(H34,ESPNScores!$A$2:$B$206,2,FALSE)</f>
        <v>0</v>
      </c>
      <c r="J34" s="19" t="s">
        <v>225</v>
      </c>
      <c r="K34" s="18">
        <f>VLOOKUP(J34,ESPNScores!$A$2:$B$206,2,FALSE)</f>
        <v>0</v>
      </c>
      <c r="L34" s="19" t="s">
        <v>225</v>
      </c>
      <c r="M34" s="18">
        <f>VLOOKUP(L34,ESPNScores!$A$2:$B$206,2,FALSE)</f>
        <v>0</v>
      </c>
      <c r="N34" s="19" t="s">
        <v>225</v>
      </c>
      <c r="O34" s="18">
        <f>VLOOKUP(N34,ESPNScores!$A$2:$B$206,2,FALSE)</f>
        <v>0</v>
      </c>
      <c r="P34" s="19" t="s">
        <v>308</v>
      </c>
      <c r="Q34" s="18">
        <f>VLOOKUP(P34,ESPNScores!$A$2:$B$206,2,FALSE)</f>
        <v>3</v>
      </c>
      <c r="R34" s="19" t="s">
        <v>51</v>
      </c>
      <c r="S34" s="18">
        <f>VLOOKUP(R34,ESPNScores!$A$2:$B$206,2,FALSE)</f>
        <v>-5</v>
      </c>
      <c r="T34" s="76"/>
      <c r="V34" s="9"/>
    </row>
    <row r="35" spans="2:27" ht="15" x14ac:dyDescent="0.25">
      <c r="B35" s="88" t="s">
        <v>463</v>
      </c>
      <c r="C35" s="18"/>
      <c r="D35" s="44"/>
      <c r="E35" s="13">
        <v>9</v>
      </c>
      <c r="F35" s="19" t="s">
        <v>338</v>
      </c>
      <c r="G35" s="18">
        <f>VLOOKUP(F35,ESPNScores!$A$2:$B$206,2,FALSE)</f>
        <v>-1</v>
      </c>
      <c r="H35" s="19" t="s">
        <v>162</v>
      </c>
      <c r="I35" s="18">
        <f>VLOOKUP(H35,ESPNScores!$A$2:$B$206,2,FALSE)</f>
        <v>-2</v>
      </c>
      <c r="J35" s="19" t="s">
        <v>338</v>
      </c>
      <c r="K35" s="18">
        <f>VLOOKUP(J35,ESPNScores!$A$2:$B$206,2,FALSE)</f>
        <v>-1</v>
      </c>
      <c r="L35" s="19" t="s">
        <v>338</v>
      </c>
      <c r="M35" s="18">
        <f>VLOOKUP(L35,ESPNScores!$A$2:$B$206,2,FALSE)</f>
        <v>-1</v>
      </c>
      <c r="N35" s="19" t="s">
        <v>285</v>
      </c>
      <c r="O35" s="18">
        <f>VLOOKUP(N35,ESPNScores!$A$2:$B$206,2,FALSE)</f>
        <v>-5</v>
      </c>
      <c r="P35" s="19" t="s">
        <v>338</v>
      </c>
      <c r="Q35" s="18">
        <f>VLOOKUP(P35,ESPNScores!$A$2:$B$206,2,FALSE)</f>
        <v>-1</v>
      </c>
      <c r="R35" s="19" t="s">
        <v>162</v>
      </c>
      <c r="S35" s="18">
        <f>VLOOKUP(R35,ESPNScores!$A$2:$B$206,2,FALSE)</f>
        <v>-2</v>
      </c>
      <c r="V35" s="9"/>
    </row>
    <row r="36" spans="2:27" ht="15" x14ac:dyDescent="0.25">
      <c r="B36" s="89" t="s">
        <v>488</v>
      </c>
      <c r="C36" s="18"/>
      <c r="D36" s="44"/>
      <c r="E36" s="13">
        <v>10</v>
      </c>
      <c r="F36" s="19" t="s">
        <v>67</v>
      </c>
      <c r="G36" s="18">
        <f>VLOOKUP(F36,ESPNScores!$A$2:$B$206,2,FALSE)</f>
        <v>-10</v>
      </c>
      <c r="H36" s="19" t="s">
        <v>58</v>
      </c>
      <c r="I36" s="18">
        <f>VLOOKUP(H36,ESPNScores!$A$2:$B$206,2,FALSE)</f>
        <v>0</v>
      </c>
      <c r="J36" s="19" t="s">
        <v>282</v>
      </c>
      <c r="K36" s="18">
        <f>VLOOKUP(J36,ESPNScores!$A$2:$B$206,2,FALSE)</f>
        <v>50</v>
      </c>
      <c r="L36" s="19" t="s">
        <v>282</v>
      </c>
      <c r="M36" s="18">
        <f>VLOOKUP(L36,ESPNScores!$A$2:$B$206,2,FALSE)</f>
        <v>50</v>
      </c>
      <c r="N36" s="19" t="s">
        <v>58</v>
      </c>
      <c r="O36" s="18">
        <f>VLOOKUP(N36,ESPNScores!$A$2:$B$206,2,FALSE)</f>
        <v>0</v>
      </c>
      <c r="P36" s="19" t="s">
        <v>58</v>
      </c>
      <c r="Q36" s="18">
        <f>VLOOKUP(P36,ESPNScores!$A$2:$B$206,2,FALSE)</f>
        <v>0</v>
      </c>
      <c r="R36" s="19" t="s">
        <v>67</v>
      </c>
      <c r="S36" s="18">
        <f>VLOOKUP(R36,ESPNScores!$A$2:$B$206,2,FALSE)</f>
        <v>-10</v>
      </c>
      <c r="V36" s="9"/>
    </row>
    <row r="37" spans="2:27" ht="15" x14ac:dyDescent="0.25">
      <c r="B37" s="19"/>
      <c r="C37" s="18"/>
      <c r="D37" s="44"/>
      <c r="E37" s="8"/>
      <c r="F37" s="76"/>
      <c r="G37" s="18"/>
      <c r="H37" s="76"/>
      <c r="I37" s="18"/>
      <c r="J37" s="76"/>
      <c r="K37" s="18"/>
      <c r="L37" s="76"/>
      <c r="M37" s="18"/>
      <c r="N37" s="76"/>
      <c r="O37" s="18"/>
      <c r="P37" s="76"/>
      <c r="Q37" s="18"/>
      <c r="R37" s="76"/>
      <c r="S37" s="18"/>
      <c r="V37" s="9"/>
    </row>
    <row r="38" spans="2:27" ht="15" x14ac:dyDescent="0.25">
      <c r="E38" s="8"/>
      <c r="F38" s="76"/>
      <c r="G38" s="18"/>
      <c r="H38" s="76"/>
      <c r="I38" s="18"/>
      <c r="J38" s="76"/>
      <c r="K38" s="18"/>
      <c r="L38" s="76"/>
      <c r="M38" s="18"/>
      <c r="N38" s="76"/>
      <c r="O38" s="18"/>
      <c r="Q38" s="18"/>
      <c r="R38" s="76"/>
      <c r="S38" s="18"/>
      <c r="V38" s="32"/>
    </row>
    <row r="39" spans="2:27" ht="15" x14ac:dyDescent="0.25">
      <c r="E39" s="8"/>
      <c r="F39" s="76"/>
      <c r="G39" s="18"/>
      <c r="H39" s="76"/>
      <c r="I39" s="18"/>
      <c r="J39" s="76"/>
      <c r="K39" s="18"/>
      <c r="L39" s="76"/>
      <c r="M39" s="18"/>
      <c r="N39" s="76"/>
      <c r="O39" s="18"/>
      <c r="P39" s="76"/>
      <c r="Q39" s="18"/>
      <c r="R39" s="76"/>
      <c r="S39" s="18"/>
      <c r="V39" s="9"/>
    </row>
    <row r="40" spans="2:27" ht="15" x14ac:dyDescent="0.25">
      <c r="E40" s="8"/>
      <c r="F40" s="76"/>
      <c r="G40" s="18"/>
      <c r="H40" s="76"/>
      <c r="I40" s="18"/>
      <c r="J40" s="76"/>
      <c r="K40" s="18"/>
      <c r="L40" s="76"/>
      <c r="M40" s="18"/>
      <c r="N40" s="76"/>
      <c r="O40" s="18"/>
      <c r="P40" s="76"/>
      <c r="Q40" s="18"/>
      <c r="R40" s="76"/>
      <c r="S40" s="18"/>
      <c r="V40" s="9"/>
    </row>
    <row r="41" spans="2:27" x14ac:dyDescent="0.2">
      <c r="E41" s="8"/>
      <c r="G41" s="18"/>
      <c r="H41" s="76"/>
      <c r="I41" s="18"/>
      <c r="J41" s="76"/>
      <c r="K41" s="18"/>
      <c r="M41" s="18"/>
      <c r="N41" s="76"/>
      <c r="O41" s="18"/>
      <c r="Q41" s="18"/>
      <c r="R41" s="76"/>
      <c r="S41" s="18"/>
    </row>
    <row r="42" spans="2:27" ht="15" x14ac:dyDescent="0.25">
      <c r="E42" s="8"/>
      <c r="F42" s="76"/>
      <c r="G42" s="18"/>
      <c r="H42" s="76"/>
      <c r="I42" s="18"/>
      <c r="J42" s="76"/>
      <c r="K42" s="18"/>
      <c r="L42" s="76"/>
      <c r="M42" s="18"/>
      <c r="N42" s="76"/>
      <c r="O42" s="18"/>
      <c r="P42" s="76"/>
      <c r="Q42" s="18"/>
      <c r="R42" s="31"/>
      <c r="S42" s="18"/>
      <c r="V42" s="9"/>
    </row>
    <row r="43" spans="2:27" ht="15" x14ac:dyDescent="0.25">
      <c r="E43" s="8"/>
      <c r="F43" s="76"/>
      <c r="G43" s="18"/>
      <c r="H43" s="76"/>
      <c r="I43" s="18"/>
      <c r="J43" s="76"/>
      <c r="K43" s="18"/>
      <c r="L43" s="76"/>
      <c r="M43" s="18"/>
      <c r="N43" s="76"/>
      <c r="O43" s="18"/>
      <c r="P43" s="76"/>
      <c r="Q43" s="18"/>
      <c r="R43" s="76"/>
      <c r="S43" s="18"/>
      <c r="V43" s="9"/>
    </row>
    <row r="44" spans="2:27" x14ac:dyDescent="0.2">
      <c r="E44"/>
      <c r="G44" s="18"/>
      <c r="I44" s="18"/>
      <c r="K44" s="18"/>
      <c r="M44" s="18"/>
      <c r="O44" s="18"/>
      <c r="Q44" s="18"/>
      <c r="S44" s="18"/>
    </row>
    <row r="45" spans="2:27" x14ac:dyDescent="0.2">
      <c r="B45" t="s">
        <v>489</v>
      </c>
      <c r="E45"/>
      <c r="F45" s="19" t="str">
        <f>F2</f>
        <v>Joe Magnetico</v>
      </c>
      <c r="G45" s="19" t="str">
        <f>H2</f>
        <v>Richard Webster</v>
      </c>
      <c r="H45" s="19" t="str">
        <f>J2</f>
        <v>Dean Nardone</v>
      </c>
      <c r="I45" s="19" t="str">
        <f>L2</f>
        <v>Charlie Adams</v>
      </c>
      <c r="J45" s="19" t="str">
        <f>N2</f>
        <v>Russ Flagg</v>
      </c>
      <c r="K45" s="19" t="str">
        <f>P2</f>
        <v>Gary Casarsa</v>
      </c>
      <c r="L45" s="19" t="str">
        <f>R2</f>
        <v>Halley Ganges</v>
      </c>
      <c r="M45" s="19" t="str">
        <f>T2</f>
        <v>Matt Desai</v>
      </c>
      <c r="N45" s="19" t="str">
        <f>F14</f>
        <v>Mike Coope</v>
      </c>
      <c r="O45" s="19" t="str">
        <f>H14</f>
        <v>Bill Seeger</v>
      </c>
      <c r="P45" s="19" t="str">
        <f>J14</f>
        <v>Laurie Seeger</v>
      </c>
      <c r="Q45" s="19" t="str">
        <f>L14</f>
        <v>Anne Heal</v>
      </c>
      <c r="R45" s="19" t="str">
        <f>N14</f>
        <v>Lorraine McGill</v>
      </c>
      <c r="S45" s="19" t="str">
        <f>P14</f>
        <v>Steve McFadden</v>
      </c>
      <c r="T45" s="19" t="str">
        <f>R14</f>
        <v>Chris Callahan</v>
      </c>
      <c r="U45" s="19" t="str">
        <f>F26</f>
        <v>Sean Christian</v>
      </c>
      <c r="V45" t="str">
        <f>H26</f>
        <v>Mark Brenman</v>
      </c>
      <c r="W45" s="3" t="str">
        <f>J26</f>
        <v>Ken Webster</v>
      </c>
      <c r="X45" t="str">
        <f>L26</f>
        <v>Matt Myers</v>
      </c>
      <c r="Y45" t="str">
        <f>N26</f>
        <v>Damon Chapman</v>
      </c>
      <c r="Z45" t="str">
        <f>P26</f>
        <v>Chris Marinis</v>
      </c>
      <c r="AA45" t="str">
        <f>R26</f>
        <v>Frank Prestifilippo</v>
      </c>
    </row>
    <row r="46" spans="2:27" x14ac:dyDescent="0.2">
      <c r="B46" t="s">
        <v>487</v>
      </c>
      <c r="E46" s="19" t="s">
        <v>79</v>
      </c>
      <c r="F46" s="19">
        <f>G2</f>
        <v>-21</v>
      </c>
      <c r="G46" s="18">
        <f>I2</f>
        <v>-18</v>
      </c>
      <c r="H46" s="19">
        <f>K2</f>
        <v>-35</v>
      </c>
      <c r="I46" s="18">
        <f>M2</f>
        <v>-25</v>
      </c>
      <c r="J46" s="19">
        <f>O2</f>
        <v>-3</v>
      </c>
      <c r="K46" s="18">
        <f>Q2</f>
        <v>-30</v>
      </c>
      <c r="L46" s="19">
        <f>S2</f>
        <v>-13</v>
      </c>
      <c r="M46" s="18">
        <f>U2</f>
        <v>-9</v>
      </c>
      <c r="N46" s="19">
        <f>G14</f>
        <v>-38</v>
      </c>
      <c r="O46" s="18">
        <f>I14</f>
        <v>-16</v>
      </c>
      <c r="P46" s="19">
        <f>K14</f>
        <v>-37</v>
      </c>
      <c r="Q46" s="18">
        <f>M14</f>
        <v>-20</v>
      </c>
      <c r="R46" s="19">
        <f>O14</f>
        <v>-33</v>
      </c>
      <c r="S46" s="18">
        <f>Q14</f>
        <v>-29</v>
      </c>
      <c r="T46" s="19">
        <f>S14</f>
        <v>-17</v>
      </c>
      <c r="U46" s="18">
        <f>G26</f>
        <v>-26</v>
      </c>
      <c r="V46">
        <f>I26</f>
        <v>-22</v>
      </c>
      <c r="W46" s="3">
        <f>K26</f>
        <v>-25</v>
      </c>
      <c r="X46">
        <f>M26</f>
        <v>-41</v>
      </c>
      <c r="Y46">
        <f>O26</f>
        <v>-14</v>
      </c>
      <c r="Z46">
        <f>Q26</f>
        <v>-17</v>
      </c>
      <c r="AA46">
        <f>S26</f>
        <v>-46</v>
      </c>
    </row>
    <row r="47" spans="2:27" x14ac:dyDescent="0.2">
      <c r="E47" s="19" t="s">
        <v>376</v>
      </c>
      <c r="F47" s="19">
        <v>-20</v>
      </c>
      <c r="G47" s="19">
        <v>-20</v>
      </c>
      <c r="H47" s="19">
        <v>-23</v>
      </c>
      <c r="I47" s="18">
        <v>-19</v>
      </c>
      <c r="J47" s="19">
        <v>-33</v>
      </c>
      <c r="K47" s="18">
        <v>-27</v>
      </c>
      <c r="L47" s="19">
        <v>-18</v>
      </c>
      <c r="M47" s="18">
        <v>-19</v>
      </c>
      <c r="N47" s="19">
        <v>-22</v>
      </c>
      <c r="O47" s="18">
        <v>-21</v>
      </c>
      <c r="P47" s="19">
        <v>-28</v>
      </c>
      <c r="Q47" s="18">
        <v>-19</v>
      </c>
      <c r="R47" s="19">
        <v>-19</v>
      </c>
      <c r="S47" s="18">
        <v>-22</v>
      </c>
      <c r="T47" s="19">
        <v>-21</v>
      </c>
      <c r="U47" s="18">
        <v>-22</v>
      </c>
      <c r="V47">
        <v>-21</v>
      </c>
      <c r="W47" s="3">
        <v>-24</v>
      </c>
      <c r="X47">
        <v>23</v>
      </c>
      <c r="Y47">
        <v>-20</v>
      </c>
      <c r="Z47">
        <v>-18</v>
      </c>
      <c r="AA47">
        <v>-15</v>
      </c>
    </row>
    <row r="48" spans="2:27" x14ac:dyDescent="0.2">
      <c r="E48"/>
      <c r="G48" s="19"/>
      <c r="I48" s="19"/>
      <c r="M48" s="18"/>
      <c r="O48" s="18"/>
      <c r="Q48" s="18"/>
      <c r="S48" s="18"/>
    </row>
    <row r="49" spans="5:19" x14ac:dyDescent="0.2">
      <c r="E49"/>
      <c r="G49" s="19"/>
      <c r="I49" s="19"/>
      <c r="M49" s="18"/>
      <c r="O49" s="18"/>
      <c r="Q49" s="18"/>
      <c r="S49" s="18"/>
    </row>
    <row r="50" spans="5:19" x14ac:dyDescent="0.2">
      <c r="G50" s="19"/>
      <c r="I50" s="19"/>
    </row>
    <row r="51" spans="5:19" x14ac:dyDescent="0.2">
      <c r="G51" s="19"/>
      <c r="I51" s="19"/>
    </row>
    <row r="52" spans="5:19" x14ac:dyDescent="0.2">
      <c r="G52" s="19"/>
      <c r="I52" s="19"/>
    </row>
    <row r="53" spans="5:19" x14ac:dyDescent="0.2">
      <c r="G53" s="19"/>
      <c r="I53" s="19"/>
    </row>
    <row r="54" spans="5:19" x14ac:dyDescent="0.2">
      <c r="G54" s="19"/>
      <c r="I54" s="19"/>
    </row>
    <row r="55" spans="5:19" x14ac:dyDescent="0.2">
      <c r="G55" s="19"/>
      <c r="I55" s="19"/>
    </row>
    <row r="56" spans="5:19" x14ac:dyDescent="0.2">
      <c r="G56" s="19"/>
      <c r="I56" s="19"/>
    </row>
    <row r="57" spans="5:19" x14ac:dyDescent="0.2">
      <c r="F57" s="21"/>
      <c r="G57" s="19"/>
      <c r="I57" s="19"/>
    </row>
    <row r="58" spans="5:19" x14ac:dyDescent="0.2">
      <c r="G58" s="19"/>
      <c r="I58" s="19"/>
    </row>
    <row r="59" spans="5:19" x14ac:dyDescent="0.2">
      <c r="G59" s="19"/>
      <c r="I59" s="19"/>
    </row>
    <row r="60" spans="5:19" x14ac:dyDescent="0.2">
      <c r="G60" s="19"/>
      <c r="I60" s="19"/>
    </row>
    <row r="61" spans="5:19" x14ac:dyDescent="0.2">
      <c r="G61" s="19"/>
      <c r="I61" s="19"/>
    </row>
    <row r="62" spans="5:19" x14ac:dyDescent="0.2">
      <c r="G62" s="19"/>
      <c r="I62" s="19"/>
    </row>
    <row r="63" spans="5:19" x14ac:dyDescent="0.2">
      <c r="G63" s="19"/>
      <c r="I63" s="19"/>
    </row>
    <row r="64" spans="5:19" x14ac:dyDescent="0.2">
      <c r="G64" s="19"/>
      <c r="I64" s="19"/>
    </row>
    <row r="65" spans="7:9" x14ac:dyDescent="0.2">
      <c r="G65" s="19"/>
      <c r="I65" s="19"/>
    </row>
    <row r="66" spans="7:9" x14ac:dyDescent="0.2">
      <c r="G66" s="19"/>
      <c r="I66" s="19"/>
    </row>
    <row r="67" spans="7:9" x14ac:dyDescent="0.2">
      <c r="G67" s="19"/>
      <c r="I67" s="19"/>
    </row>
    <row r="68" spans="7:9" x14ac:dyDescent="0.2">
      <c r="G68" s="19"/>
      <c r="I68" s="19"/>
    </row>
    <row r="69" spans="7:9" x14ac:dyDescent="0.2">
      <c r="G69" s="19"/>
      <c r="I69" s="19"/>
    </row>
    <row r="70" spans="7:9" x14ac:dyDescent="0.2">
      <c r="G70" s="19"/>
      <c r="I70" s="19"/>
    </row>
    <row r="71" spans="7:9" x14ac:dyDescent="0.2">
      <c r="G71" s="19"/>
      <c r="I71" s="19"/>
    </row>
    <row r="72" spans="7:9" x14ac:dyDescent="0.2">
      <c r="G72" s="19"/>
      <c r="I72" s="19"/>
    </row>
    <row r="73" spans="7:9" x14ac:dyDescent="0.2">
      <c r="G73" s="19"/>
      <c r="I73" s="19"/>
    </row>
    <row r="74" spans="7:9" x14ac:dyDescent="0.2">
      <c r="G74" s="19"/>
      <c r="I74" s="19"/>
    </row>
    <row r="75" spans="7:9" x14ac:dyDescent="0.2">
      <c r="G75" s="19"/>
      <c r="I75" s="19"/>
    </row>
    <row r="76" spans="7:9" x14ac:dyDescent="0.2">
      <c r="G76" s="19"/>
      <c r="I76" s="19"/>
    </row>
  </sheetData>
  <conditionalFormatting sqref="G3:G12">
    <cfRule type="cellIs" dxfId="68" priority="47" operator="equal">
      <formula>50</formula>
    </cfRule>
  </conditionalFormatting>
  <conditionalFormatting sqref="I3:I12">
    <cfRule type="cellIs" dxfId="67" priority="24" operator="equal">
      <formula>50</formula>
    </cfRule>
  </conditionalFormatting>
  <conditionalFormatting sqref="K3:K12">
    <cfRule type="cellIs" dxfId="66" priority="23" operator="equal">
      <formula>50</formula>
    </cfRule>
  </conditionalFormatting>
  <conditionalFormatting sqref="M3:M12">
    <cfRule type="cellIs" dxfId="65" priority="22" operator="equal">
      <formula>50</formula>
    </cfRule>
  </conditionalFormatting>
  <conditionalFormatting sqref="O3:O12">
    <cfRule type="cellIs" dxfId="64" priority="21" operator="equal">
      <formula>50</formula>
    </cfRule>
  </conditionalFormatting>
  <conditionalFormatting sqref="Q3:Q12">
    <cfRule type="cellIs" dxfId="63" priority="20" operator="equal">
      <formula>50</formula>
    </cfRule>
  </conditionalFormatting>
  <conditionalFormatting sqref="S3:S12">
    <cfRule type="cellIs" dxfId="62" priority="19" operator="equal">
      <formula>50</formula>
    </cfRule>
  </conditionalFormatting>
  <conditionalFormatting sqref="U3:U12">
    <cfRule type="cellIs" dxfId="61" priority="18" operator="equal">
      <formula>50</formula>
    </cfRule>
  </conditionalFormatting>
  <conditionalFormatting sqref="U15:U24">
    <cfRule type="cellIs" dxfId="60" priority="17" operator="equal">
      <formula>50</formula>
    </cfRule>
  </conditionalFormatting>
  <conditionalFormatting sqref="S15:S24">
    <cfRule type="cellIs" dxfId="59" priority="16" operator="equal">
      <formula>50</formula>
    </cfRule>
  </conditionalFormatting>
  <conditionalFormatting sqref="Q15:Q24">
    <cfRule type="cellIs" dxfId="58" priority="15" operator="equal">
      <formula>50</formula>
    </cfRule>
  </conditionalFormatting>
  <conditionalFormatting sqref="O15:O24">
    <cfRule type="cellIs" dxfId="57" priority="14" operator="equal">
      <formula>50</formula>
    </cfRule>
  </conditionalFormatting>
  <conditionalFormatting sqref="M15:M24">
    <cfRule type="cellIs" dxfId="56" priority="13" operator="equal">
      <formula>50</formula>
    </cfRule>
  </conditionalFormatting>
  <conditionalFormatting sqref="K15:K24">
    <cfRule type="cellIs" dxfId="55" priority="10" operator="equal">
      <formula>50</formula>
    </cfRule>
  </conditionalFormatting>
  <conditionalFormatting sqref="I15:I24">
    <cfRule type="cellIs" dxfId="54" priority="9" operator="equal">
      <formula>50</formula>
    </cfRule>
  </conditionalFormatting>
  <conditionalFormatting sqref="G15:G24">
    <cfRule type="cellIs" dxfId="53" priority="8" operator="equal">
      <formula>50</formula>
    </cfRule>
  </conditionalFormatting>
  <conditionalFormatting sqref="G27:G36">
    <cfRule type="cellIs" dxfId="52" priority="7" operator="equal">
      <formula>50</formula>
    </cfRule>
  </conditionalFormatting>
  <conditionalFormatting sqref="I27:I36">
    <cfRule type="cellIs" dxfId="51" priority="6" operator="equal">
      <formula>50</formula>
    </cfRule>
  </conditionalFormatting>
  <conditionalFormatting sqref="K27:K36">
    <cfRule type="cellIs" dxfId="50" priority="5" operator="equal">
      <formula>50</formula>
    </cfRule>
  </conditionalFormatting>
  <conditionalFormatting sqref="M27:M36">
    <cfRule type="cellIs" dxfId="49" priority="4" operator="equal">
      <formula>50</formula>
    </cfRule>
  </conditionalFormatting>
  <conditionalFormatting sqref="O27:O36">
    <cfRule type="cellIs" dxfId="48" priority="3" operator="equal">
      <formula>50</formula>
    </cfRule>
  </conditionalFormatting>
  <conditionalFormatting sqref="Q27:Q36">
    <cfRule type="cellIs" dxfId="47" priority="2" operator="equal">
      <formula>50</formula>
    </cfRule>
  </conditionalFormatting>
  <conditionalFormatting sqref="S27:S36">
    <cfRule type="cellIs" dxfId="46" priority="1" operator="equal">
      <formula>50</formula>
    </cfRule>
  </conditionalFormatting>
  <hyperlinks>
    <hyperlink ref="B28" r:id="rId1" xr:uid="{D0AA4546-5004-4B1F-911B-2F0670F2C5CC}"/>
    <hyperlink ref="B35" r:id="rId2" xr:uid="{BC59CCE7-F72D-44B7-B9E8-CA8E4B5372EB}"/>
  </hyperlinks>
  <pageMargins left="0.7" right="0.7" top="0.75" bottom="0.75" header="0.3" footer="0.3"/>
  <pageSetup orientation="portrait" r:id="rId3"/>
  <webPublishItems count="1">
    <webPublishItem id="28985" divId="JoeMagneticoMicro_28985" sourceType="range" sourceRef="A1:U38" destinationFile="C:\pga\html\JoeMagnetico.htm"/>
  </webPublishItems>
  <extLst>
    <ext xmlns:x14="http://schemas.microsoft.com/office/spreadsheetml/2009/9/main" uri="{CCE6A557-97BC-4b89-ADB6-D9C93CAAB3DF}">
      <x14:dataValidations xmlns:xm="http://schemas.microsoft.com/office/excel/2006/main" count="12">
        <x14:dataValidation type="list" allowBlank="1" showInputMessage="1" showErrorMessage="1" xr:uid="{539F94BC-FF93-4C20-9BF7-19C1839CB0C9}">
          <x14:formula1>
            <xm:f>'Final 30'!$C$12:$E$12</xm:f>
          </x14:formula1>
          <xm:sqref>F12 P36 N36 L36 J36 H36 F36 F24 H24 J24 L24 N24 P24 R24 T24 T12 R12 P12 N12 L12 J12 H12 R36</xm:sqref>
        </x14:dataValidation>
        <x14:dataValidation type="list" allowBlank="1" showInputMessage="1" showErrorMessage="1" xr:uid="{949C1E13-84E8-4333-ABB0-EB577C63EA77}">
          <x14:formula1>
            <xm:f>'Final 30'!$C$3:$E$3</xm:f>
          </x14:formula1>
          <xm:sqref>H15 T15 J27 N15 R15 F27 P3 F15 J3 F3 R3 L3 P27 H3 P15 J15 T3 L27 H27 N3 N27 L15 R27</xm:sqref>
        </x14:dataValidation>
        <x14:dataValidation type="list" allowBlank="1" showInputMessage="1" showErrorMessage="1" xr:uid="{C549E88D-4B15-4704-A504-D06ACCF12CF0}">
          <x14:formula1>
            <xm:f>'Final 30'!$C$4:$E$4</xm:f>
          </x14:formula1>
          <xm:sqref>F4 H4 V28 R16 L4 N4 J4 P16 H16 N28 T4 P28 T16 J16 N16 R4 L16 F16 F28 L28 J28 H28 P4 T28 R28</xm:sqref>
        </x14:dataValidation>
        <x14:dataValidation type="list" allowBlank="1" showInputMessage="1" showErrorMessage="1" xr:uid="{A7981ABB-4191-43AA-9AE2-A54AAB15783E}">
          <x14:formula1>
            <xm:f>'Final 30'!$C$10:$E$10</xm:f>
          </x14:formula1>
          <xm:sqref>R41 R10 T41 F41 P41 L41 J41 H41 N41 V41 F10 H10 T34 J10 L10 N10 P10 V34 N34 P34 T10 T22 R22 P22 N22 L22 J22 H22 F22 F34 H34 J34 L34 R34</xm:sqref>
        </x14:dataValidation>
        <x14:dataValidation type="list" allowBlank="1" showInputMessage="1" showErrorMessage="1" xr:uid="{8CC3692B-16F2-41CF-B107-27683D121902}">
          <x14:formula1>
            <xm:f>'Final 30'!$C$5:$D$5</xm:f>
          </x14:formula1>
          <xm:sqref>T29 V29</xm:sqref>
        </x14:dataValidation>
        <x14:dataValidation type="list" allowBlank="1" showInputMessage="1" showErrorMessage="1" xr:uid="{3D472122-D78A-4669-8A87-9E7D754EFB13}">
          <x14:formula1>
            <xm:f>'Final 30'!$C$11:$E$11</xm:f>
          </x14:formula1>
          <xm:sqref>H11 R11 J11 L11 N11 P11 L35 T11 P35 F42:F43 T23 R23 L23 N23 F11 J23 H23 F23 F35 H35 J35 P23 N35 T35:T36 V35:V36 V42:V43 T42:T43 R42:R43 P42:P43 N42:N43 L42:L43 J42:J43 H42:H43 R35</xm:sqref>
        </x14:dataValidation>
        <x14:dataValidation type="list" allowBlank="1" showInputMessage="1" showErrorMessage="1" xr:uid="{EB0F033F-F0C0-4423-95CD-52AACF672C34}">
          <x14:formula1>
            <xm:f>'Final 30'!$C$7:$E$7</xm:f>
          </x14:formula1>
          <xm:sqref>F7 H19 T38 P38 R38 J38 H38 L38 F38 N38 V31 T31 H31 J19 T19 F31 J31 P7 P31 F19 L19 N19 P19 V38 T7 L7 N31 R7 L31 N7 R19 J7 H7 R31</xm:sqref>
        </x14:dataValidation>
        <x14:dataValidation type="list" allowBlank="1" showInputMessage="1" showErrorMessage="1" xr:uid="{13C3663C-9CFA-41CD-AFCF-D44F6C4AE3C0}">
          <x14:formula1>
            <xm:f>'Final 30'!$C$8:$E$8</xm:f>
          </x14:formula1>
          <xm:sqref>F8 H20 V39 J39 N39 H39 L39 F39 P39 R39 T32 V32 H32 L32 F32 J32 L20 F20 P8 N20 J20 N32 P20 R20 T20 R8 T8 P32 N8 T39 L8 J8 H8 R32</xm:sqref>
        </x14:dataValidation>
        <x14:dataValidation type="list" allowBlank="1" showInputMessage="1" showErrorMessage="1" xr:uid="{82A56B3E-DF40-48CB-BC21-95F7D13713A0}">
          <x14:formula1>
            <xm:f>'Final 30'!$C$9:$E$9</xm:f>
          </x14:formula1>
          <xm:sqref>F9 H21 V40 R40 J40 N40 L40 H40 F40 P40 T33 V33 H33 L33 J33 F33 J21 F21 P21 N21 L21 R21 N9 T21 N33 T9 P33 R9 P9 T40 L9 J9 H9 R33</xm:sqref>
        </x14:dataValidation>
        <x14:dataValidation type="list" allowBlank="1" showInputMessage="1" showErrorMessage="1" xr:uid="{791B6522-B0FA-4851-9EAA-32B6EC344C5B}">
          <x14:formula1>
            <xm:f>'Final 30'!$C$6:$G$6</xm:f>
          </x14:formula1>
          <xm:sqref>F37 H37 V37 N37 P37 T37 V30 T30 R37 L37 J37</xm:sqref>
        </x14:dataValidation>
        <x14:dataValidation type="list" allowBlank="1" showInputMessage="1" showErrorMessage="1" xr:uid="{8EADF758-4DFC-4976-B490-E8BCA34FCAFF}">
          <x14:formula1>
            <xm:f>'Final 30'!$C$5:$E$5</xm:f>
          </x14:formula1>
          <xm:sqref>F5 H5 J5 L5 N5 P5 R5 T5 T17 R17 P17 N17 L17 J17 H17 F17 F29 H29 J29 L29 N29 P29 R29</xm:sqref>
        </x14:dataValidation>
        <x14:dataValidation type="list" allowBlank="1" showInputMessage="1" showErrorMessage="1" xr:uid="{960DEB4A-B917-4231-B531-63A1D9D1C683}">
          <x14:formula1>
            <xm:f>'Final 30'!$C$6:$E$6</xm:f>
          </x14:formula1>
          <xm:sqref>H6 J6 L6 N6 P6 R6 T6 T18 R18 P18 N18 L18 J18 H18 F18 F30 H30 J30 L30 N30 P30 R30 F6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82226-CF7E-455A-B9AE-E3A9DC39BE14}">
  <sheetPr codeName="Sheet14"/>
  <dimension ref="A1:AH83"/>
  <sheetViews>
    <sheetView zoomScaleNormal="100" workbookViewId="0">
      <selection activeCell="B3" sqref="B3"/>
    </sheetView>
  </sheetViews>
  <sheetFormatPr defaultColWidth="8.5703125" defaultRowHeight="12.75" x14ac:dyDescent="0.2"/>
  <cols>
    <col min="1" max="1" width="2.85546875" customWidth="1"/>
    <col min="2" max="2" width="17.7109375" style="19" customWidth="1"/>
    <col min="3" max="3" width="5.140625" style="18" customWidth="1"/>
    <col min="4" max="4" width="5.28515625" style="18" customWidth="1"/>
    <col min="5" max="5" width="6.7109375" style="18" customWidth="1"/>
    <col min="6" max="6" width="19.140625" style="19" customWidth="1"/>
    <col min="7" max="7" width="8.5703125" style="77" customWidth="1"/>
    <col min="8" max="8" width="19.5703125" style="19" bestFit="1" customWidth="1"/>
    <col min="9" max="9" width="8.5703125" style="77"/>
    <col min="10" max="10" width="19.5703125" style="19" customWidth="1"/>
    <col min="11" max="11" width="8.5703125" style="77"/>
    <col min="12" max="12" width="20.42578125" style="19" customWidth="1"/>
    <col min="13" max="13" width="8.5703125" style="77"/>
    <col min="14" max="14" width="18.28515625" style="19" customWidth="1"/>
    <col min="15" max="15" width="8.5703125" style="77"/>
    <col min="16" max="16" width="19.42578125" style="19" customWidth="1"/>
    <col min="17" max="17" width="8.5703125" style="77"/>
    <col min="18" max="18" width="20.28515625" style="19" customWidth="1"/>
    <col min="19" max="19" width="8.5703125" style="77"/>
    <col min="20" max="20" width="19.28515625" style="19" customWidth="1"/>
    <col min="21" max="21" width="8.5703125" style="18"/>
    <col min="22" max="22" width="19.42578125" customWidth="1"/>
    <col min="23" max="23" width="8.5703125" style="3"/>
  </cols>
  <sheetData>
    <row r="1" spans="1:21" x14ac:dyDescent="0.2">
      <c r="A1" s="15"/>
      <c r="B1" s="49" t="s">
        <v>375</v>
      </c>
      <c r="E1" s="8"/>
    </row>
    <row r="2" spans="1:21" s="7" customFormat="1" x14ac:dyDescent="0.2">
      <c r="B2" s="50" t="s">
        <v>1</v>
      </c>
      <c r="C2" s="51"/>
      <c r="D2" s="73" t="s">
        <v>303</v>
      </c>
      <c r="E2" s="12"/>
      <c r="F2" s="10" t="s">
        <v>349</v>
      </c>
      <c r="G2" s="11">
        <f>SMALL(G3:G12,1)+SMALL(G3:G12,2)+SMALL(G3:G12,3)+SMALL(G3:G12,4)+SMALL(G3:G12,5)</f>
        <v>-18</v>
      </c>
      <c r="H2" s="10" t="s">
        <v>350</v>
      </c>
      <c r="I2" s="11">
        <f>SMALL(I3:I12,1)+SMALL(I3:I12,2)+SMALL(I3:I12,3)+SMALL(I3:I12,4)+SMALL(I3:I12,5)</f>
        <v>-21</v>
      </c>
      <c r="J2" s="10" t="s">
        <v>351</v>
      </c>
      <c r="K2" s="11">
        <f>SMALL(K3:K12,1)+SMALL(K3:K12,2)+SMALL(K3:K12,3)+SMALL(K3:K12,4)+SMALL(K3:K12,5)</f>
        <v>-26</v>
      </c>
      <c r="L2" s="10" t="s">
        <v>352</v>
      </c>
      <c r="M2" s="11">
        <f>SMALL(M3:M12,1)+SMALL(M3:M12,2)+SMALL(M3:M12,3)+SMALL(M3:M12,4)+SMALL(M3:M12,5)</f>
        <v>-14</v>
      </c>
      <c r="N2" s="10" t="s">
        <v>353</v>
      </c>
      <c r="O2" s="11">
        <f>SMALL(O3:O12,1)+SMALL(O3:O12,2)+SMALL(O3:O12,3)+SMALL(O3:O12,4)+SMALL(O3:O12,5)</f>
        <v>-14</v>
      </c>
      <c r="P2" s="10" t="s">
        <v>354</v>
      </c>
      <c r="Q2" s="11">
        <f>SMALL(Q3:Q12,1)+SMALL(Q3:Q12,2)+SMALL(Q3:Q12,3)+SMALL(Q3:Q12,4)+SMALL(Q3:Q12,5)</f>
        <v>-36</v>
      </c>
      <c r="R2" s="10" t="s">
        <v>355</v>
      </c>
      <c r="S2" s="11">
        <f>SMALL(S3:S12,1)+SMALL(S3:S12,2)+SMALL(S3:S12,3)+SMALL(S3:S12,4)+SMALL(S3:S12,5)</f>
        <v>2</v>
      </c>
      <c r="T2" s="10" t="s">
        <v>356</v>
      </c>
      <c r="U2" s="11">
        <f>SMALL(U3:U12,1)+SMALL(U3:U12,2)+SMALL(U3:U12,3)+SMALL(U3:U12,4)+SMALL(U3:U12,5)</f>
        <v>-23</v>
      </c>
    </row>
    <row r="3" spans="1:21" x14ac:dyDescent="0.2">
      <c r="B3" s="52" t="str" cm="1">
        <f t="array" ref="B3:C31">TRANSPOSE(_xlfn._xlws.SORT(F50:AH51,2,1,TRUE))</f>
        <v>Chernick</v>
      </c>
      <c r="C3" s="53">
        <v>-45</v>
      </c>
      <c r="D3" s="74">
        <f t="shared" ref="D3:D10" si="0">HLOOKUP(B3,$F$50:$AH$52,3,)</f>
        <v>-25</v>
      </c>
      <c r="E3" s="13">
        <v>1</v>
      </c>
      <c r="F3" s="19" t="s">
        <v>36</v>
      </c>
      <c r="G3" s="18">
        <f>VLOOKUP(F3,ESPNScores!$A$2:$B$206,2,FALSE)</f>
        <v>13</v>
      </c>
      <c r="H3" s="19" t="s">
        <v>36</v>
      </c>
      <c r="I3" s="18">
        <f>VLOOKUP(H3,ESPNScores!$A$2:$B$206,2,FALSE)</f>
        <v>13</v>
      </c>
      <c r="J3" s="19" t="s">
        <v>36</v>
      </c>
      <c r="K3" s="18">
        <f>VLOOKUP(J3,ESPNScores!$A$2:$B$206,2,FALSE)</f>
        <v>13</v>
      </c>
      <c r="L3" s="19" t="s">
        <v>26</v>
      </c>
      <c r="M3" s="18">
        <f>VLOOKUP(L3,ESPNScores!$A$2:$B$206,2,FALSE)</f>
        <v>-4</v>
      </c>
      <c r="N3" s="19" t="s">
        <v>36</v>
      </c>
      <c r="O3" s="18">
        <f>VLOOKUP(N3,ESPNScores!$A$2:$B$206,2,FALSE)</f>
        <v>13</v>
      </c>
      <c r="P3" s="19" t="s">
        <v>26</v>
      </c>
      <c r="Q3" s="18">
        <f>VLOOKUP(P3,ESPNScores!$A$2:$B$206,2,FALSE)</f>
        <v>-4</v>
      </c>
      <c r="R3" s="19" t="s">
        <v>36</v>
      </c>
      <c r="S3" s="18">
        <f>VLOOKUP(R3,ESPNScores!$A$2:$B$206,2,FALSE)</f>
        <v>13</v>
      </c>
      <c r="T3" s="19" t="s">
        <v>36</v>
      </c>
      <c r="U3" s="18">
        <f>VLOOKUP(T3,ESPNScores!$A$2:$B$206,2,FALSE)</f>
        <v>13</v>
      </c>
    </row>
    <row r="4" spans="1:21" x14ac:dyDescent="0.2">
      <c r="B4" s="52" t="str">
        <v>Richard</v>
      </c>
      <c r="C4" s="53">
        <v>-38</v>
      </c>
      <c r="D4" s="74">
        <f t="shared" si="0"/>
        <v>-23</v>
      </c>
      <c r="E4" s="13">
        <v>2</v>
      </c>
      <c r="F4" s="19" t="s">
        <v>392</v>
      </c>
      <c r="G4" s="18">
        <f>VLOOKUP(F4,ESPNScores!$A$2:$B$206,2,FALSE)</f>
        <v>50</v>
      </c>
      <c r="H4" s="19" t="s">
        <v>27</v>
      </c>
      <c r="I4" s="18">
        <f>VLOOKUP(H4,ESPNScores!$A$2:$B$206,2,FALSE)</f>
        <v>-12</v>
      </c>
      <c r="J4" s="19" t="s">
        <v>54</v>
      </c>
      <c r="K4" s="18">
        <f>VLOOKUP(J4,ESPNScores!$A$2:$B$206,2,FALSE)</f>
        <v>-4</v>
      </c>
      <c r="L4" s="19" t="s">
        <v>392</v>
      </c>
      <c r="M4" s="18">
        <f>VLOOKUP(L4,ESPNScores!$A$2:$B$206,2,FALSE)</f>
        <v>50</v>
      </c>
      <c r="N4" s="19" t="s">
        <v>54</v>
      </c>
      <c r="O4" s="18">
        <f>VLOOKUP(N4,ESPNScores!$A$2:$B$206,2,FALSE)</f>
        <v>-4</v>
      </c>
      <c r="P4" s="19" t="s">
        <v>392</v>
      </c>
      <c r="Q4" s="18">
        <f>VLOOKUP(P4,ESPNScores!$A$2:$B$206,2,FALSE)</f>
        <v>50</v>
      </c>
      <c r="R4" s="19" t="s">
        <v>392</v>
      </c>
      <c r="S4" s="18">
        <f>VLOOKUP(R4,ESPNScores!$A$2:$B$206,2,FALSE)</f>
        <v>50</v>
      </c>
      <c r="T4" s="19" t="s">
        <v>392</v>
      </c>
      <c r="U4" s="18">
        <f>VLOOKUP(T4,ESPNScores!$A$2:$B$206,2,FALSE)</f>
        <v>50</v>
      </c>
    </row>
    <row r="5" spans="1:21" x14ac:dyDescent="0.2">
      <c r="B5" s="52" t="str">
        <v>L Hill</v>
      </c>
      <c r="C5" s="53">
        <v>-36</v>
      </c>
      <c r="D5" s="74">
        <f t="shared" si="0"/>
        <v>-17</v>
      </c>
      <c r="E5" s="13">
        <v>3</v>
      </c>
      <c r="F5" s="19" t="s">
        <v>44</v>
      </c>
      <c r="G5" s="18">
        <f>VLOOKUP(F5,ESPNScores!$A$2:$B$206,2,FALSE)</f>
        <v>-7</v>
      </c>
      <c r="H5" s="19" t="s">
        <v>55</v>
      </c>
      <c r="I5" s="18">
        <f>VLOOKUP(H5,ESPNScores!$A$2:$B$206,2,FALSE)</f>
        <v>50</v>
      </c>
      <c r="J5" s="19" t="s">
        <v>31</v>
      </c>
      <c r="K5" s="18">
        <f>VLOOKUP(J5,ESPNScores!$A$2:$B$206,2,FALSE)</f>
        <v>-6</v>
      </c>
      <c r="L5" s="19" t="s">
        <v>55</v>
      </c>
      <c r="M5" s="18">
        <f>VLOOKUP(L5,ESPNScores!$A$2:$B$206,2,FALSE)</f>
        <v>50</v>
      </c>
      <c r="N5" s="19" t="s">
        <v>55</v>
      </c>
      <c r="O5" s="18">
        <f>VLOOKUP(N5,ESPNScores!$A$2:$B$206,2,FALSE)</f>
        <v>50</v>
      </c>
      <c r="P5" s="19" t="s">
        <v>44</v>
      </c>
      <c r="Q5" s="18">
        <f>VLOOKUP(P5,ESPNScores!$A$2:$B$206,2,FALSE)</f>
        <v>-7</v>
      </c>
      <c r="R5" s="19" t="s">
        <v>55</v>
      </c>
      <c r="S5" s="18">
        <f>VLOOKUP(R5,ESPNScores!$A$2:$B$206,2,FALSE)</f>
        <v>50</v>
      </c>
      <c r="T5" s="19" t="s">
        <v>44</v>
      </c>
      <c r="U5" s="18">
        <f>VLOOKUP(T5,ESPNScores!$A$2:$B$206,2,FALSE)</f>
        <v>-7</v>
      </c>
    </row>
    <row r="6" spans="1:21" x14ac:dyDescent="0.2">
      <c r="B6" s="52" t="str">
        <v>Hempel</v>
      </c>
      <c r="C6" s="53">
        <v>-31</v>
      </c>
      <c r="D6" s="74">
        <f t="shared" si="0"/>
        <v>-20</v>
      </c>
      <c r="E6" s="13">
        <v>4</v>
      </c>
      <c r="F6" s="19" t="s">
        <v>40</v>
      </c>
      <c r="G6" s="18">
        <f>VLOOKUP(F6,ESPNScores!$A$2:$B$206,2,FALSE)</f>
        <v>50</v>
      </c>
      <c r="H6" s="19" t="s">
        <v>40</v>
      </c>
      <c r="I6" s="18">
        <f>VLOOKUP(H6,ESPNScores!$A$2:$B$206,2,FALSE)</f>
        <v>50</v>
      </c>
      <c r="J6" s="19" t="s">
        <v>61</v>
      </c>
      <c r="K6" s="18">
        <f>VLOOKUP(J6,ESPNScores!$A$2:$B$206,2,FALSE)</f>
        <v>2</v>
      </c>
      <c r="L6" s="19" t="s">
        <v>48</v>
      </c>
      <c r="M6" s="18">
        <f>VLOOKUP(L6,ESPNScores!$A$2:$B$206,2,FALSE)</f>
        <v>50</v>
      </c>
      <c r="N6" s="19" t="s">
        <v>48</v>
      </c>
      <c r="O6" s="18">
        <f>VLOOKUP(N6,ESPNScores!$A$2:$B$206,2,FALSE)</f>
        <v>50</v>
      </c>
      <c r="P6" s="19" t="s">
        <v>48</v>
      </c>
      <c r="Q6" s="18">
        <f>VLOOKUP(P6,ESPNScores!$A$2:$B$206,2,FALSE)</f>
        <v>50</v>
      </c>
      <c r="R6" s="19" t="s">
        <v>48</v>
      </c>
      <c r="S6" s="18">
        <f>VLOOKUP(R6,ESPNScores!$A$2:$B$206,2,FALSE)</f>
        <v>50</v>
      </c>
      <c r="T6" s="19" t="s">
        <v>61</v>
      </c>
      <c r="U6" s="18">
        <f>VLOOKUP(T6,ESPNScores!$A$2:$B$206,2,FALSE)</f>
        <v>2</v>
      </c>
    </row>
    <row r="7" spans="1:21" x14ac:dyDescent="0.2">
      <c r="B7" s="52" t="str">
        <v>Dillabaugh</v>
      </c>
      <c r="C7" s="53">
        <v>-27</v>
      </c>
      <c r="D7" s="74">
        <f t="shared" si="0"/>
        <v>-19</v>
      </c>
      <c r="E7" s="13">
        <v>5</v>
      </c>
      <c r="F7" s="19" t="s">
        <v>190</v>
      </c>
      <c r="G7" s="18">
        <f>VLOOKUP(F7,ESPNScores!$A$2:$B$206,2,FALSE)</f>
        <v>-4</v>
      </c>
      <c r="H7" s="19" t="s">
        <v>38</v>
      </c>
      <c r="I7" s="18">
        <f>VLOOKUP(H7,ESPNScores!$A$2:$B$206,2,FALSE)</f>
        <v>6</v>
      </c>
      <c r="J7" s="19" t="s">
        <v>190</v>
      </c>
      <c r="K7" s="18">
        <f>VLOOKUP(J7,ESPNScores!$A$2:$B$206,2,FALSE)</f>
        <v>-4</v>
      </c>
      <c r="L7" s="19" t="s">
        <v>215</v>
      </c>
      <c r="M7" s="18">
        <f>VLOOKUP(L7,ESPNScores!$A$2:$B$206,2,FALSE)</f>
        <v>50</v>
      </c>
      <c r="N7" s="19" t="s">
        <v>190</v>
      </c>
      <c r="O7" s="18">
        <f>VLOOKUP(N7,ESPNScores!$A$2:$B$206,2,FALSE)</f>
        <v>-4</v>
      </c>
      <c r="P7" s="19" t="s">
        <v>38</v>
      </c>
      <c r="Q7" s="18">
        <f>VLOOKUP(P7,ESPNScores!$A$2:$B$206,2,FALSE)</f>
        <v>6</v>
      </c>
      <c r="R7" s="19" t="s">
        <v>215</v>
      </c>
      <c r="S7" s="18">
        <f>VLOOKUP(R7,ESPNScores!$A$2:$B$206,2,FALSE)</f>
        <v>50</v>
      </c>
      <c r="T7" s="19" t="s">
        <v>190</v>
      </c>
      <c r="U7" s="18">
        <f>VLOOKUP(T7,ESPNScores!$A$2:$B$206,2,FALSE)</f>
        <v>-4</v>
      </c>
    </row>
    <row r="8" spans="1:21" x14ac:dyDescent="0.2">
      <c r="B8" s="52" t="str">
        <v>Holiday</v>
      </c>
      <c r="C8" s="53">
        <v>-26</v>
      </c>
      <c r="D8" s="74">
        <f t="shared" si="0"/>
        <v>-23</v>
      </c>
      <c r="E8" s="13">
        <v>6</v>
      </c>
      <c r="F8" s="19" t="s">
        <v>53</v>
      </c>
      <c r="G8" s="18">
        <f>VLOOKUP(F8,ESPNScores!$A$2:$B$206,2,FALSE)</f>
        <v>50</v>
      </c>
      <c r="H8" s="19" t="s">
        <v>53</v>
      </c>
      <c r="I8" s="18">
        <f>VLOOKUP(H8,ESPNScores!$A$2:$B$206,2,FALSE)</f>
        <v>50</v>
      </c>
      <c r="J8" s="19" t="s">
        <v>53</v>
      </c>
      <c r="K8" s="18">
        <f>VLOOKUP(J8,ESPNScores!$A$2:$B$206,2,FALSE)</f>
        <v>50</v>
      </c>
      <c r="L8" s="19" t="s">
        <v>53</v>
      </c>
      <c r="M8" s="18">
        <f>VLOOKUP(L8,ESPNScores!$A$2:$B$206,2,FALSE)</f>
        <v>50</v>
      </c>
      <c r="N8" s="19" t="s">
        <v>53</v>
      </c>
      <c r="O8" s="18">
        <f>VLOOKUP(N8,ESPNScores!$A$2:$B$206,2,FALSE)</f>
        <v>50</v>
      </c>
      <c r="P8" s="19" t="s">
        <v>34</v>
      </c>
      <c r="Q8" s="18">
        <f>VLOOKUP(P8,ESPNScores!$A$2:$B$206,2,FALSE)</f>
        <v>-3</v>
      </c>
      <c r="R8" s="19" t="s">
        <v>53</v>
      </c>
      <c r="S8" s="18">
        <f>VLOOKUP(R8,ESPNScores!$A$2:$B$206,2,FALSE)</f>
        <v>50</v>
      </c>
      <c r="T8" s="19" t="s">
        <v>53</v>
      </c>
      <c r="U8" s="18">
        <f>VLOOKUP(T8,ESPNScores!$A$2:$B$206,2,FALSE)</f>
        <v>50</v>
      </c>
    </row>
    <row r="9" spans="1:21" x14ac:dyDescent="0.2">
      <c r="B9" s="52" t="str">
        <v>Tsutsumi</v>
      </c>
      <c r="C9" s="53">
        <v>-25</v>
      </c>
      <c r="D9" s="74">
        <f t="shared" si="0"/>
        <v>-20</v>
      </c>
      <c r="E9" s="13">
        <v>7</v>
      </c>
      <c r="F9" s="19" t="s">
        <v>33</v>
      </c>
      <c r="G9" s="18">
        <f>VLOOKUP(F9,ESPNScores!$A$2:$B$206,2,FALSE)</f>
        <v>-5</v>
      </c>
      <c r="H9" s="19" t="s">
        <v>33</v>
      </c>
      <c r="I9" s="18">
        <f>VLOOKUP(H9,ESPNScores!$A$2:$B$206,2,FALSE)</f>
        <v>-5</v>
      </c>
      <c r="J9" s="19" t="s">
        <v>344</v>
      </c>
      <c r="K9" s="18">
        <f>VLOOKUP(J9,ESPNScores!$A$2:$B$206,2,FALSE)</f>
        <v>-10</v>
      </c>
      <c r="L9" s="19" t="s">
        <v>33</v>
      </c>
      <c r="M9" s="18">
        <f>VLOOKUP(L9,ESPNScores!$A$2:$B$206,2,FALSE)</f>
        <v>-5</v>
      </c>
      <c r="N9" s="19" t="s">
        <v>33</v>
      </c>
      <c r="O9" s="18">
        <f>VLOOKUP(N9,ESPNScores!$A$2:$B$206,2,FALSE)</f>
        <v>-5</v>
      </c>
      <c r="P9" s="19" t="s">
        <v>344</v>
      </c>
      <c r="Q9" s="18">
        <f>VLOOKUP(P9,ESPNScores!$A$2:$B$206,2,FALSE)</f>
        <v>-10</v>
      </c>
      <c r="R9" s="19" t="s">
        <v>33</v>
      </c>
      <c r="S9" s="18">
        <f>VLOOKUP(R9,ESPNScores!$A$2:$B$206,2,FALSE)</f>
        <v>-5</v>
      </c>
      <c r="T9" s="19" t="s">
        <v>344</v>
      </c>
      <c r="U9" s="18">
        <f>VLOOKUP(T9,ESPNScores!$A$2:$B$206,2,FALSE)</f>
        <v>-10</v>
      </c>
    </row>
    <row r="10" spans="1:21" x14ac:dyDescent="0.2">
      <c r="B10" s="52" t="str">
        <v>Howell</v>
      </c>
      <c r="C10" s="53">
        <v>-25</v>
      </c>
      <c r="D10" s="74">
        <f t="shared" si="0"/>
        <v>-22</v>
      </c>
      <c r="E10" s="13">
        <v>8</v>
      </c>
      <c r="F10" s="19" t="s">
        <v>225</v>
      </c>
      <c r="G10" s="18">
        <f>VLOOKUP(F10,ESPNScores!$A$2:$B$206,2,FALSE)</f>
        <v>0</v>
      </c>
      <c r="H10" s="19" t="s">
        <v>51</v>
      </c>
      <c r="I10" s="18">
        <f>VLOOKUP(H10,ESPNScores!$A$2:$B$206,2,FALSE)</f>
        <v>-5</v>
      </c>
      <c r="J10" s="19" t="s">
        <v>308</v>
      </c>
      <c r="K10" s="18">
        <f>VLOOKUP(J10,ESPNScores!$A$2:$B$206,2,FALSE)</f>
        <v>3</v>
      </c>
      <c r="L10" s="19" t="s">
        <v>225</v>
      </c>
      <c r="M10" s="18">
        <f>VLOOKUP(L10,ESPNScores!$A$2:$B$206,2,FALSE)</f>
        <v>0</v>
      </c>
      <c r="N10" s="19" t="s">
        <v>225</v>
      </c>
      <c r="O10" s="18">
        <f>VLOOKUP(N10,ESPNScores!$A$2:$B$206,2,FALSE)</f>
        <v>0</v>
      </c>
      <c r="P10" s="19" t="s">
        <v>51</v>
      </c>
      <c r="Q10" s="18">
        <f>VLOOKUP(P10,ESPNScores!$A$2:$B$206,2,FALSE)</f>
        <v>-5</v>
      </c>
      <c r="R10" s="19" t="s">
        <v>51</v>
      </c>
      <c r="S10" s="18">
        <f>VLOOKUP(R10,ESPNScores!$A$2:$B$206,2,FALSE)</f>
        <v>-5</v>
      </c>
      <c r="T10" s="19" t="s">
        <v>225</v>
      </c>
      <c r="U10" s="18">
        <f>VLOOKUP(T10,ESPNScores!$A$2:$B$206,2,FALSE)</f>
        <v>0</v>
      </c>
    </row>
    <row r="11" spans="1:21" x14ac:dyDescent="0.2">
      <c r="B11" s="52" t="str">
        <v>Weiss</v>
      </c>
      <c r="C11" s="53">
        <v>-25</v>
      </c>
      <c r="D11" s="37"/>
      <c r="E11" s="13">
        <v>9</v>
      </c>
      <c r="F11" s="19" t="s">
        <v>162</v>
      </c>
      <c r="G11" s="18">
        <f>VLOOKUP(F11,ESPNScores!$A$2:$B$206,2,FALSE)</f>
        <v>-2</v>
      </c>
      <c r="H11" s="19" t="s">
        <v>285</v>
      </c>
      <c r="I11" s="18">
        <f>VLOOKUP(H11,ESPNScores!$A$2:$B$206,2,FALSE)</f>
        <v>-5</v>
      </c>
      <c r="J11" s="19" t="s">
        <v>162</v>
      </c>
      <c r="K11" s="18">
        <f>VLOOKUP(J11,ESPNScores!$A$2:$B$206,2,FALSE)</f>
        <v>-2</v>
      </c>
      <c r="L11" s="19" t="s">
        <v>285</v>
      </c>
      <c r="M11" s="18">
        <f>VLOOKUP(L11,ESPNScores!$A$2:$B$206,2,FALSE)</f>
        <v>-5</v>
      </c>
      <c r="N11" s="19" t="s">
        <v>338</v>
      </c>
      <c r="O11" s="18">
        <f>VLOOKUP(N11,ESPNScores!$A$2:$B$206,2,FALSE)</f>
        <v>-1</v>
      </c>
      <c r="P11" s="19" t="s">
        <v>338</v>
      </c>
      <c r="Q11" s="18">
        <f>VLOOKUP(P11,ESPNScores!$A$2:$B$206,2,FALSE)</f>
        <v>-1</v>
      </c>
      <c r="R11" s="19" t="s">
        <v>338</v>
      </c>
      <c r="S11" s="18">
        <f>VLOOKUP(R11,ESPNScores!$A$2:$B$206,2,FALSE)</f>
        <v>-1</v>
      </c>
      <c r="T11" s="19" t="s">
        <v>162</v>
      </c>
      <c r="U11" s="18">
        <f>VLOOKUP(T11,ESPNScores!$A$2:$B$206,2,FALSE)</f>
        <v>-2</v>
      </c>
    </row>
    <row r="12" spans="1:21" x14ac:dyDescent="0.2">
      <c r="B12" s="52" t="str">
        <v>Horvath</v>
      </c>
      <c r="C12" s="53">
        <v>-23</v>
      </c>
      <c r="D12" s="37"/>
      <c r="E12" s="13">
        <v>10</v>
      </c>
      <c r="F12" s="19" t="s">
        <v>58</v>
      </c>
      <c r="G12" s="18">
        <f>VLOOKUP(F12,ESPNScores!$A$2:$B$206,2,FALSE)</f>
        <v>0</v>
      </c>
      <c r="H12" s="19" t="s">
        <v>282</v>
      </c>
      <c r="I12" s="18">
        <f>VLOOKUP(H12,ESPNScores!$A$2:$B$206,2,FALSE)</f>
        <v>50</v>
      </c>
      <c r="J12" s="19" t="s">
        <v>58</v>
      </c>
      <c r="K12" s="18">
        <f>VLOOKUP(J12,ESPNScores!$A$2:$B$206,2,FALSE)</f>
        <v>0</v>
      </c>
      <c r="L12" s="19" t="s">
        <v>58</v>
      </c>
      <c r="M12" s="18">
        <f>VLOOKUP(L12,ESPNScores!$A$2:$B$206,2,FALSE)</f>
        <v>0</v>
      </c>
      <c r="N12" s="19" t="s">
        <v>58</v>
      </c>
      <c r="O12" s="18">
        <f>VLOOKUP(N12,ESPNScores!$A$2:$B$206,2,FALSE)</f>
        <v>0</v>
      </c>
      <c r="P12" s="19" t="s">
        <v>67</v>
      </c>
      <c r="Q12" s="18">
        <f>VLOOKUP(P12,ESPNScores!$A$2:$B$206,2,FALSE)</f>
        <v>-10</v>
      </c>
      <c r="R12" s="19" t="s">
        <v>58</v>
      </c>
      <c r="S12" s="18">
        <f>VLOOKUP(R12,ESPNScores!$A$2:$B$206,2,FALSE)</f>
        <v>0</v>
      </c>
      <c r="T12" s="19" t="s">
        <v>58</v>
      </c>
      <c r="U12" s="18">
        <f>VLOOKUP(T12,ESPNScores!$A$2:$B$206,2,FALSE)</f>
        <v>0</v>
      </c>
    </row>
    <row r="13" spans="1:21" x14ac:dyDescent="0.2">
      <c r="B13" s="52" t="str">
        <v>Eliason</v>
      </c>
      <c r="C13" s="53">
        <v>-22</v>
      </c>
      <c r="D13" s="37"/>
      <c r="E13" s="61"/>
      <c r="F13" s="75"/>
      <c r="G13" s="75"/>
      <c r="H13" s="75"/>
      <c r="I13" s="75"/>
      <c r="J13" s="75"/>
      <c r="K13" s="75"/>
      <c r="L13" s="75"/>
      <c r="M13" s="75"/>
    </row>
    <row r="14" spans="1:21" s="7" customFormat="1" x14ac:dyDescent="0.2">
      <c r="B14" s="52" t="str">
        <v>McElroy</v>
      </c>
      <c r="C14" s="53">
        <v>-22</v>
      </c>
      <c r="D14" s="37"/>
      <c r="E14" s="12"/>
      <c r="F14" s="10" t="s">
        <v>357</v>
      </c>
      <c r="G14" s="11">
        <f>SMALL(G15:G24,1)+SMALL(G15:G24,2)+SMALL(G15:G24,3)+SMALL(G15:G24,4)+SMALL(G15:G24,5)</f>
        <v>-45</v>
      </c>
      <c r="H14" s="10" t="s">
        <v>358</v>
      </c>
      <c r="I14" s="11">
        <f>SMALL(I15:I24,1)+SMALL(I15:I24,2)+SMALL(I15:I24,3)+SMALL(I15:I24,4)+SMALL(I15:I24,5)</f>
        <v>6</v>
      </c>
      <c r="J14" s="10" t="s">
        <v>359</v>
      </c>
      <c r="K14" s="11">
        <f>SMALL(K15:K24,1)+SMALL(K15:K24,2)+SMALL(K15:K24,3)+SMALL(K15:K24,4)+SMALL(K15:K24,5)</f>
        <v>-25</v>
      </c>
      <c r="L14" s="10" t="s">
        <v>360</v>
      </c>
      <c r="M14" s="11">
        <f>SMALL(M15:M24,1)+SMALL(M15:M24,2)+SMALL(M15:M24,3)+SMALL(M15:M24,4)+SMALL(M15:M24,5)</f>
        <v>-17</v>
      </c>
      <c r="N14" s="10" t="s">
        <v>461</v>
      </c>
      <c r="O14" s="11">
        <f>SMALL(O15:O24,1)+SMALL(O15:O24,2)+SMALL(O15:O24,3)+SMALL(O15:O24,4)+SMALL(O15:O24,5)</f>
        <v>-27</v>
      </c>
      <c r="P14" s="10" t="s">
        <v>361</v>
      </c>
      <c r="Q14" s="11">
        <f>SMALL(Q15:Q24,1)+SMALL(Q15:Q24,2)+SMALL(Q15:Q24,3)+SMALL(Q15:Q24,4)+SMALL(Q15:Q24,5)</f>
        <v>-12</v>
      </c>
      <c r="R14" s="10" t="s">
        <v>362</v>
      </c>
      <c r="S14" s="11">
        <f>SMALL(S15:S24,1)+SMALL(S15:S24,2)+SMALL(S15:S24,3)+SMALL(S15:S24,4)+SMALL(S15:S24,5)</f>
        <v>-3</v>
      </c>
      <c r="T14" s="10" t="s">
        <v>363</v>
      </c>
      <c r="U14" s="11">
        <f>SMALL(U15:U24,1)+SMALL(U15:U24,2)+SMALL(U15:U24,3)+SMALL(U15:U24,4)+SMALL(U15:U24,5)</f>
        <v>-38</v>
      </c>
    </row>
    <row r="15" spans="1:21" x14ac:dyDescent="0.2">
      <c r="B15" s="52" t="str">
        <v>Langer</v>
      </c>
      <c r="C15" s="53">
        <v>-22</v>
      </c>
      <c r="D15" s="37"/>
      <c r="E15" s="13">
        <v>1</v>
      </c>
      <c r="F15" s="19" t="s">
        <v>26</v>
      </c>
      <c r="G15" s="18">
        <f>VLOOKUP(F15,ESPNScores!$A$2:$B$206,2,FALSE)</f>
        <v>-4</v>
      </c>
      <c r="H15" s="19" t="s">
        <v>36</v>
      </c>
      <c r="I15" s="18">
        <f>VLOOKUP(H15,ESPNScores!$A$2:$B$206,2,FALSE)</f>
        <v>13</v>
      </c>
      <c r="J15" s="19" t="s">
        <v>26</v>
      </c>
      <c r="K15" s="18">
        <f>VLOOKUP(J15,ESPNScores!$A$2:$B$206,2,FALSE)</f>
        <v>-4</v>
      </c>
      <c r="L15" s="19" t="s">
        <v>26</v>
      </c>
      <c r="M15" s="18">
        <f>VLOOKUP(L15,ESPNScores!$A$2:$B$206,2,FALSE)</f>
        <v>-4</v>
      </c>
      <c r="N15" s="19" t="s">
        <v>36</v>
      </c>
      <c r="O15" s="18">
        <f>VLOOKUP(N15,ESPNScores!$A$2:$B$206,2,FALSE)</f>
        <v>13</v>
      </c>
      <c r="P15" s="19" t="s">
        <v>36</v>
      </c>
      <c r="Q15" s="18">
        <f>VLOOKUP(P15,ESPNScores!$A$2:$B$206,2,FALSE)</f>
        <v>13</v>
      </c>
      <c r="R15" s="19" t="s">
        <v>36</v>
      </c>
      <c r="S15" s="18">
        <f>VLOOKUP(R15,ESPNScores!$A$2:$B$206,2,FALSE)</f>
        <v>13</v>
      </c>
      <c r="T15" s="19" t="s">
        <v>26</v>
      </c>
      <c r="U15" s="18">
        <f>VLOOKUP(T15,ESPNScores!$A$2:$B$206,2,FALSE)</f>
        <v>-4</v>
      </c>
    </row>
    <row r="16" spans="1:21" x14ac:dyDescent="0.2">
      <c r="B16" s="52" t="str">
        <v>Isaacson</v>
      </c>
      <c r="C16" s="53">
        <v>-22</v>
      </c>
      <c r="D16" s="37"/>
      <c r="E16" s="13">
        <v>2</v>
      </c>
      <c r="F16" s="19" t="s">
        <v>27</v>
      </c>
      <c r="G16" s="18">
        <f>VLOOKUP(F16,ESPNScores!$A$2:$B$206,2,FALSE)</f>
        <v>-12</v>
      </c>
      <c r="H16" s="19" t="s">
        <v>392</v>
      </c>
      <c r="I16" s="18">
        <f>VLOOKUP(H16,ESPNScores!$A$2:$B$206,2,FALSE)</f>
        <v>50</v>
      </c>
      <c r="J16" s="19" t="s">
        <v>392</v>
      </c>
      <c r="K16" s="18">
        <f>VLOOKUP(J16,ESPNScores!$A$2:$B$206,2,FALSE)</f>
        <v>50</v>
      </c>
      <c r="L16" s="19" t="s">
        <v>392</v>
      </c>
      <c r="M16" s="18">
        <f>VLOOKUP(L16,ESPNScores!$A$2:$B$206,2,FALSE)</f>
        <v>50</v>
      </c>
      <c r="N16" s="19" t="s">
        <v>54</v>
      </c>
      <c r="O16" s="18">
        <f>VLOOKUP(N16,ESPNScores!$A$2:$B$206,2,FALSE)</f>
        <v>-4</v>
      </c>
      <c r="P16" s="19" t="s">
        <v>392</v>
      </c>
      <c r="Q16" s="18">
        <f>VLOOKUP(P16,ESPNScores!$A$2:$B$206,2,FALSE)</f>
        <v>50</v>
      </c>
      <c r="R16" s="19" t="s">
        <v>392</v>
      </c>
      <c r="S16" s="18">
        <f>VLOOKUP(R16,ESPNScores!$A$2:$B$206,2,FALSE)</f>
        <v>50</v>
      </c>
      <c r="T16" s="19" t="s">
        <v>27</v>
      </c>
      <c r="U16" s="18">
        <f>VLOOKUP(T16,ESPNScores!$A$2:$B$206,2,FALSE)</f>
        <v>-12</v>
      </c>
    </row>
    <row r="17" spans="2:23" x14ac:dyDescent="0.2">
      <c r="B17" s="52" t="str">
        <v>Mattson</v>
      </c>
      <c r="C17" s="53">
        <v>-21</v>
      </c>
      <c r="D17" s="37"/>
      <c r="E17" s="13">
        <v>3</v>
      </c>
      <c r="F17" s="19" t="s">
        <v>55</v>
      </c>
      <c r="G17" s="18">
        <f>VLOOKUP(F17,ESPNScores!$A$2:$B$206,2,FALSE)</f>
        <v>50</v>
      </c>
      <c r="H17" s="19" t="s">
        <v>55</v>
      </c>
      <c r="I17" s="18">
        <f>VLOOKUP(H17,ESPNScores!$A$2:$B$206,2,FALSE)</f>
        <v>50</v>
      </c>
      <c r="J17" s="19" t="s">
        <v>44</v>
      </c>
      <c r="K17" s="18">
        <f>VLOOKUP(J17,ESPNScores!$A$2:$B$206,2,FALSE)</f>
        <v>-7</v>
      </c>
      <c r="L17" s="19" t="s">
        <v>31</v>
      </c>
      <c r="M17" s="18">
        <f>VLOOKUP(L17,ESPNScores!$A$2:$B$206,2,FALSE)</f>
        <v>-6</v>
      </c>
      <c r="N17" s="19" t="s">
        <v>31</v>
      </c>
      <c r="O17" s="18">
        <f>VLOOKUP(N17,ESPNScores!$A$2:$B$206,2,FALSE)</f>
        <v>-6</v>
      </c>
      <c r="P17" s="19" t="s">
        <v>31</v>
      </c>
      <c r="Q17" s="18">
        <f>VLOOKUP(P17,ESPNScores!$A$2:$B$206,2,FALSE)</f>
        <v>-6</v>
      </c>
      <c r="R17" s="19" t="s">
        <v>55</v>
      </c>
      <c r="S17" s="18">
        <f>VLOOKUP(R17,ESPNScores!$A$2:$B$206,2,FALSE)</f>
        <v>50</v>
      </c>
      <c r="T17" s="19" t="s">
        <v>44</v>
      </c>
      <c r="U17" s="18">
        <f>VLOOKUP(T17,ESPNScores!$A$2:$B$206,2,FALSE)</f>
        <v>-7</v>
      </c>
    </row>
    <row r="18" spans="2:23" x14ac:dyDescent="0.2">
      <c r="B18" s="52" t="str">
        <v>Webster</v>
      </c>
      <c r="C18" s="53">
        <v>-18</v>
      </c>
      <c r="D18" s="37"/>
      <c r="E18" s="13">
        <v>4</v>
      </c>
      <c r="F18" s="19" t="s">
        <v>48</v>
      </c>
      <c r="G18" s="18">
        <f>VLOOKUP(F18,ESPNScores!$A$2:$B$206,2,FALSE)</f>
        <v>50</v>
      </c>
      <c r="H18" s="19" t="s">
        <v>48</v>
      </c>
      <c r="I18" s="18">
        <f>VLOOKUP(H18,ESPNScores!$A$2:$B$206,2,FALSE)</f>
        <v>50</v>
      </c>
      <c r="J18" s="19" t="s">
        <v>48</v>
      </c>
      <c r="K18" s="18">
        <f>VLOOKUP(J18,ESPNScores!$A$2:$B$206,2,FALSE)</f>
        <v>50</v>
      </c>
      <c r="L18" s="19" t="s">
        <v>40</v>
      </c>
      <c r="M18" s="18">
        <f>VLOOKUP(L18,ESPNScores!$A$2:$B$206,2,FALSE)</f>
        <v>50</v>
      </c>
      <c r="N18" s="19" t="s">
        <v>48</v>
      </c>
      <c r="O18" s="18">
        <f>VLOOKUP(N18,ESPNScores!$A$2:$B$206,2,FALSE)</f>
        <v>50</v>
      </c>
      <c r="P18" s="19" t="s">
        <v>48</v>
      </c>
      <c r="Q18" s="18">
        <f>VLOOKUP(P18,ESPNScores!$A$2:$B$206,2,FALSE)</f>
        <v>50</v>
      </c>
      <c r="R18" s="19" t="s">
        <v>48</v>
      </c>
      <c r="S18" s="18">
        <f>VLOOKUP(R18,ESPNScores!$A$2:$B$206,2,FALSE)</f>
        <v>50</v>
      </c>
      <c r="T18" s="19" t="s">
        <v>61</v>
      </c>
      <c r="U18" s="18">
        <f>VLOOKUP(T18,ESPNScores!$A$2:$B$206,2,FALSE)</f>
        <v>2</v>
      </c>
    </row>
    <row r="19" spans="2:23" x14ac:dyDescent="0.2">
      <c r="B19" s="52" t="str">
        <v>Bernau</v>
      </c>
      <c r="C19" s="53">
        <v>-17</v>
      </c>
      <c r="D19" s="37"/>
      <c r="E19" s="13">
        <v>5</v>
      </c>
      <c r="F19" s="19" t="s">
        <v>38</v>
      </c>
      <c r="G19" s="18">
        <f>VLOOKUP(F19,ESPNScores!$A$2:$B$206,2,FALSE)</f>
        <v>6</v>
      </c>
      <c r="H19" s="19" t="s">
        <v>215</v>
      </c>
      <c r="I19" s="18">
        <f>VLOOKUP(H19,ESPNScores!$A$2:$B$206,2,FALSE)</f>
        <v>50</v>
      </c>
      <c r="J19" s="19" t="s">
        <v>190</v>
      </c>
      <c r="K19" s="18">
        <f>VLOOKUP(J19,ESPNScores!$A$2:$B$206,2,FALSE)</f>
        <v>-4</v>
      </c>
      <c r="L19" s="19" t="s">
        <v>215</v>
      </c>
      <c r="M19" s="18">
        <f>VLOOKUP(L19,ESPNScores!$A$2:$B$206,2,FALSE)</f>
        <v>50</v>
      </c>
      <c r="N19" s="19" t="s">
        <v>215</v>
      </c>
      <c r="O19" s="18">
        <f>VLOOKUP(N19,ESPNScores!$A$2:$B$206,2,FALSE)</f>
        <v>50</v>
      </c>
      <c r="P19" s="19" t="s">
        <v>215</v>
      </c>
      <c r="Q19" s="18">
        <f>VLOOKUP(P19,ESPNScores!$A$2:$B$206,2,FALSE)</f>
        <v>50</v>
      </c>
      <c r="R19" s="19" t="s">
        <v>215</v>
      </c>
      <c r="S19" s="18">
        <f>VLOOKUP(R19,ESPNScores!$A$2:$B$206,2,FALSE)</f>
        <v>50</v>
      </c>
      <c r="T19" s="19" t="s">
        <v>38</v>
      </c>
      <c r="U19" s="18">
        <f>VLOOKUP(T19,ESPNScores!$A$2:$B$206,2,FALSE)</f>
        <v>6</v>
      </c>
    </row>
    <row r="20" spans="2:23" x14ac:dyDescent="0.2">
      <c r="B20" s="52" t="str">
        <v>Hitchman</v>
      </c>
      <c r="C20" s="53">
        <v>-17</v>
      </c>
      <c r="D20" s="37"/>
      <c r="E20" s="13">
        <v>6</v>
      </c>
      <c r="F20" s="19" t="s">
        <v>298</v>
      </c>
      <c r="G20" s="18">
        <f>VLOOKUP(F20,ESPNScores!$A$2:$B$206,2,FALSE)</f>
        <v>-8</v>
      </c>
      <c r="H20" s="19" t="s">
        <v>53</v>
      </c>
      <c r="I20" s="18">
        <f>VLOOKUP(H20,ESPNScores!$A$2:$B$206,2,FALSE)</f>
        <v>50</v>
      </c>
      <c r="J20" s="19" t="s">
        <v>53</v>
      </c>
      <c r="K20" s="18">
        <f>VLOOKUP(J20,ESPNScores!$A$2:$B$206,2,FALSE)</f>
        <v>50</v>
      </c>
      <c r="L20" s="19" t="s">
        <v>53</v>
      </c>
      <c r="M20" s="18">
        <f>VLOOKUP(L20,ESPNScores!$A$2:$B$206,2,FALSE)</f>
        <v>50</v>
      </c>
      <c r="N20" s="19" t="s">
        <v>53</v>
      </c>
      <c r="O20" s="18">
        <f>VLOOKUP(N20,ESPNScores!$A$2:$B$206,2,FALSE)</f>
        <v>50</v>
      </c>
      <c r="P20" s="19" t="s">
        <v>53</v>
      </c>
      <c r="Q20" s="18">
        <f>VLOOKUP(P20,ESPNScores!$A$2:$B$206,2,FALSE)</f>
        <v>50</v>
      </c>
      <c r="R20" s="19" t="s">
        <v>53</v>
      </c>
      <c r="S20" s="18">
        <f>VLOOKUP(R20,ESPNScores!$A$2:$B$206,2,FALSE)</f>
        <v>50</v>
      </c>
      <c r="T20" s="19" t="s">
        <v>53</v>
      </c>
      <c r="U20" s="18">
        <f>VLOOKUP(T20,ESPNScores!$A$2:$B$206,2,FALSE)</f>
        <v>50</v>
      </c>
    </row>
    <row r="21" spans="2:23" x14ac:dyDescent="0.2">
      <c r="B21" s="52" t="str">
        <v>Rakusin</v>
      </c>
      <c r="C21" s="53">
        <v>-16</v>
      </c>
      <c r="D21" s="37"/>
      <c r="E21" s="13">
        <v>7</v>
      </c>
      <c r="F21" s="19" t="s">
        <v>344</v>
      </c>
      <c r="G21" s="18">
        <f>VLOOKUP(F21,ESPNScores!$A$2:$B$206,2,FALSE)</f>
        <v>-10</v>
      </c>
      <c r="H21" s="19" t="s">
        <v>33</v>
      </c>
      <c r="I21" s="18">
        <f>VLOOKUP(H21,ESPNScores!$A$2:$B$206,2,FALSE)</f>
        <v>-5</v>
      </c>
      <c r="J21" s="19" t="s">
        <v>33</v>
      </c>
      <c r="K21" s="18">
        <f>VLOOKUP(J21,ESPNScores!$A$2:$B$206,2,FALSE)</f>
        <v>-5</v>
      </c>
      <c r="L21" s="19" t="s">
        <v>33</v>
      </c>
      <c r="M21" s="18">
        <f>VLOOKUP(L21,ESPNScores!$A$2:$B$206,2,FALSE)</f>
        <v>-5</v>
      </c>
      <c r="N21" s="19" t="s">
        <v>344</v>
      </c>
      <c r="O21" s="18">
        <f>VLOOKUP(N21,ESPNScores!$A$2:$B$206,2,FALSE)</f>
        <v>-10</v>
      </c>
      <c r="P21" s="19" t="s">
        <v>33</v>
      </c>
      <c r="Q21" s="18">
        <f>VLOOKUP(P21,ESPNScores!$A$2:$B$206,2,FALSE)</f>
        <v>-5</v>
      </c>
      <c r="R21" s="19" t="s">
        <v>33</v>
      </c>
      <c r="S21" s="18">
        <f>VLOOKUP(R21,ESPNScores!$A$2:$B$206,2,FALSE)</f>
        <v>-5</v>
      </c>
      <c r="T21" s="19" t="s">
        <v>63</v>
      </c>
      <c r="U21" s="18">
        <f>VLOOKUP(T21,ESPNScores!$A$2:$B$206,2,FALSE)</f>
        <v>2</v>
      </c>
    </row>
    <row r="22" spans="2:23" x14ac:dyDescent="0.2">
      <c r="B22" s="52" t="str">
        <v>Donasky</v>
      </c>
      <c r="C22" s="53">
        <v>-14</v>
      </c>
      <c r="D22" s="37"/>
      <c r="E22" s="13">
        <v>8</v>
      </c>
      <c r="F22" s="19" t="s">
        <v>51</v>
      </c>
      <c r="G22" s="18">
        <f>VLOOKUP(F22,ESPNScores!$A$2:$B$206,2,FALSE)</f>
        <v>-5</v>
      </c>
      <c r="H22" s="19" t="s">
        <v>225</v>
      </c>
      <c r="I22" s="18">
        <f>VLOOKUP(H22,ESPNScores!$A$2:$B$206,2,FALSE)</f>
        <v>0</v>
      </c>
      <c r="J22" s="19" t="s">
        <v>225</v>
      </c>
      <c r="K22" s="18">
        <f>VLOOKUP(J22,ESPNScores!$A$2:$B$206,2,FALSE)</f>
        <v>0</v>
      </c>
      <c r="L22" s="19" t="s">
        <v>225</v>
      </c>
      <c r="M22" s="18">
        <f>VLOOKUP(L22,ESPNScores!$A$2:$B$206,2,FALSE)</f>
        <v>0</v>
      </c>
      <c r="N22" s="19" t="s">
        <v>51</v>
      </c>
      <c r="O22" s="18">
        <f>VLOOKUP(N22,ESPNScores!$A$2:$B$206,2,FALSE)</f>
        <v>-5</v>
      </c>
      <c r="P22" s="19" t="s">
        <v>225</v>
      </c>
      <c r="Q22" s="18">
        <f>VLOOKUP(P22,ESPNScores!$A$2:$B$206,2,FALSE)</f>
        <v>0</v>
      </c>
      <c r="R22" s="19" t="s">
        <v>225</v>
      </c>
      <c r="S22" s="18">
        <f>VLOOKUP(R22,ESPNScores!$A$2:$B$206,2,FALSE)</f>
        <v>0</v>
      </c>
      <c r="T22" s="19" t="s">
        <v>308</v>
      </c>
      <c r="U22" s="18">
        <f>VLOOKUP(T22,ESPNScores!$A$2:$B$206,2,FALSE)</f>
        <v>3</v>
      </c>
    </row>
    <row r="23" spans="2:23" x14ac:dyDescent="0.2">
      <c r="B23" s="52" t="str">
        <v>Allen</v>
      </c>
      <c r="C23" s="53">
        <v>-14</v>
      </c>
      <c r="D23" s="37"/>
      <c r="E23" s="13">
        <v>9</v>
      </c>
      <c r="F23" s="19" t="s">
        <v>285</v>
      </c>
      <c r="G23" s="18">
        <f>VLOOKUP(F23,ESPNScores!$A$2:$B$206,2,FALSE)</f>
        <v>-5</v>
      </c>
      <c r="H23" s="19" t="s">
        <v>162</v>
      </c>
      <c r="I23" s="18">
        <f>VLOOKUP(H23,ESPNScores!$A$2:$B$206,2,FALSE)</f>
        <v>-2</v>
      </c>
      <c r="J23" s="19" t="s">
        <v>285</v>
      </c>
      <c r="K23" s="18">
        <f>VLOOKUP(J23,ESPNScores!$A$2:$B$206,2,FALSE)</f>
        <v>-5</v>
      </c>
      <c r="L23" s="19" t="s">
        <v>162</v>
      </c>
      <c r="M23" s="18">
        <f>VLOOKUP(L23,ESPNScores!$A$2:$B$206,2,FALSE)</f>
        <v>-2</v>
      </c>
      <c r="N23" s="19" t="s">
        <v>162</v>
      </c>
      <c r="O23" s="18">
        <f>VLOOKUP(N23,ESPNScores!$A$2:$B$206,2,FALSE)</f>
        <v>-2</v>
      </c>
      <c r="P23" s="19" t="s">
        <v>338</v>
      </c>
      <c r="Q23" s="18">
        <f>VLOOKUP(P23,ESPNScores!$A$2:$B$206,2,FALSE)</f>
        <v>-1</v>
      </c>
      <c r="R23" s="19" t="s">
        <v>338</v>
      </c>
      <c r="S23" s="18">
        <f>VLOOKUP(R23,ESPNScores!$A$2:$B$206,2,FALSE)</f>
        <v>-1</v>
      </c>
      <c r="T23" s="19" t="s">
        <v>285</v>
      </c>
      <c r="U23" s="18">
        <f>VLOOKUP(T23,ESPNScores!$A$2:$B$206,2,FALSE)</f>
        <v>-5</v>
      </c>
    </row>
    <row r="24" spans="2:23" x14ac:dyDescent="0.2">
      <c r="B24" s="52" t="str">
        <v>Balme</v>
      </c>
      <c r="C24" s="53">
        <v>-14</v>
      </c>
      <c r="D24" s="37"/>
      <c r="E24" s="13">
        <v>10</v>
      </c>
      <c r="F24" s="19" t="s">
        <v>67</v>
      </c>
      <c r="G24" s="18">
        <f>VLOOKUP(F24,ESPNScores!$A$2:$B$206,2,FALSE)</f>
        <v>-10</v>
      </c>
      <c r="H24" s="19" t="s">
        <v>58</v>
      </c>
      <c r="I24" s="18">
        <f>VLOOKUP(H24,ESPNScores!$A$2:$B$206,2,FALSE)</f>
        <v>0</v>
      </c>
      <c r="J24" s="19" t="s">
        <v>58</v>
      </c>
      <c r="K24" s="18">
        <f>VLOOKUP(J24,ESPNScores!$A$2:$B$206,2,FALSE)</f>
        <v>0</v>
      </c>
      <c r="L24" s="19" t="s">
        <v>58</v>
      </c>
      <c r="M24" s="18">
        <f>VLOOKUP(L24,ESPNScores!$A$2:$B$206,2,FALSE)</f>
        <v>0</v>
      </c>
      <c r="N24" s="19" t="s">
        <v>282</v>
      </c>
      <c r="O24" s="18">
        <f>VLOOKUP(N24,ESPNScores!$A$2:$B$206,2,FALSE)</f>
        <v>50</v>
      </c>
      <c r="P24" s="19" t="s">
        <v>58</v>
      </c>
      <c r="Q24" s="18">
        <f>VLOOKUP(P24,ESPNScores!$A$2:$B$206,2,FALSE)</f>
        <v>0</v>
      </c>
      <c r="R24" s="19" t="s">
        <v>67</v>
      </c>
      <c r="S24" s="18">
        <f>VLOOKUP(R24,ESPNScores!$A$2:$B$206,2,FALSE)</f>
        <v>-10</v>
      </c>
      <c r="T24" s="19" t="s">
        <v>67</v>
      </c>
      <c r="U24" s="18">
        <f>VLOOKUP(T24,ESPNScores!$A$2:$B$206,2,FALSE)</f>
        <v>-10</v>
      </c>
    </row>
    <row r="25" spans="2:23" x14ac:dyDescent="0.2">
      <c r="B25" s="59" t="str">
        <v>Cruickshank</v>
      </c>
      <c r="C25" s="60">
        <v>-14</v>
      </c>
      <c r="D25" s="61"/>
      <c r="E25" s="61"/>
      <c r="F25" s="75"/>
      <c r="G25" s="75"/>
      <c r="H25" s="75"/>
      <c r="I25" s="75"/>
      <c r="J25" s="75"/>
      <c r="K25" s="75"/>
      <c r="L25" s="75"/>
      <c r="M25" s="75"/>
      <c r="W25"/>
    </row>
    <row r="26" spans="2:23" s="7" customFormat="1" x14ac:dyDescent="0.2">
      <c r="B26" s="59" t="str">
        <v>B Hill</v>
      </c>
      <c r="C26" s="60">
        <v>-12</v>
      </c>
      <c r="D26" s="61"/>
      <c r="E26" s="12"/>
      <c r="F26" s="10" t="s">
        <v>364</v>
      </c>
      <c r="G26" s="11">
        <f>SMALL(G27:G36,1)+SMALL(G27:G36,2)+SMALL(G27:G36,3)+SMALL(G27:G36,4)+SMALL(G27:G36,5)</f>
        <v>-16</v>
      </c>
      <c r="H26" s="10" t="s">
        <v>365</v>
      </c>
      <c r="I26" s="11">
        <f>SMALL(I27:I36,1)+SMALL(I27:I36,2)+SMALL(I27:I36,3)+SMALL(I27:I36,4)+SMALL(I27:I36,5)</f>
        <v>-25</v>
      </c>
      <c r="J26" s="10" t="s">
        <v>373</v>
      </c>
      <c r="K26" s="11">
        <f>SMALL(K27:K36,1)+SMALL(K27:K36,2)+SMALL(K27:K36,3)+SMALL(K27:K36,4)+SMALL(K27:K36,5)</f>
        <v>-22</v>
      </c>
      <c r="L26" s="10" t="s">
        <v>371</v>
      </c>
      <c r="M26" s="11">
        <f>SMALL(M27:M36,1)+SMALL(M27:M36,2)+SMALL(M27:M36,3)+SMALL(M27:M36,4)+SMALL(M27:M36,5)</f>
        <v>-14</v>
      </c>
      <c r="N26" s="10" t="s">
        <v>367</v>
      </c>
      <c r="O26" s="11">
        <f>SMALL(O27:O36,1)+SMALL(O27:O36,2)+SMALL(O27:O36,3)+SMALL(O27:O36,4)+SMALL(O27:O36,5)</f>
        <v>-22</v>
      </c>
      <c r="P26" s="10" t="s">
        <v>368</v>
      </c>
      <c r="Q26" s="11">
        <f>SMALL(Q27:Q36,1)+SMALL(Q27:Q36,2)+SMALL(Q27:Q36,3)+SMALL(Q27:Q36,4)+SMALL(Q27:Q36,5)</f>
        <v>-17</v>
      </c>
      <c r="R26" s="10" t="s">
        <v>369</v>
      </c>
      <c r="S26" s="11">
        <f>SMALL(S27:S36,1)+SMALL(S27:S36,2)+SMALL(S27:S36,3)+SMALL(S27:S36,4)+SMALL(S27:S36,5)</f>
        <v>-31</v>
      </c>
      <c r="T26" s="10" t="s">
        <v>370</v>
      </c>
      <c r="U26" s="11">
        <f>SMALL(U27:U36,1)+SMALL(U27:U36,2)+SMALL(U27:U36,3)+SMALL(U27:U36,4)+SMALL(U27:U36,5)</f>
        <v>-22</v>
      </c>
      <c r="V26"/>
      <c r="W26"/>
    </row>
    <row r="27" spans="2:23" x14ac:dyDescent="0.2">
      <c r="B27" s="59" t="str">
        <v>Stabile</v>
      </c>
      <c r="C27" s="53">
        <v>-7</v>
      </c>
      <c r="D27" s="61"/>
      <c r="E27" s="13">
        <v>1</v>
      </c>
      <c r="F27" s="19" t="s">
        <v>36</v>
      </c>
      <c r="G27" s="18">
        <f>VLOOKUP(F27,ESPNScores!$A$2:$B$206,2,FALSE)</f>
        <v>13</v>
      </c>
      <c r="H27" s="19" t="s">
        <v>26</v>
      </c>
      <c r="I27" s="18">
        <f>VLOOKUP(H27,ESPNScores!$A$2:$B$206,2,FALSE)</f>
        <v>-4</v>
      </c>
      <c r="J27" s="19" t="s">
        <v>36</v>
      </c>
      <c r="K27" s="18">
        <f>VLOOKUP(J27,ESPNScores!$A$2:$B$206,2,FALSE)</f>
        <v>13</v>
      </c>
      <c r="L27" s="19" t="s">
        <v>26</v>
      </c>
      <c r="M27" s="18">
        <f>VLOOKUP(L27,ESPNScores!$A$2:$B$206,2,FALSE)</f>
        <v>-4</v>
      </c>
      <c r="N27" s="19" t="s">
        <v>36</v>
      </c>
      <c r="O27" s="18">
        <f>VLOOKUP(N27,ESPNScores!$A$2:$B$206,2,FALSE)</f>
        <v>13</v>
      </c>
      <c r="P27" s="19" t="s">
        <v>26</v>
      </c>
      <c r="Q27" s="18">
        <f>VLOOKUP(P27,ESPNScores!$A$2:$B$206,2,FALSE)</f>
        <v>-4</v>
      </c>
      <c r="R27" s="19" t="s">
        <v>26</v>
      </c>
      <c r="S27" s="18">
        <f>VLOOKUP(R27,ESPNScores!$A$2:$B$206,2,FALSE)</f>
        <v>-4</v>
      </c>
      <c r="T27" s="19" t="s">
        <v>36</v>
      </c>
      <c r="U27" s="18">
        <f>VLOOKUP(T27,ESPNScores!$A$2:$B$206,2,FALSE)</f>
        <v>13</v>
      </c>
      <c r="W27"/>
    </row>
    <row r="28" spans="2:23" ht="15" x14ac:dyDescent="0.25">
      <c r="B28" s="59" t="str">
        <v>Steigmeyer</v>
      </c>
      <c r="C28" s="53">
        <v>-6</v>
      </c>
      <c r="D28" s="61"/>
      <c r="E28" s="13">
        <v>2</v>
      </c>
      <c r="F28" s="19" t="s">
        <v>392</v>
      </c>
      <c r="G28" s="18">
        <f>VLOOKUP(F28,ESPNScores!$A$2:$B$206,2,FALSE)</f>
        <v>50</v>
      </c>
      <c r="H28" s="19" t="s">
        <v>54</v>
      </c>
      <c r="I28" s="18">
        <f>VLOOKUP(H28,ESPNScores!$A$2:$B$206,2,FALSE)</f>
        <v>-4</v>
      </c>
      <c r="J28" s="19" t="s">
        <v>392</v>
      </c>
      <c r="K28" s="18">
        <f>VLOOKUP(J28,ESPNScores!$A$2:$B$206,2,FALSE)</f>
        <v>50</v>
      </c>
      <c r="L28" s="19" t="s">
        <v>392</v>
      </c>
      <c r="M28" s="18">
        <f>VLOOKUP(L28,ESPNScores!$A$2:$B$206,2,FALSE)</f>
        <v>50</v>
      </c>
      <c r="N28" s="19" t="s">
        <v>392</v>
      </c>
      <c r="O28" s="18">
        <f>VLOOKUP(N28,ESPNScores!$A$2:$B$206,2,FALSE)</f>
        <v>50</v>
      </c>
      <c r="P28" s="19" t="s">
        <v>392</v>
      </c>
      <c r="Q28" s="18">
        <f>VLOOKUP(P28,ESPNScores!$A$2:$B$206,2,FALSE)</f>
        <v>50</v>
      </c>
      <c r="R28" s="19" t="s">
        <v>392</v>
      </c>
      <c r="S28" s="18">
        <f>VLOOKUP(R28,ESPNScores!$A$2:$B$206,2,FALSE)</f>
        <v>50</v>
      </c>
      <c r="T28" s="19" t="s">
        <v>392</v>
      </c>
      <c r="U28" s="18">
        <f>VLOOKUP(T28,ESPNScores!$A$2:$B$206,2,FALSE)</f>
        <v>50</v>
      </c>
      <c r="V28" s="9"/>
    </row>
    <row r="29" spans="2:23" ht="15" x14ac:dyDescent="0.25">
      <c r="B29" s="59" t="str">
        <v>Fish</v>
      </c>
      <c r="C29" s="53">
        <v>-3</v>
      </c>
      <c r="D29" s="53"/>
      <c r="E29" s="13">
        <v>3</v>
      </c>
      <c r="F29" s="19" t="s">
        <v>31</v>
      </c>
      <c r="G29" s="18">
        <f>VLOOKUP(F29,ESPNScores!$A$2:$B$206,2,FALSE)</f>
        <v>-6</v>
      </c>
      <c r="H29" s="19" t="s">
        <v>44</v>
      </c>
      <c r="I29" s="18">
        <f>VLOOKUP(H29,ESPNScores!$A$2:$B$206,2,FALSE)</f>
        <v>-7</v>
      </c>
      <c r="J29" s="19" t="s">
        <v>44</v>
      </c>
      <c r="K29" s="18">
        <f>VLOOKUP(J29,ESPNScores!$A$2:$B$206,2,FALSE)</f>
        <v>-7</v>
      </c>
      <c r="L29" s="19" t="s">
        <v>55</v>
      </c>
      <c r="M29" s="18">
        <f>VLOOKUP(L29,ESPNScores!$A$2:$B$206,2,FALSE)</f>
        <v>50</v>
      </c>
      <c r="N29" s="19" t="s">
        <v>31</v>
      </c>
      <c r="O29" s="18">
        <f>VLOOKUP(N29,ESPNScores!$A$2:$B$206,2,FALSE)</f>
        <v>-6</v>
      </c>
      <c r="P29" s="19" t="s">
        <v>55</v>
      </c>
      <c r="Q29" s="18">
        <f>VLOOKUP(P29,ESPNScores!$A$2:$B$206,2,FALSE)</f>
        <v>50</v>
      </c>
      <c r="R29" s="19" t="s">
        <v>44</v>
      </c>
      <c r="S29" s="18">
        <f>VLOOKUP(R29,ESPNScores!$A$2:$B$206,2,FALSE)</f>
        <v>-7</v>
      </c>
      <c r="T29" s="19" t="s">
        <v>55</v>
      </c>
      <c r="U29" s="18">
        <f>VLOOKUP(T29,ESPNScores!$A$2:$B$206,2,FALSE)</f>
        <v>50</v>
      </c>
      <c r="V29" s="9"/>
    </row>
    <row r="30" spans="2:23" ht="15" x14ac:dyDescent="0.25">
      <c r="B30" s="59" t="str">
        <v>Armstrong</v>
      </c>
      <c r="C30" s="53">
        <v>2</v>
      </c>
      <c r="D30" s="82"/>
      <c r="E30" s="13">
        <v>4</v>
      </c>
      <c r="F30" s="19" t="s">
        <v>48</v>
      </c>
      <c r="G30" s="18">
        <f>VLOOKUP(F30,ESPNScores!$A$2:$B$206,2,FALSE)</f>
        <v>50</v>
      </c>
      <c r="H30" s="19" t="s">
        <v>48</v>
      </c>
      <c r="I30" s="18">
        <f>VLOOKUP(H30,ESPNScores!$A$2:$B$206,2,FALSE)</f>
        <v>50</v>
      </c>
      <c r="J30" s="19" t="s">
        <v>48</v>
      </c>
      <c r="K30" s="18">
        <f>VLOOKUP(J30,ESPNScores!$A$2:$B$206,2,FALSE)</f>
        <v>50</v>
      </c>
      <c r="L30" s="19" t="s">
        <v>61</v>
      </c>
      <c r="M30" s="18">
        <f>VLOOKUP(L30,ESPNScores!$A$2:$B$206,2,FALSE)</f>
        <v>2</v>
      </c>
      <c r="N30" s="19" t="s">
        <v>48</v>
      </c>
      <c r="O30" s="18">
        <f>VLOOKUP(N30,ESPNScores!$A$2:$B$206,2,FALSE)</f>
        <v>50</v>
      </c>
      <c r="P30" s="19" t="s">
        <v>48</v>
      </c>
      <c r="Q30" s="18">
        <f>VLOOKUP(P30,ESPNScores!$A$2:$B$206,2,FALSE)</f>
        <v>50</v>
      </c>
      <c r="R30" s="19" t="s">
        <v>48</v>
      </c>
      <c r="S30" s="18">
        <f>VLOOKUP(R30,ESPNScores!$A$2:$B$206,2,FALSE)</f>
        <v>50</v>
      </c>
      <c r="T30" s="19" t="s">
        <v>48</v>
      </c>
      <c r="U30" s="18">
        <f>VLOOKUP(T30,ESPNScores!$A$2:$B$206,2,FALSE)</f>
        <v>50</v>
      </c>
      <c r="V30" s="9"/>
    </row>
    <row r="31" spans="2:23" ht="15" x14ac:dyDescent="0.25">
      <c r="B31" s="63" t="str">
        <v>Rush</v>
      </c>
      <c r="C31" s="54">
        <v>6</v>
      </c>
      <c r="D31" s="83"/>
      <c r="E31" s="13">
        <v>5</v>
      </c>
      <c r="F31" s="19" t="s">
        <v>215</v>
      </c>
      <c r="G31" s="18">
        <f>VLOOKUP(F31,ESPNScores!$A$2:$B$206,2,FALSE)</f>
        <v>50</v>
      </c>
      <c r="H31" s="19" t="s">
        <v>190</v>
      </c>
      <c r="I31" s="18">
        <f>VLOOKUP(H31,ESPNScores!$A$2:$B$206,2,FALSE)</f>
        <v>-4</v>
      </c>
      <c r="J31" s="19" t="s">
        <v>190</v>
      </c>
      <c r="K31" s="18">
        <f>VLOOKUP(J31,ESPNScores!$A$2:$B$206,2,FALSE)</f>
        <v>-4</v>
      </c>
      <c r="L31" s="19" t="s">
        <v>190</v>
      </c>
      <c r="M31" s="18">
        <f>VLOOKUP(L31,ESPNScores!$A$2:$B$206,2,FALSE)</f>
        <v>-4</v>
      </c>
      <c r="N31" s="19" t="s">
        <v>215</v>
      </c>
      <c r="O31" s="18">
        <f>VLOOKUP(N31,ESPNScores!$A$2:$B$206,2,FALSE)</f>
        <v>50</v>
      </c>
      <c r="P31" s="19" t="s">
        <v>38</v>
      </c>
      <c r="Q31" s="18">
        <f>VLOOKUP(P31,ESPNScores!$A$2:$B$206,2,FALSE)</f>
        <v>6</v>
      </c>
      <c r="R31" s="19" t="s">
        <v>215</v>
      </c>
      <c r="S31" s="18">
        <f>VLOOKUP(R31,ESPNScores!$A$2:$B$206,2,FALSE)</f>
        <v>50</v>
      </c>
      <c r="T31" s="19" t="s">
        <v>190</v>
      </c>
      <c r="U31" s="18">
        <f>VLOOKUP(T31,ESPNScores!$A$2:$B$206,2,FALSE)</f>
        <v>-4</v>
      </c>
      <c r="V31" s="32"/>
    </row>
    <row r="32" spans="2:23" ht="15" x14ac:dyDescent="0.25">
      <c r="E32" s="13">
        <v>6</v>
      </c>
      <c r="F32" s="19" t="s">
        <v>53</v>
      </c>
      <c r="G32" s="18">
        <f>VLOOKUP(F32,ESPNScores!$A$2:$B$206,2,FALSE)</f>
        <v>50</v>
      </c>
      <c r="H32" s="19" t="s">
        <v>53</v>
      </c>
      <c r="I32" s="18">
        <f>VLOOKUP(H32,ESPNScores!$A$2:$B$206,2,FALSE)</f>
        <v>50</v>
      </c>
      <c r="J32" s="19" t="s">
        <v>53</v>
      </c>
      <c r="K32" s="18">
        <f>VLOOKUP(J32,ESPNScores!$A$2:$B$206,2,FALSE)</f>
        <v>50</v>
      </c>
      <c r="L32" s="19" t="s">
        <v>53</v>
      </c>
      <c r="M32" s="18">
        <f>VLOOKUP(L32,ESPNScores!$A$2:$B$206,2,FALSE)</f>
        <v>50</v>
      </c>
      <c r="N32" s="19" t="s">
        <v>53</v>
      </c>
      <c r="O32" s="18">
        <f>VLOOKUP(N32,ESPNScores!$A$2:$B$206,2,FALSE)</f>
        <v>50</v>
      </c>
      <c r="P32" s="19" t="s">
        <v>34</v>
      </c>
      <c r="Q32" s="18">
        <f>VLOOKUP(P32,ESPNScores!$A$2:$B$206,2,FALSE)</f>
        <v>-3</v>
      </c>
      <c r="R32" s="19" t="s">
        <v>53</v>
      </c>
      <c r="S32" s="18">
        <f>VLOOKUP(R32,ESPNScores!$A$2:$B$206,2,FALSE)</f>
        <v>50</v>
      </c>
      <c r="T32" s="19" t="s">
        <v>34</v>
      </c>
      <c r="U32" s="18">
        <f>VLOOKUP(T32,ESPNScores!$A$2:$B$206,2,FALSE)</f>
        <v>-3</v>
      </c>
      <c r="V32" s="9"/>
    </row>
    <row r="33" spans="2:23" ht="15" x14ac:dyDescent="0.25">
      <c r="E33" s="13">
        <v>7</v>
      </c>
      <c r="F33" s="19" t="s">
        <v>33</v>
      </c>
      <c r="G33" s="18">
        <f>VLOOKUP(F33,ESPNScores!$A$2:$B$206,2,FALSE)</f>
        <v>-5</v>
      </c>
      <c r="H33" s="19" t="s">
        <v>33</v>
      </c>
      <c r="I33" s="18">
        <f>VLOOKUP(H33,ESPNScores!$A$2:$B$206,2,FALSE)</f>
        <v>-5</v>
      </c>
      <c r="J33" s="19" t="s">
        <v>33</v>
      </c>
      <c r="K33" s="18">
        <f>VLOOKUP(J33,ESPNScores!$A$2:$B$206,2,FALSE)</f>
        <v>-5</v>
      </c>
      <c r="L33" s="19" t="s">
        <v>33</v>
      </c>
      <c r="M33" s="18">
        <f>VLOOKUP(L33,ESPNScores!$A$2:$B$206,2,FALSE)</f>
        <v>-5</v>
      </c>
      <c r="N33" s="19" t="s">
        <v>33</v>
      </c>
      <c r="O33" s="18">
        <f>VLOOKUP(N33,ESPNScores!$A$2:$B$206,2,FALSE)</f>
        <v>-5</v>
      </c>
      <c r="P33" s="19" t="s">
        <v>33</v>
      </c>
      <c r="Q33" s="18">
        <f>VLOOKUP(P33,ESPNScores!$A$2:$B$206,2,FALSE)</f>
        <v>-5</v>
      </c>
      <c r="R33" s="19" t="s">
        <v>33</v>
      </c>
      <c r="S33" s="18">
        <f>VLOOKUP(R33,ESPNScores!$A$2:$B$206,2,FALSE)</f>
        <v>-5</v>
      </c>
      <c r="T33" s="19" t="s">
        <v>344</v>
      </c>
      <c r="U33" s="18">
        <f>VLOOKUP(T33,ESPNScores!$A$2:$B$206,2,FALSE)</f>
        <v>-10</v>
      </c>
      <c r="V33" s="9"/>
    </row>
    <row r="34" spans="2:23" ht="15" x14ac:dyDescent="0.25">
      <c r="B34" s="88" t="s">
        <v>398</v>
      </c>
      <c r="E34" s="13">
        <v>8</v>
      </c>
      <c r="F34" s="19" t="s">
        <v>225</v>
      </c>
      <c r="G34" s="18">
        <f>VLOOKUP(F34,ESPNScores!$A$2:$B$206,2,FALSE)</f>
        <v>0</v>
      </c>
      <c r="H34" s="19" t="s">
        <v>51</v>
      </c>
      <c r="I34" s="18">
        <f>VLOOKUP(H34,ESPNScores!$A$2:$B$206,2,FALSE)</f>
        <v>-5</v>
      </c>
      <c r="J34" s="19" t="s">
        <v>51</v>
      </c>
      <c r="K34" s="18">
        <f>VLOOKUP(J34,ESPNScores!$A$2:$B$206,2,FALSE)</f>
        <v>-5</v>
      </c>
      <c r="L34" s="19" t="s">
        <v>308</v>
      </c>
      <c r="M34" s="18">
        <f>VLOOKUP(L34,ESPNScores!$A$2:$B$206,2,FALSE)</f>
        <v>3</v>
      </c>
      <c r="N34" s="19" t="s">
        <v>225</v>
      </c>
      <c r="O34" s="18">
        <f>VLOOKUP(N34,ESPNScores!$A$2:$B$206,2,FALSE)</f>
        <v>0</v>
      </c>
      <c r="P34" s="19" t="s">
        <v>225</v>
      </c>
      <c r="Q34" s="18">
        <f>VLOOKUP(P34,ESPNScores!$A$2:$B$206,2,FALSE)</f>
        <v>0</v>
      </c>
      <c r="R34" s="19" t="s">
        <v>51</v>
      </c>
      <c r="S34" s="18">
        <f>VLOOKUP(R34,ESPNScores!$A$2:$B$206,2,FALSE)</f>
        <v>-5</v>
      </c>
      <c r="T34" s="19" t="s">
        <v>308</v>
      </c>
      <c r="U34" s="18">
        <f>VLOOKUP(T34,ESPNScores!$A$2:$B$206,2,FALSE)</f>
        <v>3</v>
      </c>
      <c r="V34" s="9"/>
    </row>
    <row r="35" spans="2:23" ht="15" x14ac:dyDescent="0.25">
      <c r="B35" s="87" t="str">
        <f>ESPNScores!A2</f>
        <v>Rory McIlroy</v>
      </c>
      <c r="C35" s="86">
        <f>ESPNScores!B2</f>
        <v>-12</v>
      </c>
      <c r="E35" s="13">
        <v>9</v>
      </c>
      <c r="F35" s="19" t="s">
        <v>285</v>
      </c>
      <c r="G35" s="18">
        <f>VLOOKUP(F35,ESPNScores!$A$2:$B$206,2,FALSE)</f>
        <v>-5</v>
      </c>
      <c r="H35" s="19" t="s">
        <v>338</v>
      </c>
      <c r="I35" s="18">
        <f>VLOOKUP(H35,ESPNScores!$A$2:$B$206,2,FALSE)</f>
        <v>-1</v>
      </c>
      <c r="J35" s="19" t="s">
        <v>338</v>
      </c>
      <c r="K35" s="18">
        <f>VLOOKUP(J35,ESPNScores!$A$2:$B$206,2,FALSE)</f>
        <v>-1</v>
      </c>
      <c r="L35" s="19" t="s">
        <v>338</v>
      </c>
      <c r="M35" s="18">
        <f>VLOOKUP(L35,ESPNScores!$A$2:$B$206,2,FALSE)</f>
        <v>-1</v>
      </c>
      <c r="N35" s="19" t="s">
        <v>338</v>
      </c>
      <c r="O35" s="18">
        <f>VLOOKUP(N35,ESPNScores!$A$2:$B$206,2,FALSE)</f>
        <v>-1</v>
      </c>
      <c r="P35" s="19" t="s">
        <v>285</v>
      </c>
      <c r="Q35" s="18">
        <f>VLOOKUP(P35,ESPNScores!$A$2:$B$206,2,FALSE)</f>
        <v>-5</v>
      </c>
      <c r="R35" s="19" t="s">
        <v>162</v>
      </c>
      <c r="S35" s="18">
        <f>VLOOKUP(R35,ESPNScores!$A$2:$B$206,2,FALSE)</f>
        <v>-2</v>
      </c>
      <c r="T35" s="19" t="s">
        <v>285</v>
      </c>
      <c r="U35" s="18">
        <f>VLOOKUP(T35,ESPNScores!$A$2:$B$206,2,FALSE)</f>
        <v>-5</v>
      </c>
      <c r="V35" s="9"/>
    </row>
    <row r="36" spans="2:23" ht="15" x14ac:dyDescent="0.25">
      <c r="B36" s="87" t="str">
        <f>ESPNScores!A3</f>
        <v>J.J. Spaun</v>
      </c>
      <c r="C36" s="86">
        <f>ESPNScores!B3</f>
        <v>-12</v>
      </c>
      <c r="E36" s="13">
        <v>10</v>
      </c>
      <c r="F36" s="19" t="s">
        <v>58</v>
      </c>
      <c r="G36" s="18">
        <f>VLOOKUP(F36,ESPNScores!$A$2:$B$206,2,FALSE)</f>
        <v>0</v>
      </c>
      <c r="H36" s="19" t="s">
        <v>282</v>
      </c>
      <c r="I36" s="18">
        <f>VLOOKUP(H36,ESPNScores!$A$2:$B$206,2,FALSE)</f>
        <v>50</v>
      </c>
      <c r="J36" s="19" t="s">
        <v>58</v>
      </c>
      <c r="K36" s="18">
        <f>VLOOKUP(J36,ESPNScores!$A$2:$B$206,2,FALSE)</f>
        <v>0</v>
      </c>
      <c r="L36" s="19" t="s">
        <v>58</v>
      </c>
      <c r="M36" s="18">
        <f>VLOOKUP(L36,ESPNScores!$A$2:$B$206,2,FALSE)</f>
        <v>0</v>
      </c>
      <c r="N36" s="19" t="s">
        <v>67</v>
      </c>
      <c r="O36" s="18">
        <f>VLOOKUP(N36,ESPNScores!$A$2:$B$206,2,FALSE)</f>
        <v>-10</v>
      </c>
      <c r="P36" s="19" t="s">
        <v>58</v>
      </c>
      <c r="Q36" s="18">
        <f>VLOOKUP(P36,ESPNScores!$A$2:$B$206,2,FALSE)</f>
        <v>0</v>
      </c>
      <c r="R36" s="19" t="s">
        <v>67</v>
      </c>
      <c r="S36" s="18">
        <f>VLOOKUP(R36,ESPNScores!$A$2:$B$206,2,FALSE)</f>
        <v>-10</v>
      </c>
      <c r="T36" s="19" t="s">
        <v>58</v>
      </c>
      <c r="U36" s="18">
        <f>VLOOKUP(T36,ESPNScores!$A$2:$B$206,2,FALSE)</f>
        <v>0</v>
      </c>
      <c r="V36" s="9"/>
    </row>
    <row r="37" spans="2:23" x14ac:dyDescent="0.2">
      <c r="B37" s="87" t="str">
        <f>ESPNScores!A4</f>
        <v>Tom Hoge</v>
      </c>
      <c r="C37" s="86">
        <f>ESPNScores!B4</f>
        <v>-10</v>
      </c>
      <c r="E37" s="19"/>
      <c r="G37" s="18"/>
      <c r="I37" s="18"/>
      <c r="K37" s="18"/>
      <c r="M37" s="18"/>
      <c r="O37" s="18"/>
      <c r="Q37" s="18"/>
      <c r="S37" s="18"/>
    </row>
    <row r="38" spans="2:23" x14ac:dyDescent="0.2">
      <c r="B38" s="87" t="str">
        <f>ESPNScores!A5</f>
        <v>Akshay Bhatia</v>
      </c>
      <c r="C38" s="86">
        <f>ESPNScores!B5</f>
        <v>-10</v>
      </c>
      <c r="E38" s="12"/>
      <c r="F38" s="10" t="s">
        <v>372</v>
      </c>
      <c r="G38" s="11">
        <f>SMALL(G39:G48,1)+SMALL(G39:G48,2)+SMALL(G39:G48,3)+SMALL(G39:G48,4)+SMALL(G39:G48,5)</f>
        <v>-25</v>
      </c>
      <c r="H38" s="10" t="s">
        <v>366</v>
      </c>
      <c r="I38" s="11">
        <f>SMALL(I39:I48,1)+SMALL(I39:I48,2)+SMALL(I39:I48,3)+SMALL(I39:I48,4)+SMALL(I39:I48,5)</f>
        <v>-6</v>
      </c>
      <c r="J38" s="10" t="s">
        <v>374</v>
      </c>
      <c r="K38" s="11">
        <f>SMALL(K39:K48,1)+SMALL(K39:K48,2)+SMALL(K39:K48,3)+SMALL(K39:K48,4)+SMALL(K39:K48,5)</f>
        <v>-7</v>
      </c>
      <c r="L38" s="10" t="s">
        <v>396</v>
      </c>
      <c r="M38" s="11">
        <f>SMALL(M39:M48,1)+SMALL(M39:M48,2)+SMALL(M39:M48,3)+SMALL(M39:M48,4)+SMALL(M39:M48,5)</f>
        <v>-14</v>
      </c>
      <c r="N38" s="10" t="s">
        <v>397</v>
      </c>
      <c r="O38" s="11">
        <f>SMALL(O39:O48,1)+SMALL(O39:O48,2)+SMALL(O39:O48,3)+SMALL(O39:O48,4)+SMALL(O39:O48,5)</f>
        <v>-22</v>
      </c>
      <c r="P38" s="7"/>
      <c r="Q38" s="1"/>
      <c r="R38" s="7"/>
      <c r="S38" s="1"/>
      <c r="T38" s="7"/>
      <c r="U38" s="1"/>
      <c r="V38" s="7"/>
      <c r="W38" s="1"/>
    </row>
    <row r="39" spans="2:23" ht="15" x14ac:dyDescent="0.25">
      <c r="B39" s="87" t="str">
        <f>ESPNScores!A6</f>
        <v>Lucas Glover</v>
      </c>
      <c r="C39" s="86">
        <f>ESPNScores!B6</f>
        <v>-10</v>
      </c>
      <c r="E39" s="13">
        <v>1</v>
      </c>
      <c r="F39" s="19" t="s">
        <v>36</v>
      </c>
      <c r="G39" s="18">
        <f>VLOOKUP(F39,ESPNScores!$A$2:$B$206,2,FALSE)</f>
        <v>13</v>
      </c>
      <c r="H39" s="19" t="s">
        <v>26</v>
      </c>
      <c r="I39" s="18">
        <f>VLOOKUP(H39,ESPNScores!$A$2:$B$206,2,FALSE)</f>
        <v>-4</v>
      </c>
      <c r="J39" s="19" t="s">
        <v>36</v>
      </c>
      <c r="K39" s="18">
        <f>VLOOKUP(J39,ESPNScores!$A$2:$B$206,2,FALSE)</f>
        <v>13</v>
      </c>
      <c r="L39" s="19" t="s">
        <v>26</v>
      </c>
      <c r="M39" s="18">
        <f>VLOOKUP(L39,ESPNScores!$A$2:$B$206,2,FALSE)</f>
        <v>-4</v>
      </c>
      <c r="N39" s="31" t="s">
        <v>36</v>
      </c>
      <c r="O39" s="18">
        <f>VLOOKUP(N39,ESPNScores!$A$2:$B$206,2,FALSE)</f>
        <v>13</v>
      </c>
      <c r="P39" s="76"/>
      <c r="Q39" s="18"/>
      <c r="R39" s="76"/>
      <c r="S39" s="18"/>
      <c r="V39" s="9"/>
    </row>
    <row r="40" spans="2:23" ht="15" x14ac:dyDescent="0.25">
      <c r="E40" s="13">
        <v>2</v>
      </c>
      <c r="F40" s="19" t="s">
        <v>27</v>
      </c>
      <c r="G40" s="18">
        <f>VLOOKUP(F40,ESPNScores!$A$2:$B$206,2,FALSE)</f>
        <v>-12</v>
      </c>
      <c r="H40" s="19" t="s">
        <v>392</v>
      </c>
      <c r="I40" s="18">
        <f>VLOOKUP(H40,ESPNScores!$A$2:$B$206,2,FALSE)</f>
        <v>50</v>
      </c>
      <c r="J40" s="19" t="s">
        <v>392</v>
      </c>
      <c r="K40" s="18">
        <f>VLOOKUP(J40,ESPNScores!$A$2:$B$206,2,FALSE)</f>
        <v>50</v>
      </c>
      <c r="L40" s="19" t="s">
        <v>392</v>
      </c>
      <c r="M40" s="18">
        <f>VLOOKUP(L40,ESPNScores!$A$2:$B$206,2,FALSE)</f>
        <v>50</v>
      </c>
      <c r="N40" s="19" t="s">
        <v>54</v>
      </c>
      <c r="O40" s="18">
        <f>VLOOKUP(N40,ESPNScores!$A$2:$B$206,2,FALSE)</f>
        <v>-4</v>
      </c>
      <c r="P40" s="76"/>
      <c r="Q40" s="18"/>
      <c r="R40" s="76"/>
      <c r="S40" s="18"/>
      <c r="V40" s="9"/>
    </row>
    <row r="41" spans="2:23" ht="15" x14ac:dyDescent="0.25">
      <c r="E41" s="13">
        <v>3</v>
      </c>
      <c r="F41" s="19" t="s">
        <v>31</v>
      </c>
      <c r="G41" s="18">
        <f>VLOOKUP(F41,ESPNScores!$A$2:$B$206,2,FALSE)</f>
        <v>-6</v>
      </c>
      <c r="H41" s="19" t="s">
        <v>55</v>
      </c>
      <c r="I41" s="18">
        <f>VLOOKUP(H41,ESPNScores!$A$2:$B$206,2,FALSE)</f>
        <v>50</v>
      </c>
      <c r="J41" s="19" t="s">
        <v>44</v>
      </c>
      <c r="K41" s="18">
        <f>VLOOKUP(J41,ESPNScores!$A$2:$B$206,2,FALSE)</f>
        <v>-7</v>
      </c>
      <c r="L41" s="19" t="s">
        <v>55</v>
      </c>
      <c r="M41" s="18">
        <f>VLOOKUP(L41,ESPNScores!$A$2:$B$206,2,FALSE)</f>
        <v>50</v>
      </c>
      <c r="N41" s="19" t="s">
        <v>44</v>
      </c>
      <c r="O41" s="18">
        <f>VLOOKUP(N41,ESPNScores!$A$2:$B$206,2,FALSE)</f>
        <v>-7</v>
      </c>
      <c r="P41" s="76"/>
      <c r="Q41" s="18"/>
      <c r="R41" s="76"/>
      <c r="S41" s="18"/>
      <c r="V41" s="9"/>
    </row>
    <row r="42" spans="2:23" ht="15" x14ac:dyDescent="0.25">
      <c r="B42" s="88" t="s">
        <v>463</v>
      </c>
      <c r="E42" s="13">
        <v>4</v>
      </c>
      <c r="F42" s="19" t="s">
        <v>48</v>
      </c>
      <c r="G42" s="18">
        <f>VLOOKUP(F42,ESPNScores!$A$2:$B$206,2,FALSE)</f>
        <v>50</v>
      </c>
      <c r="H42" s="19" t="s">
        <v>40</v>
      </c>
      <c r="I42" s="18">
        <f>VLOOKUP(H42,ESPNScores!$A$2:$B$206,2,FALSE)</f>
        <v>50</v>
      </c>
      <c r="J42" s="19" t="s">
        <v>40</v>
      </c>
      <c r="K42" s="18">
        <f>VLOOKUP(J42,ESPNScores!$A$2:$B$206,2,FALSE)</f>
        <v>50</v>
      </c>
      <c r="L42" s="19" t="s">
        <v>48</v>
      </c>
      <c r="M42" s="18">
        <f>VLOOKUP(L42,ESPNScores!$A$2:$B$206,2,FALSE)</f>
        <v>50</v>
      </c>
      <c r="N42" s="19" t="s">
        <v>40</v>
      </c>
      <c r="O42" s="18">
        <f>VLOOKUP(N42,ESPNScores!$A$2:$B$206,2,FALSE)</f>
        <v>50</v>
      </c>
      <c r="P42" s="76"/>
      <c r="Q42" s="18"/>
      <c r="R42" s="76"/>
      <c r="S42" s="18"/>
      <c r="V42" s="9"/>
    </row>
    <row r="43" spans="2:23" ht="15" x14ac:dyDescent="0.25">
      <c r="B43" s="89" t="s">
        <v>488</v>
      </c>
      <c r="E43" s="13">
        <v>5</v>
      </c>
      <c r="F43" s="19" t="s">
        <v>215</v>
      </c>
      <c r="G43" s="18">
        <f>VLOOKUP(F43,ESPNScores!$A$2:$B$206,2,FALSE)</f>
        <v>50</v>
      </c>
      <c r="H43" s="19" t="s">
        <v>38</v>
      </c>
      <c r="I43" s="18">
        <f>VLOOKUP(H43,ESPNScores!$A$2:$B$206,2,FALSE)</f>
        <v>6</v>
      </c>
      <c r="J43" s="19" t="s">
        <v>38</v>
      </c>
      <c r="K43" s="18">
        <f>VLOOKUP(J43,ESPNScores!$A$2:$B$206,2,FALSE)</f>
        <v>6</v>
      </c>
      <c r="L43" s="19" t="s">
        <v>215</v>
      </c>
      <c r="M43" s="18">
        <f>VLOOKUP(L43,ESPNScores!$A$2:$B$206,2,FALSE)</f>
        <v>50</v>
      </c>
      <c r="N43" s="19" t="s">
        <v>190</v>
      </c>
      <c r="O43" s="18">
        <f>VLOOKUP(N43,ESPNScores!$A$2:$B$206,2,FALSE)</f>
        <v>-4</v>
      </c>
      <c r="Q43" s="18"/>
      <c r="R43" s="76"/>
      <c r="S43" s="18"/>
      <c r="V43" s="32"/>
    </row>
    <row r="44" spans="2:23" ht="15" x14ac:dyDescent="0.25">
      <c r="E44" s="13">
        <v>6</v>
      </c>
      <c r="F44" s="19" t="s">
        <v>53</v>
      </c>
      <c r="G44" s="18">
        <f>VLOOKUP(F44,ESPNScores!$A$2:$B$206,2,FALSE)</f>
        <v>50</v>
      </c>
      <c r="H44" s="19" t="s">
        <v>53</v>
      </c>
      <c r="I44" s="18">
        <f>VLOOKUP(H44,ESPNScores!$A$2:$B$206,2,FALSE)</f>
        <v>50</v>
      </c>
      <c r="J44" s="19" t="s">
        <v>53</v>
      </c>
      <c r="K44" s="18">
        <f>VLOOKUP(J44,ESPNScores!$A$2:$B$206,2,FALSE)</f>
        <v>50</v>
      </c>
      <c r="L44" s="19" t="s">
        <v>53</v>
      </c>
      <c r="M44" s="18">
        <f>VLOOKUP(L44,ESPNScores!$A$2:$B$206,2,FALSE)</f>
        <v>50</v>
      </c>
      <c r="N44" s="19" t="s">
        <v>53</v>
      </c>
      <c r="O44" s="18">
        <f>VLOOKUP(N44,ESPNScores!$A$2:$B$206,2,FALSE)</f>
        <v>50</v>
      </c>
      <c r="P44" s="76"/>
      <c r="Q44" s="18"/>
      <c r="R44" s="76"/>
      <c r="S44" s="18"/>
      <c r="V44" s="9"/>
    </row>
    <row r="45" spans="2:23" ht="15" x14ac:dyDescent="0.25">
      <c r="E45" s="13">
        <v>7</v>
      </c>
      <c r="F45" s="19" t="s">
        <v>33</v>
      </c>
      <c r="G45" s="18">
        <f>VLOOKUP(F45,ESPNScores!$A$2:$B$206,2,FALSE)</f>
        <v>-5</v>
      </c>
      <c r="H45" s="19" t="s">
        <v>344</v>
      </c>
      <c r="I45" s="18">
        <f>VLOOKUP(H45,ESPNScores!$A$2:$B$206,2,FALSE)</f>
        <v>-10</v>
      </c>
      <c r="J45" s="19" t="s">
        <v>63</v>
      </c>
      <c r="K45" s="18">
        <f>VLOOKUP(J45,ESPNScores!$A$2:$B$206,2,FALSE)</f>
        <v>2</v>
      </c>
      <c r="L45" s="19" t="s">
        <v>33</v>
      </c>
      <c r="M45" s="18">
        <f>VLOOKUP(L45,ESPNScores!$A$2:$B$206,2,FALSE)</f>
        <v>-5</v>
      </c>
      <c r="N45" s="19" t="s">
        <v>33</v>
      </c>
      <c r="O45" s="18">
        <f>VLOOKUP(N45,ESPNScores!$A$2:$B$206,2,FALSE)</f>
        <v>-5</v>
      </c>
      <c r="P45" s="76"/>
      <c r="Q45" s="18"/>
      <c r="R45" s="76"/>
      <c r="S45" s="18"/>
      <c r="V45" s="9"/>
    </row>
    <row r="46" spans="2:23" x14ac:dyDescent="0.2">
      <c r="E46" s="13">
        <v>8</v>
      </c>
      <c r="F46" s="19" t="s">
        <v>225</v>
      </c>
      <c r="G46" s="18">
        <f>VLOOKUP(F46,ESPNScores!$A$2:$B$206,2,FALSE)</f>
        <v>0</v>
      </c>
      <c r="H46" s="19" t="s">
        <v>308</v>
      </c>
      <c r="I46" s="18">
        <f>VLOOKUP(H46,ESPNScores!$A$2:$B$206,2,FALSE)</f>
        <v>3</v>
      </c>
      <c r="J46" s="19" t="s">
        <v>308</v>
      </c>
      <c r="K46" s="18">
        <f>VLOOKUP(J46,ESPNScores!$A$2:$B$206,2,FALSE)</f>
        <v>3</v>
      </c>
      <c r="L46" s="19" t="s">
        <v>225</v>
      </c>
      <c r="M46" s="18">
        <f>VLOOKUP(L46,ESPNScores!$A$2:$B$206,2,FALSE)</f>
        <v>0</v>
      </c>
      <c r="N46" s="19" t="s">
        <v>225</v>
      </c>
      <c r="O46" s="18">
        <f>VLOOKUP(N46,ESPNScores!$A$2:$B$206,2,FALSE)</f>
        <v>0</v>
      </c>
      <c r="Q46" s="18"/>
      <c r="R46" s="76"/>
      <c r="S46" s="18"/>
    </row>
    <row r="47" spans="2:23" ht="15" x14ac:dyDescent="0.25">
      <c r="E47" s="13">
        <v>9</v>
      </c>
      <c r="F47" s="19" t="s">
        <v>162</v>
      </c>
      <c r="G47" s="18">
        <f>VLOOKUP(F47,ESPNScores!$A$2:$B$206,2,FALSE)</f>
        <v>-2</v>
      </c>
      <c r="H47" s="19" t="s">
        <v>338</v>
      </c>
      <c r="I47" s="18">
        <f>VLOOKUP(H47,ESPNScores!$A$2:$B$206,2,FALSE)</f>
        <v>-1</v>
      </c>
      <c r="J47" s="19" t="s">
        <v>285</v>
      </c>
      <c r="K47" s="18">
        <f>VLOOKUP(J47,ESPNScores!$A$2:$B$206,2,FALSE)</f>
        <v>-5</v>
      </c>
      <c r="L47" s="19" t="s">
        <v>285</v>
      </c>
      <c r="M47" s="18">
        <f>VLOOKUP(L47,ESPNScores!$A$2:$B$206,2,FALSE)</f>
        <v>-5</v>
      </c>
      <c r="N47" s="19" t="s">
        <v>162</v>
      </c>
      <c r="O47" s="18">
        <f>VLOOKUP(N47,ESPNScores!$A$2:$B$206,2,FALSE)</f>
        <v>-2</v>
      </c>
      <c r="P47" s="76"/>
      <c r="Q47" s="18"/>
      <c r="R47" s="31"/>
      <c r="S47" s="18"/>
      <c r="V47" s="9"/>
    </row>
    <row r="48" spans="2:23" ht="15" x14ac:dyDescent="0.25">
      <c r="E48" s="13">
        <v>10</v>
      </c>
      <c r="F48" s="19" t="s">
        <v>58</v>
      </c>
      <c r="G48" s="18">
        <f>VLOOKUP(F48,ESPNScores!$A$2:$B$206,2,FALSE)</f>
        <v>0</v>
      </c>
      <c r="H48" s="19" t="s">
        <v>282</v>
      </c>
      <c r="I48" s="18">
        <f>VLOOKUP(H48,ESPNScores!$A$2:$B$206,2,FALSE)</f>
        <v>50</v>
      </c>
      <c r="J48" s="19" t="s">
        <v>58</v>
      </c>
      <c r="K48" s="18">
        <f>VLOOKUP(J48,ESPNScores!$A$2:$B$206,2,FALSE)</f>
        <v>0</v>
      </c>
      <c r="L48" s="19" t="s">
        <v>58</v>
      </c>
      <c r="M48" s="18">
        <f>VLOOKUP(L48,ESPNScores!$A$2:$B$206,2,FALSE)</f>
        <v>0</v>
      </c>
      <c r="N48" s="19" t="s">
        <v>58</v>
      </c>
      <c r="O48" s="18">
        <f>VLOOKUP(N48,ESPNScores!$A$2:$B$206,2,FALSE)</f>
        <v>0</v>
      </c>
      <c r="P48" s="76"/>
      <c r="Q48" s="18"/>
      <c r="R48" s="76"/>
      <c r="S48" s="18"/>
      <c r="V48" s="9"/>
    </row>
    <row r="49" spans="5:34" x14ac:dyDescent="0.2">
      <c r="E49" s="19"/>
      <c r="G49" s="18"/>
      <c r="I49" s="18"/>
      <c r="K49" s="18"/>
      <c r="M49" s="18"/>
      <c r="O49" s="18"/>
      <c r="Q49" s="18"/>
      <c r="S49" s="18"/>
    </row>
    <row r="50" spans="5:34" x14ac:dyDescent="0.2">
      <c r="E50" s="19"/>
      <c r="F50" s="19" t="str">
        <f>F2</f>
        <v>Webster</v>
      </c>
      <c r="G50" s="19" t="str">
        <f>H2</f>
        <v>Mattson</v>
      </c>
      <c r="H50" s="19" t="str">
        <f>J2</f>
        <v>Holiday</v>
      </c>
      <c r="I50" s="19" t="str">
        <f>L2</f>
        <v>Donasky</v>
      </c>
      <c r="J50" s="19" t="str">
        <f>N2</f>
        <v>Allen</v>
      </c>
      <c r="K50" s="19" t="str">
        <f>P2</f>
        <v>L Hill</v>
      </c>
      <c r="L50" s="19" t="str">
        <f>R2</f>
        <v>Armstrong</v>
      </c>
      <c r="M50" s="19" t="str">
        <f>T2</f>
        <v>Horvath</v>
      </c>
      <c r="N50" s="19" t="str">
        <f>F14</f>
        <v>Chernick</v>
      </c>
      <c r="O50" s="19" t="str">
        <f>H14</f>
        <v>Rush</v>
      </c>
      <c r="P50" s="19" t="str">
        <f>J14</f>
        <v>Tsutsumi</v>
      </c>
      <c r="Q50" s="19" t="str">
        <f>L14</f>
        <v>Bernau</v>
      </c>
      <c r="R50" s="19" t="str">
        <f>N14</f>
        <v>Dillabaugh</v>
      </c>
      <c r="S50" s="19" t="str">
        <f>P14</f>
        <v>B Hill</v>
      </c>
      <c r="T50" s="19" t="str">
        <f>R14</f>
        <v>Fish</v>
      </c>
      <c r="U50" s="19" t="str">
        <f>T14</f>
        <v>Richard</v>
      </c>
      <c r="V50" t="str">
        <f>F26</f>
        <v>Rakusin</v>
      </c>
      <c r="W50" s="3" t="str">
        <f>H26</f>
        <v>Howell</v>
      </c>
      <c r="X50" t="str">
        <f>J26</f>
        <v>Eliason</v>
      </c>
      <c r="Y50" t="str">
        <f>L26</f>
        <v>Balme</v>
      </c>
      <c r="Z50" t="str">
        <f>N26</f>
        <v>McElroy</v>
      </c>
      <c r="AA50" t="str">
        <f>P26</f>
        <v>Hitchman</v>
      </c>
      <c r="AB50" t="str">
        <f>R26</f>
        <v>Hempel</v>
      </c>
      <c r="AC50" t="str">
        <f>T26</f>
        <v>Langer</v>
      </c>
      <c r="AD50" t="str">
        <f>F38</f>
        <v>Weiss</v>
      </c>
      <c r="AE50" s="19" t="str">
        <f>H38</f>
        <v>Steigmeyer</v>
      </c>
      <c r="AF50" t="str">
        <f>J38</f>
        <v>Stabile</v>
      </c>
      <c r="AG50" t="str">
        <f>L38</f>
        <v>Cruickshank</v>
      </c>
      <c r="AH50" t="str">
        <f>N38</f>
        <v>Isaacson</v>
      </c>
    </row>
    <row r="51" spans="5:34" x14ac:dyDescent="0.2">
      <c r="E51" s="19" t="s">
        <v>79</v>
      </c>
      <c r="F51" s="18">
        <f>G2</f>
        <v>-18</v>
      </c>
      <c r="G51" s="18">
        <f>I2</f>
        <v>-21</v>
      </c>
      <c r="H51" s="18">
        <f>K2</f>
        <v>-26</v>
      </c>
      <c r="I51" s="18">
        <f>M2</f>
        <v>-14</v>
      </c>
      <c r="J51" s="18">
        <f>O2</f>
        <v>-14</v>
      </c>
      <c r="K51" s="18">
        <f>Q2</f>
        <v>-36</v>
      </c>
      <c r="L51" s="18">
        <f>S2</f>
        <v>2</v>
      </c>
      <c r="M51" s="18">
        <f>U2</f>
        <v>-23</v>
      </c>
      <c r="N51" s="18">
        <f>G14</f>
        <v>-45</v>
      </c>
      <c r="O51" s="18">
        <f>I14</f>
        <v>6</v>
      </c>
      <c r="P51" s="18">
        <f>K14</f>
        <v>-25</v>
      </c>
      <c r="Q51" s="18">
        <f>M14</f>
        <v>-17</v>
      </c>
      <c r="R51" s="18">
        <f>O14</f>
        <v>-27</v>
      </c>
      <c r="S51" s="18">
        <f>Q14</f>
        <v>-12</v>
      </c>
      <c r="T51" s="18">
        <f>S14</f>
        <v>-3</v>
      </c>
      <c r="U51" s="18">
        <f>U14</f>
        <v>-38</v>
      </c>
      <c r="V51" s="3">
        <f>G26</f>
        <v>-16</v>
      </c>
      <c r="W51" s="3">
        <f>I26</f>
        <v>-25</v>
      </c>
      <c r="X51" s="3">
        <f>K26</f>
        <v>-22</v>
      </c>
      <c r="Y51" s="3">
        <f>M26</f>
        <v>-14</v>
      </c>
      <c r="Z51" s="3">
        <f>O26</f>
        <v>-22</v>
      </c>
      <c r="AA51" s="3">
        <f>Q26</f>
        <v>-17</v>
      </c>
      <c r="AB51">
        <f>S26</f>
        <v>-31</v>
      </c>
      <c r="AC51">
        <f>U26</f>
        <v>-22</v>
      </c>
      <c r="AD51">
        <f>G38</f>
        <v>-25</v>
      </c>
      <c r="AE51">
        <f>I38</f>
        <v>-6</v>
      </c>
      <c r="AF51">
        <f>K38</f>
        <v>-7</v>
      </c>
      <c r="AG51">
        <f>M38</f>
        <v>-14</v>
      </c>
      <c r="AH51">
        <f>O38</f>
        <v>-22</v>
      </c>
    </row>
    <row r="52" spans="5:34" x14ac:dyDescent="0.2">
      <c r="E52" s="19" t="s">
        <v>376</v>
      </c>
      <c r="F52" s="84">
        <v>-20</v>
      </c>
      <c r="G52" s="84">
        <v>-27</v>
      </c>
      <c r="H52" s="84">
        <v>-23</v>
      </c>
      <c r="I52" s="84">
        <v>-24</v>
      </c>
      <c r="J52" s="84">
        <v>-20</v>
      </c>
      <c r="K52" s="84">
        <v>-17</v>
      </c>
      <c r="L52" s="84">
        <v>-21</v>
      </c>
      <c r="M52" s="84">
        <v>-25</v>
      </c>
      <c r="N52" s="84">
        <v>-25</v>
      </c>
      <c r="O52" s="84">
        <v>-24</v>
      </c>
      <c r="P52" s="84">
        <v>-20</v>
      </c>
      <c r="Q52" s="84">
        <v>-18</v>
      </c>
      <c r="R52" s="84">
        <v>-19</v>
      </c>
      <c r="S52" s="84">
        <v>-26</v>
      </c>
      <c r="T52" s="84">
        <v>-24</v>
      </c>
      <c r="U52" s="84">
        <v>-23</v>
      </c>
      <c r="V52" s="48">
        <v>-22</v>
      </c>
      <c r="W52" s="48">
        <v>-22</v>
      </c>
      <c r="X52" s="48">
        <v>-23</v>
      </c>
      <c r="Y52" s="48">
        <v>-20</v>
      </c>
      <c r="Z52" s="48">
        <v>-18</v>
      </c>
      <c r="AA52" s="48">
        <v>-23</v>
      </c>
      <c r="AB52" s="47">
        <v>-20</v>
      </c>
      <c r="AC52" s="47">
        <v>-24</v>
      </c>
      <c r="AD52">
        <v>-25</v>
      </c>
      <c r="AE52">
        <v>-18</v>
      </c>
      <c r="AF52">
        <v>-21</v>
      </c>
      <c r="AG52">
        <v>-23</v>
      </c>
      <c r="AH52">
        <v>-23</v>
      </c>
    </row>
    <row r="53" spans="5:34" x14ac:dyDescent="0.2">
      <c r="E53" s="19"/>
      <c r="F53" s="84"/>
      <c r="G53" s="84"/>
      <c r="H53" s="84"/>
      <c r="I53" s="84"/>
      <c r="J53" s="84"/>
      <c r="K53" s="84"/>
      <c r="L53" s="84"/>
      <c r="M53" s="84"/>
      <c r="N53" s="84"/>
      <c r="O53" s="84"/>
      <c r="P53" s="84"/>
      <c r="Q53" s="84"/>
      <c r="R53" s="84"/>
      <c r="S53" s="84"/>
      <c r="T53" s="84"/>
      <c r="U53" s="84"/>
      <c r="V53" s="48"/>
      <c r="W53" s="48"/>
      <c r="X53" s="48"/>
      <c r="Y53" s="48"/>
      <c r="Z53" s="48"/>
      <c r="AA53" s="48"/>
      <c r="AB53" s="47"/>
      <c r="AC53" s="47"/>
      <c r="AD53" s="47"/>
      <c r="AE53" s="47"/>
      <c r="AF53" s="47"/>
      <c r="AG53" s="47"/>
      <c r="AH53" s="47"/>
    </row>
    <row r="54" spans="5:34" x14ac:dyDescent="0.2">
      <c r="E54" s="19"/>
      <c r="F54" s="7" t="s">
        <v>25</v>
      </c>
      <c r="G54" s="20">
        <f>SMALL(G55:G62,1)+SMALL(G55:G62,2)+SMALL(G55:G62,3)+SMALL(G55:G62,4)+SMALL(G55:G62,5)</f>
        <v>-41</v>
      </c>
      <c r="I54" s="18"/>
      <c r="K54" s="18"/>
      <c r="M54" s="18"/>
      <c r="O54" s="18"/>
      <c r="Q54" s="18"/>
      <c r="S54" s="18"/>
    </row>
    <row r="55" spans="5:34" x14ac:dyDescent="0.2">
      <c r="E55" s="19"/>
      <c r="G55" s="19">
        <f>'Top 40'!B36</f>
        <v>-12</v>
      </c>
      <c r="I55" s="19"/>
      <c r="M55" s="18"/>
      <c r="O55" s="18"/>
      <c r="Q55" s="18"/>
      <c r="S55" s="18"/>
    </row>
    <row r="56" spans="5:34" x14ac:dyDescent="0.2">
      <c r="E56" s="19"/>
      <c r="G56" s="19">
        <f>'Top 40'!B37</f>
        <v>-5</v>
      </c>
      <c r="I56" s="19"/>
      <c r="M56" s="18"/>
      <c r="O56" s="18"/>
      <c r="Q56" s="18"/>
      <c r="S56" s="18"/>
    </row>
    <row r="57" spans="5:34" x14ac:dyDescent="0.2">
      <c r="G57" s="19">
        <f>'Top 40'!B38</f>
        <v>-6</v>
      </c>
      <c r="I57" s="19"/>
    </row>
    <row r="58" spans="5:34" x14ac:dyDescent="0.2">
      <c r="G58" s="19">
        <f>'Top 40'!B39</f>
        <v>-8</v>
      </c>
      <c r="I58" s="19"/>
    </row>
    <row r="59" spans="5:34" x14ac:dyDescent="0.2">
      <c r="G59" s="19">
        <f>'Top 40'!B40</f>
        <v>-5</v>
      </c>
      <c r="I59" s="19"/>
    </row>
    <row r="60" spans="5:34" x14ac:dyDescent="0.2">
      <c r="G60" s="19">
        <f>'Top 40'!B41</f>
        <v>-10</v>
      </c>
      <c r="I60" s="19"/>
    </row>
    <row r="61" spans="5:34" x14ac:dyDescent="0.2">
      <c r="G61" s="19">
        <f>'Top 40'!B42</f>
        <v>-3</v>
      </c>
      <c r="I61" s="19"/>
    </row>
    <row r="62" spans="5:34" x14ac:dyDescent="0.2">
      <c r="G62" s="85">
        <f>'Top 40'!B43</f>
        <v>-5</v>
      </c>
      <c r="I62" s="19"/>
    </row>
    <row r="63" spans="5:34" x14ac:dyDescent="0.2">
      <c r="F63" s="21"/>
      <c r="G63" s="19"/>
      <c r="I63" s="19"/>
    </row>
    <row r="64" spans="5:34" x14ac:dyDescent="0.2">
      <c r="F64" s="21"/>
      <c r="G64" s="19"/>
      <c r="I64" s="19"/>
    </row>
    <row r="65" spans="7:9" x14ac:dyDescent="0.2">
      <c r="G65" s="19"/>
      <c r="I65" s="19"/>
    </row>
    <row r="66" spans="7:9" x14ac:dyDescent="0.2">
      <c r="G66" s="19"/>
      <c r="I66" s="19"/>
    </row>
    <row r="67" spans="7:9" x14ac:dyDescent="0.2">
      <c r="G67" s="19"/>
      <c r="I67" s="19"/>
    </row>
    <row r="68" spans="7:9" x14ac:dyDescent="0.2">
      <c r="G68" s="19"/>
      <c r="I68" s="19"/>
    </row>
    <row r="69" spans="7:9" x14ac:dyDescent="0.2">
      <c r="G69" s="19"/>
      <c r="I69" s="19"/>
    </row>
    <row r="70" spans="7:9" x14ac:dyDescent="0.2">
      <c r="G70" s="19"/>
      <c r="I70" s="19"/>
    </row>
    <row r="71" spans="7:9" x14ac:dyDescent="0.2">
      <c r="G71" s="19"/>
      <c r="I71" s="19"/>
    </row>
    <row r="72" spans="7:9" x14ac:dyDescent="0.2">
      <c r="G72" s="19"/>
      <c r="I72" s="19"/>
    </row>
    <row r="73" spans="7:9" x14ac:dyDescent="0.2">
      <c r="G73" s="19"/>
      <c r="I73" s="19"/>
    </row>
    <row r="74" spans="7:9" x14ac:dyDescent="0.2">
      <c r="G74" s="19"/>
      <c r="I74" s="19"/>
    </row>
    <row r="75" spans="7:9" x14ac:dyDescent="0.2">
      <c r="G75" s="19"/>
      <c r="I75" s="19"/>
    </row>
    <row r="76" spans="7:9" x14ac:dyDescent="0.2">
      <c r="G76" s="19"/>
      <c r="I76" s="19"/>
    </row>
    <row r="77" spans="7:9" x14ac:dyDescent="0.2">
      <c r="G77" s="19"/>
      <c r="I77" s="19"/>
    </row>
    <row r="78" spans="7:9" x14ac:dyDescent="0.2">
      <c r="G78" s="19"/>
      <c r="I78" s="19"/>
    </row>
    <row r="79" spans="7:9" x14ac:dyDescent="0.2">
      <c r="G79" s="19"/>
      <c r="I79" s="19"/>
    </row>
    <row r="80" spans="7:9" x14ac:dyDescent="0.2">
      <c r="G80" s="19"/>
      <c r="I80" s="19"/>
    </row>
    <row r="81" spans="7:9" x14ac:dyDescent="0.2">
      <c r="G81" s="19"/>
      <c r="I81" s="19"/>
    </row>
    <row r="82" spans="7:9" x14ac:dyDescent="0.2">
      <c r="G82" s="19"/>
      <c r="I82" s="19"/>
    </row>
    <row r="83" spans="7:9" x14ac:dyDescent="0.2">
      <c r="G83" s="19"/>
      <c r="I83" s="19"/>
    </row>
  </sheetData>
  <conditionalFormatting sqref="F2:U2 F13:U14 F25:U26">
    <cfRule type="cellIs" dxfId="45" priority="34" operator="equal">
      <formula>50</formula>
    </cfRule>
  </conditionalFormatting>
  <conditionalFormatting sqref="F38:K38">
    <cfRule type="cellIs" dxfId="44" priority="33" operator="equal">
      <formula>50</formula>
    </cfRule>
  </conditionalFormatting>
  <conditionalFormatting sqref="F1:U2 F13:U14 F25:U26 F37:U38 P39:U48">
    <cfRule type="expression" dxfId="43" priority="32">
      <formula>G1=50</formula>
    </cfRule>
  </conditionalFormatting>
  <conditionalFormatting sqref="L38:M38">
    <cfRule type="cellIs" dxfId="42" priority="31" operator="equal">
      <formula>50</formula>
    </cfRule>
  </conditionalFormatting>
  <conditionalFormatting sqref="N38:O38">
    <cfRule type="cellIs" dxfId="41" priority="30" operator="equal">
      <formula>50</formula>
    </cfRule>
  </conditionalFormatting>
  <conditionalFormatting sqref="G3:G12">
    <cfRule type="cellIs" dxfId="40" priority="29" operator="equal">
      <formula>50</formula>
    </cfRule>
  </conditionalFormatting>
  <conditionalFormatting sqref="I3:I12">
    <cfRule type="cellIs" dxfId="39" priority="28" operator="equal">
      <formula>50</formula>
    </cfRule>
  </conditionalFormatting>
  <conditionalFormatting sqref="K3:K12">
    <cfRule type="cellIs" dxfId="38" priority="27" operator="equal">
      <formula>50</formula>
    </cfRule>
  </conditionalFormatting>
  <conditionalFormatting sqref="M3:M12">
    <cfRule type="cellIs" dxfId="37" priority="26" operator="equal">
      <formula>50</formula>
    </cfRule>
  </conditionalFormatting>
  <conditionalFormatting sqref="O3:O12">
    <cfRule type="cellIs" dxfId="36" priority="25" operator="equal">
      <formula>50</formula>
    </cfRule>
  </conditionalFormatting>
  <conditionalFormatting sqref="Q3:Q12">
    <cfRule type="cellIs" dxfId="35" priority="24" operator="equal">
      <formula>50</formula>
    </cfRule>
  </conditionalFormatting>
  <conditionalFormatting sqref="S3:S12">
    <cfRule type="cellIs" dxfId="34" priority="23" operator="equal">
      <formula>50</formula>
    </cfRule>
  </conditionalFormatting>
  <conditionalFormatting sqref="U3:U12">
    <cfRule type="cellIs" dxfId="33" priority="22" operator="equal">
      <formula>50</formula>
    </cfRule>
  </conditionalFormatting>
  <conditionalFormatting sqref="U15:U24">
    <cfRule type="cellIs" dxfId="32" priority="21" operator="equal">
      <formula>50</formula>
    </cfRule>
  </conditionalFormatting>
  <conditionalFormatting sqref="S15:S24">
    <cfRule type="cellIs" dxfId="31" priority="20" operator="equal">
      <formula>50</formula>
    </cfRule>
  </conditionalFormatting>
  <conditionalFormatting sqref="Q15:Q24">
    <cfRule type="cellIs" dxfId="30" priority="19" operator="equal">
      <formula>50</formula>
    </cfRule>
  </conditionalFormatting>
  <conditionalFormatting sqref="O15:O24">
    <cfRule type="cellIs" dxfId="29" priority="18" operator="equal">
      <formula>50</formula>
    </cfRule>
  </conditionalFormatting>
  <conditionalFormatting sqref="M15:M24">
    <cfRule type="cellIs" dxfId="28" priority="17" operator="equal">
      <formula>50</formula>
    </cfRule>
  </conditionalFormatting>
  <conditionalFormatting sqref="K15:K24">
    <cfRule type="cellIs" dxfId="27" priority="16" operator="equal">
      <formula>50</formula>
    </cfRule>
  </conditionalFormatting>
  <conditionalFormatting sqref="I15:I24">
    <cfRule type="cellIs" dxfId="26" priority="15" operator="equal">
      <formula>50</formula>
    </cfRule>
  </conditionalFormatting>
  <conditionalFormatting sqref="G15:G24">
    <cfRule type="cellIs" dxfId="25" priority="14" operator="equal">
      <formula>50</formula>
    </cfRule>
  </conditionalFormatting>
  <conditionalFormatting sqref="G27:G36">
    <cfRule type="cellIs" dxfId="24" priority="13" operator="equal">
      <formula>50</formula>
    </cfRule>
  </conditionalFormatting>
  <conditionalFormatting sqref="I27:I36">
    <cfRule type="cellIs" dxfId="23" priority="12" operator="equal">
      <formula>50</formula>
    </cfRule>
  </conditionalFormatting>
  <conditionalFormatting sqref="K27:K36">
    <cfRule type="cellIs" dxfId="22" priority="11" operator="equal">
      <formula>50</formula>
    </cfRule>
  </conditionalFormatting>
  <conditionalFormatting sqref="M27:M36">
    <cfRule type="cellIs" dxfId="21" priority="10" operator="equal">
      <formula>50</formula>
    </cfRule>
  </conditionalFormatting>
  <conditionalFormatting sqref="O27:O36">
    <cfRule type="cellIs" dxfId="20" priority="9" operator="equal">
      <formula>50</formula>
    </cfRule>
  </conditionalFormatting>
  <conditionalFormatting sqref="Q27:Q36">
    <cfRule type="cellIs" dxfId="19" priority="8" operator="equal">
      <formula>50</formula>
    </cfRule>
  </conditionalFormatting>
  <conditionalFormatting sqref="S27:S36">
    <cfRule type="cellIs" dxfId="18" priority="7" operator="equal">
      <formula>50</formula>
    </cfRule>
  </conditionalFormatting>
  <conditionalFormatting sqref="U27:U36">
    <cfRule type="cellIs" dxfId="17" priority="6" operator="equal">
      <formula>50</formula>
    </cfRule>
  </conditionalFormatting>
  <conditionalFormatting sqref="G39:G48">
    <cfRule type="cellIs" dxfId="16" priority="5" operator="equal">
      <formula>50</formula>
    </cfRule>
  </conditionalFormatting>
  <conditionalFormatting sqref="I39:I48">
    <cfRule type="cellIs" dxfId="15" priority="4" operator="equal">
      <formula>50</formula>
    </cfRule>
  </conditionalFormatting>
  <conditionalFormatting sqref="K39:K48">
    <cfRule type="cellIs" dxfId="14" priority="3" operator="equal">
      <formula>50</formula>
    </cfRule>
  </conditionalFormatting>
  <conditionalFormatting sqref="M39:M48">
    <cfRule type="cellIs" dxfId="13" priority="2" operator="equal">
      <formula>50</formula>
    </cfRule>
  </conditionalFormatting>
  <conditionalFormatting sqref="O39:O48">
    <cfRule type="cellIs" dxfId="12" priority="1" operator="equal">
      <formula>50</formula>
    </cfRule>
  </conditionalFormatting>
  <hyperlinks>
    <hyperlink ref="B34" r:id="rId1" xr:uid="{6F72E693-F3FB-45F7-B2A9-4A94B4303148}"/>
    <hyperlink ref="B42" r:id="rId2" xr:uid="{071CF89E-799C-4BD8-ADFF-D7C745B92D29}"/>
  </hyperlinks>
  <pageMargins left="0.7" right="0.7" top="0.75" bottom="0.75" header="0.3" footer="0.3"/>
  <pageSetup orientation="portrait" r:id="rId3"/>
  <webPublishItems count="1">
    <webPublishItem id="2518" divId="JoeMagneticoMicro_2518" sourceType="range" sourceRef="A1:U48" destinationFile="C:\pga\html\micro.htm"/>
  </webPublishItems>
  <extLst>
    <ext xmlns:x14="http://schemas.microsoft.com/office/spreadsheetml/2009/9/main" uri="{CCE6A557-97BC-4b89-ADB6-D9C93CAAB3DF}">
      <x14:dataValidations xmlns:xm="http://schemas.microsoft.com/office/excel/2006/main" count="19">
        <x14:dataValidation type="list" allowBlank="1" showInputMessage="1" showErrorMessage="1" xr:uid="{527612D5-6681-4A1F-9D58-8CDC3AC3AC19}">
          <x14:formula1>
            <xm:f>'Top 40'!$C$4:$G$4</xm:f>
          </x14:formula1>
          <xm:sqref>T40 V40 V28 P40 R40</xm:sqref>
        </x14:dataValidation>
        <x14:dataValidation type="list" allowBlank="1" showInputMessage="1" showErrorMessage="1" xr:uid="{5C7C6DB5-FC95-4E39-A571-EAF57D254973}">
          <x14:formula1>
            <xm:f>'Top 40'!$C$10:$G$10</xm:f>
          </x14:formula1>
          <xm:sqref>R46 T46 V46 P46 V34</xm:sqref>
        </x14:dataValidation>
        <x14:dataValidation type="list" allowBlank="1" showInputMessage="1" showErrorMessage="1" xr:uid="{267EC12C-F849-4E4C-99EF-9EDCD5953842}">
          <x14:formula1>
            <xm:f>'Top 40'!$C$9:$G$9</xm:f>
          </x14:formula1>
          <xm:sqref>P45 R45 V33 T45 V45</xm:sqref>
        </x14:dataValidation>
        <x14:dataValidation type="list" allowBlank="1" showInputMessage="1" showErrorMessage="1" xr:uid="{9B718A10-F97B-433E-A0AF-ABB6103DC051}">
          <x14:formula1>
            <xm:f>'Top 40'!$C$8:$G$8</xm:f>
          </x14:formula1>
          <xm:sqref>T44 R44 P44 V32 V44</xm:sqref>
        </x14:dataValidation>
        <x14:dataValidation type="list" allowBlank="1" showInputMessage="1" showErrorMessage="1" xr:uid="{C312783B-3853-40BC-B302-B194BC1A056A}">
          <x14:formula1>
            <xm:f>'Top 40'!$C$7:$G$7</xm:f>
          </x14:formula1>
          <xm:sqref>T43 V31 P43 R43 V43</xm:sqref>
        </x14:dataValidation>
        <x14:dataValidation type="list" allowBlank="1" showInputMessage="1" showErrorMessage="1" xr:uid="{4EAFBAF8-3295-47C4-9E00-7EFB1A25106E}">
          <x14:formula1>
            <xm:f>'Top 40'!$C$6:$G$6</xm:f>
          </x14:formula1>
          <xm:sqref>T42 V30 P42 V42 R42</xm:sqref>
        </x14:dataValidation>
        <x14:dataValidation type="list" allowBlank="1" showInputMessage="1" showErrorMessage="1" xr:uid="{8DBB8772-C2A5-4D17-8064-A7476423B8E7}">
          <x14:formula1>
            <xm:f>'Top 40'!$C$5:$G$5</xm:f>
          </x14:formula1>
          <xm:sqref>T41 R41 P41 V29 V41</xm:sqref>
        </x14:dataValidation>
        <x14:dataValidation type="list" allowBlank="1" showInputMessage="1" showErrorMessage="1" xr:uid="{DBCA296B-5706-41F3-85EE-06DA5F4C9583}">
          <x14:formula1>
            <xm:f>'Top 40'!$C$3:$G$3</xm:f>
          </x14:formula1>
          <xm:sqref>V39 T39 P39 R39</xm:sqref>
        </x14:dataValidation>
        <x14:dataValidation type="list" allowBlank="1" showInputMessage="1" showErrorMessage="1" xr:uid="{3FFB5D26-E7EA-4A8C-9A9C-5449A77E84CA}">
          <x14:formula1>
            <xm:f>'Final 30'!$C$6:$E$6</xm:f>
          </x14:formula1>
          <xm:sqref>F6 H6 J6 L6 N6 P6 R6 T6 T18 R18 P18 N18 L18 J18 H18 F18 F30 H30 J30 L30 N30 P30 R30 T30 F42 H42 J42 L42 N42</xm:sqref>
        </x14:dataValidation>
        <x14:dataValidation type="list" allowBlank="1" showInputMessage="1" showErrorMessage="1" xr:uid="{90BB265A-7065-4A5B-B910-762EC6FF902C}">
          <x14:formula1>
            <xm:f>'Final 30'!$C$5:$E$5</xm:f>
          </x14:formula1>
          <xm:sqref>F5 H5 J5 L5 N5 P5 R5 T5 T17 R17 P17 N17 L17 J17 H17 F17 F29 H29 J29 L29 N29 P29 R29 T29 F41 H41 J41 L41 N41</xm:sqref>
        </x14:dataValidation>
        <x14:dataValidation type="list" allowBlank="1" showInputMessage="1" showErrorMessage="1" xr:uid="{2DFE1716-F9C4-45B1-990D-E28A5A9F7254}">
          <x14:formula1>
            <xm:f>'Final 30'!$C$9:$E$9</xm:f>
          </x14:formula1>
          <xm:sqref>F9 H9 J9 L9 N9 P9 R9 T9 T21 R21 P21 N21 L21 J21 H21 F21 F33 H33 J33 L33 N33 P33 R33 T33 F45 H45 J45 L45 N45</xm:sqref>
        </x14:dataValidation>
        <x14:dataValidation type="list" allowBlank="1" showInputMessage="1" showErrorMessage="1" xr:uid="{DAC49FC7-D59E-4C84-9988-27978C2260C0}">
          <x14:formula1>
            <xm:f>'Final 30'!$C$8:$E$8</xm:f>
          </x14:formula1>
          <xm:sqref>F8 H8 J8 L8 N8 P8 R8 T8 T20 R20 P20 N20 L20 J20 H20 F20 F32 H32 J32 L32 N32 P32 R32 T32 F44 H44 J44 L44 N44</xm:sqref>
        </x14:dataValidation>
        <x14:dataValidation type="list" allowBlank="1" showInputMessage="1" showErrorMessage="1" xr:uid="{7DD9DED6-6134-4833-9D92-28C6BCD853C0}">
          <x14:formula1>
            <xm:f>'Final 30'!$C$7:$E$7</xm:f>
          </x14:formula1>
          <xm:sqref>F7 H7 J7 L7 N7 P7 R7 T7 T19 R19 P19 N19 L19 J19 H19 F19 F31 H31 J31 L31 N31 P31 R31 T31 F43 H43 J43 L43 N43</xm:sqref>
        </x14:dataValidation>
        <x14:dataValidation type="list" allowBlank="1" showInputMessage="1" showErrorMessage="1" xr:uid="{3C224F84-9C70-4D03-AF80-4D6657019D00}">
          <x14:formula1>
            <xm:f>'Final 30'!$C$11:$E$11</xm:f>
          </x14:formula1>
          <xm:sqref>F11 H11 J11 L11 N11 P11 R11 T11 T23 R23 P23 N23 L23 J23 H23 F23 F35 H35 J35 L35 N35 P35 R35 T35 F47 H47 J47 L47 N47</xm:sqref>
        </x14:dataValidation>
        <x14:dataValidation type="list" allowBlank="1" showInputMessage="1" showErrorMessage="1" xr:uid="{C10703C4-79E2-471B-9C71-2B710D207820}">
          <x14:formula1>
            <xm:f>'Final 30'!$C$10:$E$10</xm:f>
          </x14:formula1>
          <xm:sqref>F10 H10 J10 L10 N10 P10 R10 T10 T22 R22 P22 N22 L22 J22 H22 F22 F34 H34 J34 L34 N34 P34 R34 T34 F46 H46 J46 L46 N46</xm:sqref>
        </x14:dataValidation>
        <x14:dataValidation type="list" allowBlank="1" showInputMessage="1" showErrorMessage="1" xr:uid="{889551C4-A93B-4C20-9815-E121A422D57A}">
          <x14:formula1>
            <xm:f>'Final 30'!$C$4:$E$4</xm:f>
          </x14:formula1>
          <xm:sqref>F4 H4 J4 L4 N4 P4 R4 T4 T16 R16 P16 N16 L16 J16 H16 F16 F28 H28 J28 L28 N28 P28 R28 T28 F40 H40 J40 L40 N40</xm:sqref>
        </x14:dataValidation>
        <x14:dataValidation type="list" allowBlank="1" showInputMessage="1" showErrorMessage="1" xr:uid="{A1D20137-4BCC-4510-9C86-35E76D85B3FF}">
          <x14:formula1>
            <xm:f>'Final 30'!$C$3:$E$3</xm:f>
          </x14:formula1>
          <xm:sqref>F3 H3 J3 L3 N3 P3 R3 T3 T15 R15 P15 N15 L15 J15 H15 F15 F27 H27 J27 L27 N27 P27 R27 T27 F39 H39 J39 L39 N39</xm:sqref>
        </x14:dataValidation>
        <x14:dataValidation type="list" allowBlank="1" showInputMessage="1" showErrorMessage="1" xr:uid="{5971CF21-33C2-4E71-9F3A-8D40A61A65FF}">
          <x14:formula1>
            <xm:f>'Final 30'!$C$12:$E$12</xm:f>
          </x14:formula1>
          <xm:sqref>F12 H12 J12 L12 N12 P12 R12 T12 T24 R24 P24 N24 L24 J24 H24 F24 F36 H36 J36 L36 N36 P36 R36 T36 F48 H48 J48 L48 N48</xm:sqref>
        </x14:dataValidation>
        <x14:dataValidation type="list" allowBlank="1" showInputMessage="1" showErrorMessage="1" xr:uid="{7F5270E5-E5A1-463C-AA49-8C3E4194CD6A}">
          <x14:formula1>
            <xm:f>ESPNField!$A$2:$A$190</xm:f>
          </x14:formula1>
          <xm:sqref>T47:T48 R47:R48 V35:V36 V47:V48 P47:P48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FABC-1C85-4D1A-8A88-6A7E36ADDD20}">
  <sheetPr codeName="Sheet7"/>
  <dimension ref="A1:J128"/>
  <sheetViews>
    <sheetView workbookViewId="0">
      <selection activeCell="D4" sqref="D4"/>
    </sheetView>
  </sheetViews>
  <sheetFormatPr defaultRowHeight="12.75" x14ac:dyDescent="0.2"/>
  <cols>
    <col min="1" max="1" width="7" customWidth="1"/>
    <col min="2" max="2" width="9.140625" style="1"/>
    <col min="3" max="3" width="19" style="4" customWidth="1"/>
    <col min="4" max="4" width="20.140625" style="4" customWidth="1"/>
    <col min="5" max="5" width="18.140625" style="4" customWidth="1"/>
    <col min="6" max="6" width="19.42578125" style="4" customWidth="1"/>
    <col min="7" max="7" width="21.85546875" style="4" customWidth="1"/>
    <col min="8" max="8" width="14.140625" customWidth="1"/>
    <col min="9" max="9" width="16.140625" customWidth="1"/>
  </cols>
  <sheetData>
    <row r="1" spans="2:7" x14ac:dyDescent="0.2">
      <c r="E1" s="4" t="s">
        <v>0</v>
      </c>
    </row>
    <row r="2" spans="2:7" x14ac:dyDescent="0.2">
      <c r="B2" s="1" t="s">
        <v>77</v>
      </c>
    </row>
    <row r="3" spans="2:7" x14ac:dyDescent="0.2">
      <c r="B3" s="1">
        <v>1</v>
      </c>
      <c r="C3" s="41" t="s">
        <v>26</v>
      </c>
      <c r="D3" s="41" t="s">
        <v>36</v>
      </c>
      <c r="E3" s="71" t="s">
        <v>73</v>
      </c>
    </row>
    <row r="4" spans="2:7" x14ac:dyDescent="0.2">
      <c r="B4" s="1">
        <v>2</v>
      </c>
      <c r="C4" t="s">
        <v>54</v>
      </c>
      <c r="D4" s="72" t="s">
        <v>392</v>
      </c>
      <c r="E4" t="s">
        <v>27</v>
      </c>
    </row>
    <row r="5" spans="2:7" x14ac:dyDescent="0.2">
      <c r="B5" s="1">
        <v>3</v>
      </c>
      <c r="C5" s="41" t="s">
        <v>55</v>
      </c>
      <c r="D5" t="s">
        <v>44</v>
      </c>
      <c r="E5" t="s">
        <v>31</v>
      </c>
    </row>
    <row r="6" spans="2:7" x14ac:dyDescent="0.2">
      <c r="B6" s="1">
        <v>4</v>
      </c>
      <c r="C6" t="s">
        <v>61</v>
      </c>
      <c r="D6" s="41" t="s">
        <v>48</v>
      </c>
      <c r="E6" t="s">
        <v>40</v>
      </c>
    </row>
    <row r="7" spans="2:7" x14ac:dyDescent="0.2">
      <c r="B7" s="1">
        <v>5</v>
      </c>
      <c r="C7" t="s">
        <v>38</v>
      </c>
      <c r="D7" s="71" t="s">
        <v>215</v>
      </c>
      <c r="E7" s="71" t="s">
        <v>190</v>
      </c>
      <c r="F7"/>
    </row>
    <row r="8" spans="2:7" x14ac:dyDescent="0.2">
      <c r="B8" s="1">
        <v>6</v>
      </c>
      <c r="C8" t="s">
        <v>53</v>
      </c>
      <c r="D8" t="s">
        <v>34</v>
      </c>
      <c r="E8" s="71" t="s">
        <v>298</v>
      </c>
      <c r="F8" s="6"/>
    </row>
    <row r="9" spans="2:7" x14ac:dyDescent="0.2">
      <c r="B9" s="1">
        <v>7</v>
      </c>
      <c r="C9" t="s">
        <v>344</v>
      </c>
      <c r="D9" s="71" t="s">
        <v>63</v>
      </c>
      <c r="E9" s="41" t="s">
        <v>33</v>
      </c>
      <c r="F9" s="6"/>
      <c r="G9" s="6"/>
    </row>
    <row r="10" spans="2:7" x14ac:dyDescent="0.2">
      <c r="B10" s="1">
        <v>8</v>
      </c>
      <c r="C10" s="41" t="s">
        <v>225</v>
      </c>
      <c r="D10" s="41" t="s">
        <v>308</v>
      </c>
      <c r="E10" s="71" t="s">
        <v>51</v>
      </c>
      <c r="F10" s="6"/>
      <c r="G10" s="6"/>
    </row>
    <row r="11" spans="2:7" x14ac:dyDescent="0.2">
      <c r="B11" s="1">
        <v>9</v>
      </c>
      <c r="C11" t="s">
        <v>338</v>
      </c>
      <c r="D11" s="71" t="s">
        <v>285</v>
      </c>
      <c r="E11" s="41" t="s">
        <v>162</v>
      </c>
      <c r="F11" s="6"/>
      <c r="G11" s="6"/>
    </row>
    <row r="12" spans="2:7" x14ac:dyDescent="0.2">
      <c r="B12" s="1">
        <v>10</v>
      </c>
      <c r="C12" t="s">
        <v>58</v>
      </c>
      <c r="D12" s="41" t="s">
        <v>282</v>
      </c>
      <c r="E12" s="41" t="s">
        <v>67</v>
      </c>
      <c r="F12" s="6"/>
      <c r="G12" s="6"/>
    </row>
    <row r="14" spans="2:7" x14ac:dyDescent="0.2">
      <c r="B14" s="1">
        <v>1</v>
      </c>
      <c r="C14" t="str">
        <f t="shared" ref="C14:E23" si="0">UPPER(MID(C3,FIND(" ", C3, 1),30))</f>
        <v xml:space="preserve"> SCHEFFLER</v>
      </c>
      <c r="D14" t="str">
        <f t="shared" si="0"/>
        <v xml:space="preserve"> SCHAUFFELE</v>
      </c>
      <c r="E14" t="str">
        <f t="shared" si="0"/>
        <v xml:space="preserve"> MATSUYAMA</v>
      </c>
      <c r="F14"/>
      <c r="G14"/>
    </row>
    <row r="15" spans="2:7" x14ac:dyDescent="0.2">
      <c r="B15" s="1">
        <v>2</v>
      </c>
      <c r="C15" t="str">
        <f t="shared" si="0"/>
        <v xml:space="preserve"> BRADLEY</v>
      </c>
      <c r="D15" t="str">
        <f t="shared" si="0"/>
        <v xml:space="preserve"> ÅBERG</v>
      </c>
      <c r="E15" t="str">
        <f t="shared" si="0"/>
        <v xml:space="preserve"> MCILROY</v>
      </c>
      <c r="F15"/>
      <c r="G15"/>
    </row>
    <row r="16" spans="2:7" x14ac:dyDescent="0.2">
      <c r="B16" s="1">
        <v>3</v>
      </c>
      <c r="C16" t="str">
        <f t="shared" si="0"/>
        <v xml:space="preserve"> CLARK</v>
      </c>
      <c r="D16" t="str">
        <f t="shared" si="0"/>
        <v xml:space="preserve"> MORIKAWA</v>
      </c>
      <c r="E16" t="str">
        <f t="shared" si="0"/>
        <v xml:space="preserve"> CANTLAY</v>
      </c>
      <c r="F16"/>
      <c r="G16"/>
    </row>
    <row r="17" spans="2:7" x14ac:dyDescent="0.2">
      <c r="B17" s="1">
        <v>4</v>
      </c>
      <c r="C17" t="str">
        <f t="shared" si="0"/>
        <v xml:space="preserve"> THEEGALA</v>
      </c>
      <c r="D17" t="str">
        <f t="shared" si="0"/>
        <v xml:space="preserve"> BURNS</v>
      </c>
      <c r="E17" t="str">
        <f t="shared" si="0"/>
        <v xml:space="preserve"> FINAU</v>
      </c>
      <c r="F17"/>
      <c r="G17"/>
    </row>
    <row r="18" spans="2:7" x14ac:dyDescent="0.2">
      <c r="B18" s="1">
        <v>5</v>
      </c>
      <c r="C18" t="str">
        <f t="shared" si="0"/>
        <v xml:space="preserve"> IM</v>
      </c>
      <c r="D18" t="str">
        <f t="shared" si="0"/>
        <v xml:space="preserve"> SCOTT</v>
      </c>
      <c r="E18" t="str">
        <f t="shared" si="0"/>
        <v xml:space="preserve"> LOWRY</v>
      </c>
      <c r="F18"/>
      <c r="G18"/>
    </row>
    <row r="19" spans="2:7" x14ac:dyDescent="0.2">
      <c r="B19" s="1">
        <v>6</v>
      </c>
      <c r="C19" t="str">
        <f t="shared" si="0"/>
        <v xml:space="preserve"> HOVLAND</v>
      </c>
      <c r="D19" t="str">
        <f t="shared" si="0"/>
        <v xml:space="preserve"> HENLEY</v>
      </c>
      <c r="E19" t="str">
        <f t="shared" si="0"/>
        <v xml:space="preserve"> MACINTYRE</v>
      </c>
      <c r="F19"/>
      <c r="G19"/>
    </row>
    <row r="20" spans="2:7" x14ac:dyDescent="0.2">
      <c r="B20" s="8">
        <v>7</v>
      </c>
      <c r="C20" t="str">
        <f t="shared" si="0"/>
        <v xml:space="preserve"> BHATIA</v>
      </c>
      <c r="D20" t="str">
        <f t="shared" si="0"/>
        <v xml:space="preserve"> HUN AN</v>
      </c>
      <c r="E20" t="str">
        <f t="shared" si="0"/>
        <v xml:space="preserve"> FLEETWOOD</v>
      </c>
      <c r="F20"/>
      <c r="G20"/>
    </row>
    <row r="21" spans="2:7" x14ac:dyDescent="0.2">
      <c r="B21" s="8">
        <v>8</v>
      </c>
      <c r="C21" t="str">
        <f t="shared" si="0"/>
        <v xml:space="preserve"> HORSCHEL</v>
      </c>
      <c r="D21" t="str">
        <f t="shared" si="0"/>
        <v xml:space="preserve"> PAVON</v>
      </c>
      <c r="E21" t="str">
        <f t="shared" si="0"/>
        <v xml:space="preserve"> STRAKA</v>
      </c>
      <c r="F21"/>
      <c r="G21"/>
    </row>
    <row r="22" spans="2:7" x14ac:dyDescent="0.2">
      <c r="B22" s="8">
        <v>9</v>
      </c>
      <c r="C22" t="str">
        <f t="shared" si="0"/>
        <v xml:space="preserve"> PENDRITH</v>
      </c>
      <c r="D22" t="str">
        <f t="shared" si="0"/>
        <v xml:space="preserve"> RAI</v>
      </c>
      <c r="E22" t="str">
        <f t="shared" si="0"/>
        <v xml:space="preserve"> THOMAS</v>
      </c>
      <c r="F22"/>
      <c r="G22"/>
    </row>
    <row r="23" spans="2:7" x14ac:dyDescent="0.2">
      <c r="B23" s="8">
        <v>10</v>
      </c>
      <c r="C23" t="str">
        <f t="shared" si="0"/>
        <v xml:space="preserve"> KIRK</v>
      </c>
      <c r="D23" t="str">
        <f t="shared" si="0"/>
        <v xml:space="preserve"> BEZUIDENHOUT</v>
      </c>
      <c r="E23" t="str">
        <f t="shared" si="0"/>
        <v xml:space="preserve"> HOGE</v>
      </c>
      <c r="F23"/>
      <c r="G23"/>
    </row>
    <row r="24" spans="2:7" x14ac:dyDescent="0.2">
      <c r="B24" s="3"/>
      <c r="C24"/>
      <c r="D24"/>
      <c r="E24"/>
      <c r="F24"/>
      <c r="G24"/>
    </row>
    <row r="25" spans="2:7" x14ac:dyDescent="0.2">
      <c r="B25" s="3"/>
      <c r="C25" s="7" t="s">
        <v>78</v>
      </c>
      <c r="D25"/>
      <c r="E25" s="3"/>
      <c r="F25" s="7" t="s">
        <v>78</v>
      </c>
      <c r="G25" s="5"/>
    </row>
    <row r="26" spans="2:7" x14ac:dyDescent="0.2">
      <c r="B26" s="8">
        <v>1</v>
      </c>
      <c r="C26"/>
      <c r="D26"/>
      <c r="E26" s="8">
        <v>1</v>
      </c>
      <c r="F26"/>
    </row>
    <row r="27" spans="2:7" x14ac:dyDescent="0.2">
      <c r="B27" s="8">
        <v>2</v>
      </c>
      <c r="C27"/>
      <c r="D27"/>
      <c r="E27" s="8">
        <v>2</v>
      </c>
      <c r="F27"/>
      <c r="G27" s="5"/>
    </row>
    <row r="28" spans="2:7" x14ac:dyDescent="0.2">
      <c r="B28" s="8">
        <v>3</v>
      </c>
      <c r="C28"/>
      <c r="D28"/>
      <c r="E28" s="8">
        <v>3</v>
      </c>
      <c r="F28"/>
      <c r="G28" s="5"/>
    </row>
    <row r="29" spans="2:7" x14ac:dyDescent="0.2">
      <c r="B29" s="8">
        <v>4</v>
      </c>
      <c r="C29"/>
      <c r="D29"/>
      <c r="E29" s="8">
        <v>4</v>
      </c>
      <c r="F29"/>
      <c r="G29" s="5"/>
    </row>
    <row r="30" spans="2:7" x14ac:dyDescent="0.2">
      <c r="B30" s="8">
        <v>5</v>
      </c>
      <c r="C30"/>
      <c r="D30"/>
      <c r="E30" s="8">
        <v>5</v>
      </c>
      <c r="F30"/>
      <c r="G30" s="5"/>
    </row>
    <row r="31" spans="2:7" x14ac:dyDescent="0.2">
      <c r="B31" s="8">
        <v>6</v>
      </c>
      <c r="C31"/>
      <c r="D31"/>
      <c r="E31" s="8">
        <v>6</v>
      </c>
      <c r="F31"/>
      <c r="G31" s="5"/>
    </row>
    <row r="32" spans="2:7" x14ac:dyDescent="0.2">
      <c r="B32" s="8">
        <v>7</v>
      </c>
      <c r="C32"/>
      <c r="D32"/>
      <c r="E32" s="8">
        <v>7</v>
      </c>
      <c r="F32"/>
      <c r="G32" s="5"/>
    </row>
    <row r="33" spans="1:10" x14ac:dyDescent="0.2">
      <c r="B33" s="8">
        <v>8</v>
      </c>
      <c r="C33"/>
      <c r="D33"/>
      <c r="E33" s="8">
        <v>8</v>
      </c>
      <c r="F33"/>
      <c r="G33" s="5"/>
    </row>
    <row r="34" spans="1:10" x14ac:dyDescent="0.2">
      <c r="B34" s="8">
        <v>9</v>
      </c>
      <c r="C34"/>
      <c r="D34"/>
      <c r="E34" s="8">
        <v>9</v>
      </c>
      <c r="F34"/>
      <c r="G34" s="5"/>
    </row>
    <row r="35" spans="1:10" x14ac:dyDescent="0.2">
      <c r="B35" s="8">
        <v>10</v>
      </c>
      <c r="C35"/>
      <c r="D35"/>
      <c r="E35" s="8">
        <v>10</v>
      </c>
      <c r="F35"/>
    </row>
    <row r="36" spans="1:10" x14ac:dyDescent="0.2">
      <c r="B36" s="8" t="s">
        <v>79</v>
      </c>
      <c r="C36"/>
      <c r="D36"/>
      <c r="E36" s="8" t="s">
        <v>79</v>
      </c>
      <c r="F36"/>
    </row>
    <row r="37" spans="1:10" x14ac:dyDescent="0.2">
      <c r="B37" s="3"/>
      <c r="C37"/>
      <c r="D37"/>
    </row>
    <row r="38" spans="1:10" x14ac:dyDescent="0.2">
      <c r="B38" s="3"/>
      <c r="C38"/>
      <c r="D38"/>
    </row>
    <row r="39" spans="1:10" x14ac:dyDescent="0.2">
      <c r="A39" s="19" t="s">
        <v>80</v>
      </c>
      <c r="B39" s="17">
        <f>SMALL(B40:B47,1)+SMALL(B40:B47,2)+SMALL(B40:B47,3)+SMALL(B40:B47,4)+SMALL(B40:B47,5)</f>
        <v>0</v>
      </c>
      <c r="C39"/>
      <c r="D39"/>
    </row>
    <row r="40" spans="1:10" x14ac:dyDescent="0.2">
      <c r="B40" s="3">
        <f t="shared" ref="B40:B46" si="1">MIN(C40:G40)</f>
        <v>0</v>
      </c>
      <c r="C40" s="23">
        <f>IFERROR(VLOOKUP(#REF!,scores[],2,FALSE),400)</f>
        <v>400</v>
      </c>
      <c r="D40" s="24">
        <f>IFERROR(VLOOKUP(#REF!,scores[],2,FALSE),400)</f>
        <v>400</v>
      </c>
      <c r="E40" s="24">
        <f>IFERROR(VLOOKUP(#REF!,scores[],2,FALSE),400)</f>
        <v>400</v>
      </c>
      <c r="F40" s="24">
        <f>IFERROR(VLOOKUP(#REF!,scores[],2,FALSE),400)</f>
        <v>400</v>
      </c>
      <c r="G40" s="25">
        <f>IFERROR(VLOOKUP(C3,scores[],2,FALSE),400)</f>
        <v>0</v>
      </c>
      <c r="J40" s="1">
        <v>1</v>
      </c>
    </row>
    <row r="41" spans="1:10" x14ac:dyDescent="0.2">
      <c r="B41" s="3">
        <f t="shared" si="1"/>
        <v>0</v>
      </c>
      <c r="C41" s="26">
        <f>IFERROR(VLOOKUP(#REF!,scores[],2,FALSE),400)</f>
        <v>400</v>
      </c>
      <c r="D41">
        <f>IFERROR(VLOOKUP(D4,scores[],2,FALSE),400)</f>
        <v>0</v>
      </c>
      <c r="E41">
        <f>IFERROR(VLOOKUP(#REF!,scores[],2,FALSE),400)</f>
        <v>400</v>
      </c>
      <c r="F41">
        <f>IFERROR(VLOOKUP(#REF!,scores[],2,FALSE),400)</f>
        <v>400</v>
      </c>
      <c r="G41" s="27">
        <f>IFERROR(VLOOKUP(D3,scores[],2,FALSE),400)</f>
        <v>0</v>
      </c>
      <c r="J41" s="1">
        <v>2</v>
      </c>
    </row>
    <row r="42" spans="1:10" x14ac:dyDescent="0.2">
      <c r="B42" s="3">
        <f t="shared" si="1"/>
        <v>0</v>
      </c>
      <c r="C42" s="26">
        <f>IFERROR(VLOOKUP(#REF!,scores[],2,FALSE),400)</f>
        <v>400</v>
      </c>
      <c r="D42">
        <f>IFERROR(VLOOKUP(#REF!,scores[],2,FALSE),400)</f>
        <v>400</v>
      </c>
      <c r="E42">
        <f>IFERROR(VLOOKUP(#REF!,scores[],2,FALSE),400)</f>
        <v>400</v>
      </c>
      <c r="F42">
        <f>IFERROR(VLOOKUP(#REF!,scores[],2,FALSE),400)</f>
        <v>400</v>
      </c>
      <c r="G42" s="27">
        <f>IFERROR(VLOOKUP(C5,scores[],2,FALSE),400)</f>
        <v>0</v>
      </c>
      <c r="J42" s="1">
        <v>3</v>
      </c>
    </row>
    <row r="43" spans="1:10" x14ac:dyDescent="0.2">
      <c r="B43" s="3">
        <f t="shared" si="1"/>
        <v>0</v>
      </c>
      <c r="C43" s="26">
        <f>IFERROR(VLOOKUP(#REF!,scores[],2,FALSE),400)</f>
        <v>400</v>
      </c>
      <c r="D43">
        <f>IFERROR(VLOOKUP(#REF!,scores[],2,FALSE),400)</f>
        <v>400</v>
      </c>
      <c r="E43">
        <f>IFERROR(VLOOKUP(#REF!,scores[],2,FALSE),400)</f>
        <v>400</v>
      </c>
      <c r="F43">
        <f>IFERROR(VLOOKUP(#REF!,scores[],2,FALSE),400)</f>
        <v>400</v>
      </c>
      <c r="G43" s="27">
        <f>IFERROR(VLOOKUP(D6,scores[],2,FALSE),400)</f>
        <v>0</v>
      </c>
      <c r="J43" s="1">
        <v>4</v>
      </c>
    </row>
    <row r="44" spans="1:10" x14ac:dyDescent="0.2">
      <c r="B44" s="3">
        <f t="shared" si="1"/>
        <v>0</v>
      </c>
      <c r="C44" s="26">
        <f>IFERROR(VLOOKUP(#REF!,scores[],2,FALSE),400)</f>
        <v>400</v>
      </c>
      <c r="D44">
        <f>IFERROR(VLOOKUP(#REF!,scores[],2,FALSE),400)</f>
        <v>400</v>
      </c>
      <c r="E44">
        <f>IFERROR(VLOOKUP(#REF!,scores[],2,FALSE),400)</f>
        <v>400</v>
      </c>
      <c r="F44">
        <f>IFERROR(VLOOKUP(#REF!,scores[],2,FALSE),400)</f>
        <v>400</v>
      </c>
      <c r="G44" s="27">
        <f>IFERROR(VLOOKUP(E9,scores[],2,FALSE),400)</f>
        <v>0</v>
      </c>
      <c r="J44" s="1">
        <v>5</v>
      </c>
    </row>
    <row r="45" spans="1:10" x14ac:dyDescent="0.2">
      <c r="B45" s="3">
        <f t="shared" si="1"/>
        <v>0</v>
      </c>
      <c r="C45" s="26">
        <f>IFERROR(VLOOKUP(#REF!,scores[],2,FALSE),400)</f>
        <v>400</v>
      </c>
      <c r="D45">
        <f>IFERROR(VLOOKUP(#REF!,scores[],2,FALSE),400)</f>
        <v>400</v>
      </c>
      <c r="E45">
        <f>IFERROR(VLOOKUP(#REF!,scores[],2,FALSE),400)</f>
        <v>400</v>
      </c>
      <c r="F45">
        <f>IFERROR(VLOOKUP(F8,scores[],2,FALSE),400)</f>
        <v>400</v>
      </c>
      <c r="G45" s="27">
        <f>IFERROR(VLOOKUP(E12,scores[],2,FALSE),400)</f>
        <v>0</v>
      </c>
      <c r="J45" s="1">
        <v>6</v>
      </c>
    </row>
    <row r="46" spans="1:10" x14ac:dyDescent="0.2">
      <c r="B46" s="3">
        <f t="shared" si="1"/>
        <v>400</v>
      </c>
      <c r="C46" s="26">
        <f>IFERROR(VLOOKUP(#REF!,scores[],2,FALSE),400)</f>
        <v>400</v>
      </c>
      <c r="D46">
        <f>IFERROR(VLOOKUP(#REF!,scores[],2,FALSE),400)</f>
        <v>400</v>
      </c>
      <c r="E46">
        <f>IFERROR(VLOOKUP(#REF!,scores[],2,FALSE),400)</f>
        <v>400</v>
      </c>
      <c r="F46">
        <f>IFERROR(VLOOKUP(F9,scores[],2,FALSE),400)</f>
        <v>400</v>
      </c>
      <c r="G46" s="27">
        <f>IFERROR(VLOOKUP(G9,scores[],2,FALSE),400)</f>
        <v>400</v>
      </c>
      <c r="J46" s="1">
        <v>7</v>
      </c>
    </row>
    <row r="47" spans="1:10" x14ac:dyDescent="0.2">
      <c r="B47" s="3">
        <f>MIN(C47:I47)</f>
        <v>0</v>
      </c>
      <c r="C47" s="26">
        <f>IFERROR(VLOOKUP(C10,scores[],2,FALSE),400)</f>
        <v>0</v>
      </c>
      <c r="D47">
        <f>IFERROR(VLOOKUP(D10,scores[],2,FALSE),400)</f>
        <v>0</v>
      </c>
      <c r="E47">
        <f>IFERROR(VLOOKUP(#REF!,scores[],2,FALSE),400)</f>
        <v>400</v>
      </c>
      <c r="F47">
        <f>IFERROR(VLOOKUP(F10,scores[],2,FALSE),400)</f>
        <v>400</v>
      </c>
      <c r="G47" s="27">
        <f>IFERROR(VLOOKUP(G10,scores[],2,FALSE),400)</f>
        <v>400</v>
      </c>
      <c r="H47" s="28"/>
      <c r="I47" s="28"/>
      <c r="J47" s="8">
        <v>8</v>
      </c>
    </row>
    <row r="48" spans="1:10" x14ac:dyDescent="0.2">
      <c r="B48" s="3"/>
      <c r="C48"/>
      <c r="D48"/>
      <c r="E48"/>
      <c r="F48"/>
      <c r="G48"/>
    </row>
    <row r="49" spans="1:10" x14ac:dyDescent="0.2">
      <c r="B49" s="3"/>
      <c r="C49"/>
      <c r="D49"/>
    </row>
    <row r="50" spans="1:10" x14ac:dyDescent="0.2">
      <c r="B50" s="3"/>
      <c r="C50"/>
      <c r="D50"/>
    </row>
    <row r="51" spans="1:10" x14ac:dyDescent="0.2">
      <c r="B51" s="3"/>
      <c r="C51"/>
      <c r="D51"/>
    </row>
    <row r="52" spans="1:10" x14ac:dyDescent="0.2">
      <c r="B52" s="3"/>
      <c r="C52"/>
      <c r="D52"/>
    </row>
    <row r="53" spans="1:10" s="4" customFormat="1" x14ac:dyDescent="0.2">
      <c r="A53"/>
      <c r="B53" s="3"/>
      <c r="C53"/>
      <c r="D53"/>
      <c r="H53"/>
      <c r="I53"/>
      <c r="J53"/>
    </row>
    <row r="54" spans="1:10" s="4" customFormat="1" x14ac:dyDescent="0.2">
      <c r="A54"/>
      <c r="B54" s="3"/>
      <c r="C54"/>
      <c r="D54"/>
      <c r="H54"/>
      <c r="I54"/>
      <c r="J54"/>
    </row>
    <row r="55" spans="1:10" s="4" customFormat="1" x14ac:dyDescent="0.2">
      <c r="A55"/>
      <c r="B55" s="3"/>
      <c r="C55"/>
      <c r="D55"/>
      <c r="H55"/>
      <c r="I55"/>
      <c r="J55"/>
    </row>
    <row r="56" spans="1:10" s="4" customFormat="1" x14ac:dyDescent="0.2">
      <c r="A56"/>
      <c r="B56" s="3"/>
      <c r="C56"/>
      <c r="D56"/>
      <c r="H56"/>
      <c r="I56"/>
      <c r="J56"/>
    </row>
    <row r="57" spans="1:10" s="4" customFormat="1" x14ac:dyDescent="0.2">
      <c r="A57"/>
      <c r="B57" s="3"/>
      <c r="C57"/>
      <c r="D57"/>
      <c r="H57"/>
      <c r="I57"/>
      <c r="J57"/>
    </row>
    <row r="58" spans="1:10" s="4" customFormat="1" x14ac:dyDescent="0.2">
      <c r="A58"/>
      <c r="B58" s="3"/>
      <c r="C58"/>
      <c r="D58"/>
      <c r="H58"/>
      <c r="I58"/>
      <c r="J58"/>
    </row>
    <row r="59" spans="1:10" s="4" customFormat="1" x14ac:dyDescent="0.2">
      <c r="A59"/>
      <c r="B59" s="3"/>
      <c r="C59"/>
      <c r="D59"/>
      <c r="H59"/>
      <c r="I59"/>
      <c r="J59"/>
    </row>
    <row r="60" spans="1:10" s="4" customFormat="1" x14ac:dyDescent="0.2">
      <c r="A60"/>
      <c r="B60" s="3"/>
      <c r="C60"/>
      <c r="D60"/>
      <c r="H60"/>
      <c r="I60"/>
      <c r="J60"/>
    </row>
    <row r="61" spans="1:10" s="4" customFormat="1" x14ac:dyDescent="0.2">
      <c r="A61"/>
      <c r="B61" s="3"/>
      <c r="C61"/>
      <c r="D61"/>
      <c r="H61"/>
      <c r="I61"/>
      <c r="J61"/>
    </row>
    <row r="62" spans="1:10" s="4" customFormat="1" x14ac:dyDescent="0.2">
      <c r="A62"/>
      <c r="B62" s="3"/>
      <c r="C62"/>
      <c r="D62"/>
      <c r="H62"/>
      <c r="I62"/>
      <c r="J62"/>
    </row>
    <row r="63" spans="1:10" s="4" customFormat="1" x14ac:dyDescent="0.2">
      <c r="A63"/>
      <c r="B63" s="3"/>
      <c r="C63"/>
      <c r="D63"/>
      <c r="H63"/>
      <c r="I63"/>
      <c r="J63"/>
    </row>
    <row r="64" spans="1:10" s="4" customFormat="1" x14ac:dyDescent="0.2">
      <c r="A64"/>
      <c r="B64" s="3"/>
      <c r="C64"/>
      <c r="D64"/>
      <c r="H64"/>
      <c r="I64"/>
      <c r="J64"/>
    </row>
    <row r="65" spans="1:10" s="4" customFormat="1" x14ac:dyDescent="0.2">
      <c r="A65"/>
      <c r="B65" s="3"/>
      <c r="C65"/>
      <c r="D65"/>
      <c r="H65"/>
      <c r="I65"/>
      <c r="J65"/>
    </row>
    <row r="66" spans="1:10" s="4" customFormat="1" x14ac:dyDescent="0.2">
      <c r="A66"/>
      <c r="B66" s="3"/>
      <c r="C66"/>
      <c r="D66"/>
      <c r="H66"/>
      <c r="I66"/>
      <c r="J66"/>
    </row>
    <row r="67" spans="1:10" s="4" customFormat="1" x14ac:dyDescent="0.2">
      <c r="A67"/>
      <c r="B67" s="3"/>
      <c r="C67"/>
      <c r="D67"/>
      <c r="H67"/>
      <c r="I67"/>
      <c r="J67"/>
    </row>
    <row r="68" spans="1:10" s="4" customFormat="1" x14ac:dyDescent="0.2">
      <c r="A68"/>
      <c r="B68" s="3"/>
      <c r="C68"/>
      <c r="D68"/>
      <c r="H68"/>
      <c r="I68"/>
      <c r="J68"/>
    </row>
    <row r="69" spans="1:10" s="4" customFormat="1" x14ac:dyDescent="0.2">
      <c r="A69"/>
      <c r="B69" s="3"/>
      <c r="C69"/>
      <c r="D69"/>
      <c r="H69"/>
      <c r="I69"/>
      <c r="J69"/>
    </row>
    <row r="70" spans="1:10" s="4" customFormat="1" x14ac:dyDescent="0.2">
      <c r="A70"/>
      <c r="B70" s="3"/>
      <c r="C70"/>
      <c r="D70"/>
      <c r="H70"/>
      <c r="I70"/>
      <c r="J70"/>
    </row>
    <row r="71" spans="1:10" s="4" customFormat="1" x14ac:dyDescent="0.2">
      <c r="A71"/>
      <c r="B71" s="3"/>
      <c r="C71"/>
      <c r="D71"/>
      <c r="H71"/>
      <c r="I71"/>
      <c r="J71"/>
    </row>
    <row r="72" spans="1:10" s="4" customFormat="1" x14ac:dyDescent="0.2">
      <c r="A72"/>
      <c r="B72" s="3"/>
      <c r="C72"/>
      <c r="D72"/>
      <c r="H72"/>
      <c r="I72"/>
      <c r="J72"/>
    </row>
    <row r="73" spans="1:10" s="4" customFormat="1" x14ac:dyDescent="0.2">
      <c r="A73"/>
      <c r="B73" s="3"/>
      <c r="C73"/>
      <c r="D73"/>
      <c r="H73"/>
      <c r="I73"/>
      <c r="J73"/>
    </row>
    <row r="74" spans="1:10" s="4" customFormat="1" x14ac:dyDescent="0.2">
      <c r="A74"/>
      <c r="B74" s="3"/>
      <c r="C74"/>
      <c r="D74"/>
      <c r="H74"/>
      <c r="I74"/>
      <c r="J74"/>
    </row>
    <row r="75" spans="1:10" s="4" customFormat="1" x14ac:dyDescent="0.2">
      <c r="A75"/>
      <c r="B75" s="3"/>
      <c r="C75"/>
      <c r="D75"/>
      <c r="H75"/>
      <c r="I75"/>
      <c r="J75"/>
    </row>
    <row r="76" spans="1:10" s="4" customFormat="1" x14ac:dyDescent="0.2">
      <c r="A76"/>
      <c r="B76" s="3"/>
      <c r="C76"/>
      <c r="D76"/>
      <c r="H76"/>
      <c r="I76"/>
      <c r="J76"/>
    </row>
    <row r="77" spans="1:10" s="4" customFormat="1" x14ac:dyDescent="0.2">
      <c r="A77"/>
      <c r="B77" s="3"/>
      <c r="C77"/>
      <c r="D77"/>
      <c r="H77"/>
      <c r="I77"/>
      <c r="J77"/>
    </row>
    <row r="78" spans="1:10" s="4" customFormat="1" x14ac:dyDescent="0.2">
      <c r="A78"/>
      <c r="B78" s="3"/>
      <c r="C78"/>
      <c r="D78"/>
      <c r="H78"/>
      <c r="I78"/>
      <c r="J78"/>
    </row>
    <row r="79" spans="1:10" s="4" customFormat="1" x14ac:dyDescent="0.2">
      <c r="A79"/>
      <c r="B79" s="3"/>
      <c r="C79"/>
      <c r="D79"/>
      <c r="H79"/>
      <c r="I79"/>
      <c r="J79"/>
    </row>
    <row r="80" spans="1:10" s="4" customFormat="1" x14ac:dyDescent="0.2">
      <c r="A80"/>
      <c r="B80" s="3"/>
      <c r="C80"/>
      <c r="D80"/>
      <c r="H80"/>
      <c r="I80"/>
      <c r="J80"/>
    </row>
    <row r="81" spans="1:10" s="4" customFormat="1" x14ac:dyDescent="0.2">
      <c r="A81"/>
      <c r="B81" s="3"/>
      <c r="C81"/>
      <c r="D81"/>
      <c r="H81"/>
      <c r="I81"/>
      <c r="J81"/>
    </row>
    <row r="82" spans="1:10" s="4" customFormat="1" x14ac:dyDescent="0.2">
      <c r="A82"/>
      <c r="B82" s="3"/>
      <c r="C82"/>
      <c r="D82"/>
      <c r="H82"/>
      <c r="I82"/>
      <c r="J82"/>
    </row>
    <row r="83" spans="1:10" s="4" customFormat="1" x14ac:dyDescent="0.2">
      <c r="A83"/>
      <c r="B83" s="3"/>
      <c r="C83"/>
      <c r="D83"/>
      <c r="H83"/>
      <c r="I83"/>
      <c r="J83"/>
    </row>
    <row r="84" spans="1:10" s="4" customFormat="1" x14ac:dyDescent="0.2">
      <c r="A84"/>
      <c r="B84" s="3"/>
      <c r="C84"/>
      <c r="D84"/>
      <c r="H84"/>
      <c r="I84"/>
      <c r="J84"/>
    </row>
    <row r="85" spans="1:10" s="4" customFormat="1" x14ac:dyDescent="0.2">
      <c r="A85"/>
      <c r="B85" s="3"/>
      <c r="C85"/>
      <c r="D85"/>
      <c r="H85"/>
      <c r="I85"/>
      <c r="J85"/>
    </row>
    <row r="86" spans="1:10" s="4" customFormat="1" x14ac:dyDescent="0.2">
      <c r="A86"/>
      <c r="B86" s="3"/>
      <c r="C86"/>
      <c r="D86"/>
      <c r="H86"/>
      <c r="I86"/>
      <c r="J86"/>
    </row>
    <row r="87" spans="1:10" s="4" customFormat="1" x14ac:dyDescent="0.2">
      <c r="A87"/>
      <c r="B87" s="3"/>
      <c r="C87"/>
      <c r="D87"/>
      <c r="H87"/>
      <c r="I87"/>
      <c r="J87"/>
    </row>
    <row r="88" spans="1:10" s="4" customFormat="1" x14ac:dyDescent="0.2">
      <c r="A88"/>
      <c r="B88" s="3"/>
      <c r="C88"/>
      <c r="D88"/>
      <c r="H88"/>
      <c r="I88"/>
      <c r="J88"/>
    </row>
    <row r="89" spans="1:10" s="4" customFormat="1" x14ac:dyDescent="0.2">
      <c r="A89"/>
      <c r="B89" s="3"/>
      <c r="C89"/>
      <c r="D89"/>
      <c r="H89"/>
      <c r="I89"/>
      <c r="J89"/>
    </row>
    <row r="90" spans="1:10" s="4" customFormat="1" x14ac:dyDescent="0.2">
      <c r="A90"/>
      <c r="B90" s="3"/>
      <c r="C90"/>
      <c r="D90"/>
      <c r="H90"/>
      <c r="I90"/>
      <c r="J90"/>
    </row>
    <row r="91" spans="1:10" s="4" customFormat="1" x14ac:dyDescent="0.2">
      <c r="A91"/>
      <c r="B91" s="3"/>
      <c r="C91"/>
      <c r="D91"/>
      <c r="H91"/>
      <c r="I91"/>
      <c r="J91"/>
    </row>
    <row r="92" spans="1:10" s="4" customFormat="1" x14ac:dyDescent="0.2">
      <c r="A92"/>
      <c r="B92" s="3"/>
      <c r="C92"/>
      <c r="D92"/>
      <c r="H92"/>
      <c r="I92"/>
      <c r="J92"/>
    </row>
    <row r="93" spans="1:10" s="4" customFormat="1" x14ac:dyDescent="0.2">
      <c r="A93"/>
      <c r="B93" s="3"/>
      <c r="C93"/>
      <c r="D93"/>
      <c r="H93"/>
      <c r="I93"/>
      <c r="J93"/>
    </row>
    <row r="94" spans="1:10" s="4" customFormat="1" x14ac:dyDescent="0.2">
      <c r="A94"/>
      <c r="B94" s="3"/>
      <c r="C94"/>
      <c r="D94"/>
      <c r="H94"/>
      <c r="I94"/>
      <c r="J94"/>
    </row>
    <row r="109" spans="7:7" x14ac:dyDescent="0.2">
      <c r="G109"/>
    </row>
    <row r="110" spans="7:7" x14ac:dyDescent="0.2">
      <c r="G110"/>
    </row>
    <row r="111" spans="7:7" x14ac:dyDescent="0.2">
      <c r="G111"/>
    </row>
    <row r="112" spans="7:7" x14ac:dyDescent="0.2">
      <c r="G112"/>
    </row>
    <row r="113" spans="7:7" x14ac:dyDescent="0.2">
      <c r="G113"/>
    </row>
    <row r="114" spans="7:7" x14ac:dyDescent="0.2">
      <c r="G114"/>
    </row>
    <row r="115" spans="7:7" x14ac:dyDescent="0.2">
      <c r="G115"/>
    </row>
    <row r="116" spans="7:7" x14ac:dyDescent="0.2">
      <c r="G116"/>
    </row>
    <row r="117" spans="7:7" x14ac:dyDescent="0.2">
      <c r="G117"/>
    </row>
    <row r="118" spans="7:7" x14ac:dyDescent="0.2">
      <c r="G118"/>
    </row>
    <row r="119" spans="7:7" x14ac:dyDescent="0.2">
      <c r="G119"/>
    </row>
    <row r="120" spans="7:7" x14ac:dyDescent="0.2">
      <c r="G120"/>
    </row>
    <row r="121" spans="7:7" x14ac:dyDescent="0.2">
      <c r="G121"/>
    </row>
    <row r="122" spans="7:7" x14ac:dyDescent="0.2">
      <c r="G122"/>
    </row>
    <row r="123" spans="7:7" x14ac:dyDescent="0.2">
      <c r="G123"/>
    </row>
    <row r="124" spans="7:7" x14ac:dyDescent="0.2">
      <c r="G124"/>
    </row>
    <row r="125" spans="7:7" x14ac:dyDescent="0.2">
      <c r="G125"/>
    </row>
    <row r="126" spans="7:7" x14ac:dyDescent="0.2">
      <c r="G126"/>
    </row>
    <row r="127" spans="7:7" x14ac:dyDescent="0.2">
      <c r="G127"/>
    </row>
    <row r="128" spans="7:7" x14ac:dyDescent="0.2">
      <c r="G128"/>
    </row>
  </sheetData>
  <dataValidations count="17">
    <dataValidation type="whole" allowBlank="1" showInputMessage="1" showErrorMessage="1" sqref="C36 F36" xr:uid="{1B1913B7-19E7-49BF-8EE7-DF0DF2DCED5A}">
      <formula1>-100</formula1>
      <formula2>100</formula2>
    </dataValidation>
    <dataValidation type="list" allowBlank="1" showInputMessage="1" showErrorMessage="1" sqref="F27" xr:uid="{F781781B-7843-4E5B-83F2-39E01FDF38F1}">
      <formula1>$C$15:$G$15</formula1>
    </dataValidation>
    <dataValidation type="list" allowBlank="1" showInputMessage="1" showErrorMessage="1" sqref="F28" xr:uid="{40AB7772-96FB-4561-9CA6-EF4AF1DF0BEA}">
      <formula1>$C$16:$G$16</formula1>
    </dataValidation>
    <dataValidation type="list" allowBlank="1" showInputMessage="1" showErrorMessage="1" sqref="F26" xr:uid="{1FD0F234-6A24-4752-8837-82E6BAEE6281}">
      <formula1>$C$14:$G$14</formula1>
    </dataValidation>
    <dataValidation type="list" allowBlank="1" showInputMessage="1" showErrorMessage="1" sqref="F29" xr:uid="{0730BF30-FD9F-4DCA-9392-93DC2B995FDC}">
      <formula1>$C$17:$G$17</formula1>
    </dataValidation>
    <dataValidation type="list" allowBlank="1" showInputMessage="1" showErrorMessage="1" sqref="F30" xr:uid="{2BDAB35B-A1FD-4BB9-9565-D17BE8E114D0}">
      <formula1>$C$18:$G$18</formula1>
    </dataValidation>
    <dataValidation type="list" allowBlank="1" showInputMessage="1" showErrorMessage="1" sqref="F31" xr:uid="{34C67797-54DF-4F69-91A5-50D812A33915}">
      <formula1>$C$19:$G$19</formula1>
    </dataValidation>
    <dataValidation type="list" allowBlank="1" showInputMessage="1" showErrorMessage="1" sqref="F32" xr:uid="{3EDCF522-D84E-4783-9CBF-2A2AFBD7E65D}">
      <formula1>$C$20:$G$20</formula1>
    </dataValidation>
    <dataValidation type="list" allowBlank="1" showInputMessage="1" showErrorMessage="1" sqref="F33" xr:uid="{FFEA697A-2743-420E-9FB1-49BEB8DCA636}">
      <formula1>$C$21:$G$21</formula1>
    </dataValidation>
    <dataValidation type="list" allowBlank="1" showInputMessage="1" showErrorMessage="1" sqref="C27" xr:uid="{93B7BB2C-B287-469B-9C71-39C92C2C55D1}">
      <formula1>$C$4:$G$4</formula1>
    </dataValidation>
    <dataValidation type="list" allowBlank="1" showInputMessage="1" showErrorMessage="1" sqref="C33" xr:uid="{46E9E685-077D-4A90-B95C-A59761536BD8}">
      <formula1>$C$10:$G$10</formula1>
    </dataValidation>
    <dataValidation type="list" allowBlank="1" showInputMessage="1" showErrorMessage="1" sqref="C28" xr:uid="{3324114C-3F41-4EF7-910F-17E13F3C5E59}">
      <formula1>$D$5:$E$5</formula1>
    </dataValidation>
    <dataValidation type="list" allowBlank="1" showInputMessage="1" showErrorMessage="1" sqref="C30" xr:uid="{586AA8CC-1CBE-4600-926F-3E8998193638}">
      <formula1>$C$7:$G$7</formula1>
    </dataValidation>
    <dataValidation type="list" allowBlank="1" showInputMessage="1" showErrorMessage="1" prompt="Choose a golfer from Group 1" sqref="C26" xr:uid="{B6CE2482-B919-456E-B9D3-525453D7E36B}">
      <formula1>$C$3:$F$3</formula1>
    </dataValidation>
    <dataValidation type="list" allowBlank="1" showInputMessage="1" showErrorMessage="1" sqref="C31" xr:uid="{C8455541-4B11-4184-B2AB-9AE40483CA7B}">
      <formula1>$C$8:$G$8</formula1>
    </dataValidation>
    <dataValidation type="list" allowBlank="1" showInputMessage="1" showErrorMessage="1" sqref="C32" xr:uid="{2F2D0794-EE98-4104-AA28-C2FE2753889E}">
      <formula1>$C$9:$G$9</formula1>
    </dataValidation>
    <dataValidation type="list" allowBlank="1" showInputMessage="1" showErrorMessage="1" sqref="C29" xr:uid="{886FA186-2339-464A-9933-308D525A9392}">
      <formula1>$C$6:$G$6</formula1>
    </dataValidation>
  </dataValidations>
  <pageMargins left="0.7" right="0.7" top="0.75" bottom="0.75" header="0.3" footer="0.3"/>
  <pageSetup orientation="portrait" horizontalDpi="4294967293"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AF282-0FDA-4F2B-BABC-1D764AAEF170}">
  <sheetPr codeName="Sheet3"/>
  <dimension ref="A1:J124"/>
  <sheetViews>
    <sheetView zoomScaleNormal="100" workbookViewId="0">
      <selection activeCell="A4" sqref="A4"/>
    </sheetView>
  </sheetViews>
  <sheetFormatPr defaultRowHeight="12.75" x14ac:dyDescent="0.2"/>
  <cols>
    <col min="1" max="1" width="7" customWidth="1"/>
    <col min="2" max="2" width="9.140625" style="1"/>
    <col min="3" max="3" width="19" style="4" customWidth="1"/>
    <col min="4" max="4" width="20.140625" style="4" customWidth="1"/>
    <col min="5" max="5" width="18.140625" style="4" customWidth="1"/>
    <col min="6" max="6" width="19.42578125" style="4" customWidth="1"/>
    <col min="7" max="7" width="21.85546875" style="4" customWidth="1"/>
    <col min="8" max="8" width="14.140625" customWidth="1"/>
    <col min="9" max="9" width="16.140625" customWidth="1"/>
  </cols>
  <sheetData>
    <row r="1" spans="2:7" x14ac:dyDescent="0.2">
      <c r="E1" s="4" t="s">
        <v>0</v>
      </c>
    </row>
    <row r="2" spans="2:7" x14ac:dyDescent="0.2">
      <c r="B2" s="1" t="s">
        <v>77</v>
      </c>
    </row>
    <row r="3" spans="2:7" x14ac:dyDescent="0.2">
      <c r="B3" s="1">
        <v>1</v>
      </c>
      <c r="C3" s="6" t="str" cm="1">
        <f t="array" ref="C3:G3">TRANSPOSE(OWGR!F2:F6)</f>
        <v>Scottie Scheffler</v>
      </c>
      <c r="D3" s="6" t="str">
        <v>Rory McIlroy</v>
      </c>
      <c r="E3" s="6" t="str">
        <v>Xander Schauffele</v>
      </c>
      <c r="F3" s="6" t="str">
        <v>Ludvig Åberg</v>
      </c>
      <c r="G3" s="6" t="str">
        <v>Collin Morikawa</v>
      </c>
    </row>
    <row r="4" spans="2:7" x14ac:dyDescent="0.2">
      <c r="B4" s="1">
        <v>2</v>
      </c>
      <c r="C4" s="6" t="str" cm="1">
        <f t="array" ref="C4:G4">TRANSPOSE(OWGR!F7:F11)</f>
        <v>Hideki Matsuyama</v>
      </c>
      <c r="D4" s="6" t="str">
        <v>Wyndham Clark</v>
      </c>
      <c r="E4" s="6" t="str">
        <v>Justin Thomas</v>
      </c>
      <c r="F4" s="6" t="str">
        <v>XXXX XXXX</v>
      </c>
      <c r="G4" s="6" t="str">
        <v>Tommy Fleetwood</v>
      </c>
    </row>
    <row r="5" spans="2:7" x14ac:dyDescent="0.2">
      <c r="B5" s="1">
        <v>3</v>
      </c>
      <c r="C5" s="6" t="str" cm="1">
        <f t="array" ref="C5:G5">TRANSPOSE(OWGR!F12:F16)</f>
        <v>XXXX XXXX</v>
      </c>
      <c r="D5" s="6" t="str">
        <v>Maverick McNealy</v>
      </c>
      <c r="E5" s="6" t="str">
        <v>Patrick Cantlay</v>
      </c>
      <c r="F5" s="6" t="str">
        <v>Russell Henley</v>
      </c>
      <c r="G5" s="6" t="str">
        <v>Viktor Hovland</v>
      </c>
    </row>
    <row r="6" spans="2:7" x14ac:dyDescent="0.2">
      <c r="B6" s="1">
        <v>4</v>
      </c>
      <c r="C6" s="6" t="str" cm="1">
        <f t="array" ref="C6:G6">TRANSPOSE(OWGR!F17:F21)</f>
        <v>Keegan Bradley</v>
      </c>
      <c r="D6" s="6" t="str">
        <v>Shane Lowry</v>
      </c>
      <c r="E6" s="6" t="str">
        <v>Sepp Straka</v>
      </c>
      <c r="F6" s="6" t="str">
        <v>Robert MacIntyre</v>
      </c>
      <c r="G6" s="6" t="str">
        <v>Billy Horschel</v>
      </c>
    </row>
    <row r="7" spans="2:7" x14ac:dyDescent="0.2">
      <c r="B7" s="1">
        <v>5</v>
      </c>
      <c r="C7" s="6" t="str" cm="1">
        <f t="array" ref="C7:G7">TRANSPOSE(OWGR!F22:F26)</f>
        <v>Sahith Theegala</v>
      </c>
      <c r="D7" s="6" t="str">
        <v>Sungjae Im</v>
      </c>
      <c r="E7" s="6" t="str">
        <v>Thomas Detry</v>
      </c>
      <c r="F7" s="6" t="str">
        <v>Adam Scott</v>
      </c>
      <c r="G7" s="6" t="str">
        <v>Aaron Rai</v>
      </c>
    </row>
    <row r="8" spans="2:7" x14ac:dyDescent="0.2">
      <c r="B8" s="1">
        <v>6</v>
      </c>
      <c r="C8" s="6" t="str" cm="1">
        <f t="array" ref="C8:G8">TRANSPOSE(OWGR!F27:F31)</f>
        <v>Tom Kim</v>
      </c>
      <c r="D8" s="6" t="str">
        <v>Tony Finau</v>
      </c>
      <c r="E8" s="6" t="str">
        <v>Sam Burns</v>
      </c>
      <c r="F8" s="6" t="str">
        <v>Nick Taylor</v>
      </c>
      <c r="G8" s="6" t="str">
        <v>Akshay Bhatia</v>
      </c>
    </row>
    <row r="9" spans="2:7" x14ac:dyDescent="0.2">
      <c r="B9" s="1">
        <v>7</v>
      </c>
      <c r="C9" s="6" t="str" cm="1">
        <f t="array" ref="C9:G9">TRANSPOSE(OWGR!F32:F36)</f>
        <v>Nick Dunlap</v>
      </c>
      <c r="D9" s="6" t="str">
        <v>Byeong Hun An</v>
      </c>
      <c r="E9" s="6" t="str">
        <v>Harris English</v>
      </c>
      <c r="F9" s="6" t="str">
        <v>Jason Day</v>
      </c>
      <c r="G9" s="6" t="str">
        <v>Max Greyserman</v>
      </c>
    </row>
    <row r="10" spans="2:7" x14ac:dyDescent="0.2">
      <c r="B10" s="1">
        <v>8</v>
      </c>
      <c r="C10" s="6" t="str" cm="1">
        <f t="array" ref="C10:G10">TRANSPOSE(OWGR!F37:F41)</f>
        <v>Justin Rose</v>
      </c>
      <c r="D10" s="6" t="str">
        <v>Brian Harman</v>
      </c>
      <c r="E10" s="6" t="str">
        <v>Denny McCarthy</v>
      </c>
      <c r="F10" s="6" t="str">
        <v>J.T. Poston</v>
      </c>
      <c r="G10" s="6" t="str">
        <v>Taylor Pendrith</v>
      </c>
    </row>
    <row r="12" spans="2:7" x14ac:dyDescent="0.2">
      <c r="B12" s="1">
        <v>1</v>
      </c>
      <c r="C12" t="str">
        <f t="shared" ref="C12:G19" si="0">UPPER(MID(C3,FIND(" ", C3, 1),30))</f>
        <v xml:space="preserve"> SCHEFFLER</v>
      </c>
      <c r="D12" t="str">
        <f t="shared" si="0"/>
        <v xml:space="preserve"> MCILROY</v>
      </c>
      <c r="E12" t="str">
        <f t="shared" si="0"/>
        <v xml:space="preserve"> SCHAUFFELE</v>
      </c>
      <c r="F12" t="str">
        <f t="shared" si="0"/>
        <v xml:space="preserve"> ÅBERG</v>
      </c>
      <c r="G12" t="str">
        <f t="shared" si="0"/>
        <v xml:space="preserve"> MORIKAWA</v>
      </c>
    </row>
    <row r="13" spans="2:7" x14ac:dyDescent="0.2">
      <c r="B13" s="1">
        <v>2</v>
      </c>
      <c r="C13" t="str">
        <f t="shared" si="0"/>
        <v xml:space="preserve"> MATSUYAMA</v>
      </c>
      <c r="D13" t="str">
        <f t="shared" si="0"/>
        <v xml:space="preserve"> CLARK</v>
      </c>
      <c r="E13" t="str">
        <f t="shared" si="0"/>
        <v xml:space="preserve"> THOMAS</v>
      </c>
      <c r="F13" t="str">
        <f t="shared" si="0"/>
        <v xml:space="preserve"> XXXX</v>
      </c>
      <c r="G13" t="str">
        <f t="shared" si="0"/>
        <v xml:space="preserve"> FLEETWOOD</v>
      </c>
    </row>
    <row r="14" spans="2:7" x14ac:dyDescent="0.2">
      <c r="B14" s="1">
        <v>3</v>
      </c>
      <c r="C14" t="str">
        <f t="shared" si="0"/>
        <v xml:space="preserve"> XXXX</v>
      </c>
      <c r="D14" t="str">
        <f t="shared" si="0"/>
        <v xml:space="preserve"> MCNEALY</v>
      </c>
      <c r="E14" t="str">
        <f t="shared" si="0"/>
        <v xml:space="preserve"> CANTLAY</v>
      </c>
      <c r="F14" t="str">
        <f t="shared" si="0"/>
        <v xml:space="preserve"> HENLEY</v>
      </c>
      <c r="G14" t="str">
        <f t="shared" si="0"/>
        <v xml:space="preserve"> HOVLAND</v>
      </c>
    </row>
    <row r="15" spans="2:7" x14ac:dyDescent="0.2">
      <c r="B15" s="1">
        <v>4</v>
      </c>
      <c r="C15" t="str">
        <f t="shared" si="0"/>
        <v xml:space="preserve"> BRADLEY</v>
      </c>
      <c r="D15" t="str">
        <f t="shared" si="0"/>
        <v xml:space="preserve"> LOWRY</v>
      </c>
      <c r="E15" t="str">
        <f t="shared" si="0"/>
        <v xml:space="preserve"> STRAKA</v>
      </c>
      <c r="F15" t="str">
        <f t="shared" si="0"/>
        <v xml:space="preserve"> MACINTYRE</v>
      </c>
      <c r="G15" t="str">
        <f t="shared" si="0"/>
        <v xml:space="preserve"> HORSCHEL</v>
      </c>
    </row>
    <row r="16" spans="2:7" x14ac:dyDescent="0.2">
      <c r="B16" s="1">
        <v>5</v>
      </c>
      <c r="C16" t="str">
        <f t="shared" si="0"/>
        <v xml:space="preserve"> THEEGALA</v>
      </c>
      <c r="D16" t="str">
        <f t="shared" si="0"/>
        <v xml:space="preserve"> IM</v>
      </c>
      <c r="E16" t="str">
        <f t="shared" si="0"/>
        <v xml:space="preserve"> DETRY</v>
      </c>
      <c r="F16" t="str">
        <f t="shared" si="0"/>
        <v xml:space="preserve"> SCOTT</v>
      </c>
      <c r="G16" t="str">
        <f t="shared" si="0"/>
        <v xml:space="preserve"> RAI</v>
      </c>
    </row>
    <row r="17" spans="2:7" x14ac:dyDescent="0.2">
      <c r="B17" s="1">
        <v>6</v>
      </c>
      <c r="C17" t="str">
        <f t="shared" si="0"/>
        <v xml:space="preserve"> KIM</v>
      </c>
      <c r="D17" t="str">
        <f t="shared" si="0"/>
        <v xml:space="preserve"> FINAU</v>
      </c>
      <c r="E17" t="str">
        <f t="shared" si="0"/>
        <v xml:space="preserve"> BURNS</v>
      </c>
      <c r="F17" t="str">
        <f t="shared" si="0"/>
        <v xml:space="preserve"> TAYLOR</v>
      </c>
      <c r="G17" t="str">
        <f t="shared" si="0"/>
        <v xml:space="preserve"> BHATIA</v>
      </c>
    </row>
    <row r="18" spans="2:7" x14ac:dyDescent="0.2">
      <c r="B18" s="8">
        <v>7</v>
      </c>
      <c r="C18" t="str">
        <f t="shared" si="0"/>
        <v xml:space="preserve"> DUNLAP</v>
      </c>
      <c r="D18" t="str">
        <f t="shared" si="0"/>
        <v xml:space="preserve"> HUN AN</v>
      </c>
      <c r="E18" t="str">
        <f t="shared" si="0"/>
        <v xml:space="preserve"> ENGLISH</v>
      </c>
      <c r="F18" t="str">
        <f t="shared" si="0"/>
        <v xml:space="preserve"> DAY</v>
      </c>
      <c r="G18" t="str">
        <f t="shared" si="0"/>
        <v xml:space="preserve"> GREYSERMAN</v>
      </c>
    </row>
    <row r="19" spans="2:7" x14ac:dyDescent="0.2">
      <c r="B19" s="8">
        <v>8</v>
      </c>
      <c r="C19" t="str">
        <f t="shared" si="0"/>
        <v xml:space="preserve"> ROSE</v>
      </c>
      <c r="D19" t="str">
        <f t="shared" si="0"/>
        <v xml:space="preserve"> HARMAN</v>
      </c>
      <c r="E19" t="str">
        <f t="shared" si="0"/>
        <v xml:space="preserve"> MCCARTHY</v>
      </c>
      <c r="F19" t="str">
        <f t="shared" si="0"/>
        <v xml:space="preserve"> POSTON</v>
      </c>
      <c r="G19" t="str">
        <f t="shared" si="0"/>
        <v xml:space="preserve"> PENDRITH</v>
      </c>
    </row>
    <row r="20" spans="2:7" x14ac:dyDescent="0.2">
      <c r="B20" s="3"/>
      <c r="C20"/>
      <c r="D20"/>
      <c r="E20"/>
      <c r="F20"/>
      <c r="G20"/>
    </row>
    <row r="21" spans="2:7" x14ac:dyDescent="0.2">
      <c r="B21" s="3"/>
      <c r="C21" s="7" t="s">
        <v>78</v>
      </c>
      <c r="D21"/>
      <c r="E21" s="3"/>
      <c r="F21" s="7" t="s">
        <v>78</v>
      </c>
      <c r="G21" s="5"/>
    </row>
    <row r="22" spans="2:7" x14ac:dyDescent="0.2">
      <c r="B22" s="8">
        <v>1</v>
      </c>
      <c r="C22"/>
      <c r="D22"/>
      <c r="E22" s="8">
        <v>1</v>
      </c>
      <c r="F22"/>
    </row>
    <row r="23" spans="2:7" x14ac:dyDescent="0.2">
      <c r="B23" s="8">
        <v>2</v>
      </c>
      <c r="C23"/>
      <c r="D23"/>
      <c r="E23" s="8">
        <v>2</v>
      </c>
      <c r="F23"/>
      <c r="G23" s="5"/>
    </row>
    <row r="24" spans="2:7" x14ac:dyDescent="0.2">
      <c r="B24" s="8">
        <v>3</v>
      </c>
      <c r="C24"/>
      <c r="D24"/>
      <c r="E24" s="8">
        <v>3</v>
      </c>
      <c r="F24"/>
      <c r="G24" s="5"/>
    </row>
    <row r="25" spans="2:7" x14ac:dyDescent="0.2">
      <c r="B25" s="8">
        <v>4</v>
      </c>
      <c r="C25"/>
      <c r="D25"/>
      <c r="E25" s="8">
        <v>4</v>
      </c>
      <c r="F25"/>
      <c r="G25" s="5"/>
    </row>
    <row r="26" spans="2:7" x14ac:dyDescent="0.2">
      <c r="B26" s="8">
        <v>5</v>
      </c>
      <c r="C26"/>
      <c r="D26"/>
      <c r="E26" s="8">
        <v>5</v>
      </c>
      <c r="F26"/>
      <c r="G26" s="5"/>
    </row>
    <row r="27" spans="2:7" x14ac:dyDescent="0.2">
      <c r="B27" s="8">
        <v>6</v>
      </c>
      <c r="C27"/>
      <c r="D27"/>
      <c r="E27" s="8">
        <v>6</v>
      </c>
      <c r="F27"/>
      <c r="G27" s="5"/>
    </row>
    <row r="28" spans="2:7" x14ac:dyDescent="0.2">
      <c r="B28" s="8">
        <v>7</v>
      </c>
      <c r="C28"/>
      <c r="D28"/>
      <c r="E28" s="8">
        <v>7</v>
      </c>
      <c r="F28"/>
      <c r="G28" s="5"/>
    </row>
    <row r="29" spans="2:7" x14ac:dyDescent="0.2">
      <c r="B29" s="8">
        <v>8</v>
      </c>
      <c r="C29"/>
      <c r="D29"/>
      <c r="E29" s="8">
        <v>8</v>
      </c>
      <c r="F29"/>
      <c r="G29" s="5"/>
    </row>
    <row r="30" spans="2:7" x14ac:dyDescent="0.2">
      <c r="B30" s="8" t="s">
        <v>9</v>
      </c>
      <c r="C30"/>
      <c r="D30"/>
      <c r="E30" s="8" t="s">
        <v>9</v>
      </c>
      <c r="F30"/>
      <c r="G30" s="5"/>
    </row>
    <row r="31" spans="2:7" x14ac:dyDescent="0.2">
      <c r="B31" s="8" t="s">
        <v>10</v>
      </c>
      <c r="C31"/>
      <c r="D31"/>
      <c r="E31" s="8" t="s">
        <v>10</v>
      </c>
      <c r="F31"/>
    </row>
    <row r="32" spans="2:7" x14ac:dyDescent="0.2">
      <c r="B32" s="8" t="s">
        <v>79</v>
      </c>
      <c r="C32"/>
      <c r="D32"/>
      <c r="E32" s="8" t="s">
        <v>79</v>
      </c>
      <c r="F32"/>
    </row>
    <row r="33" spans="1:10" x14ac:dyDescent="0.2">
      <c r="B33" s="3"/>
      <c r="C33"/>
      <c r="D33"/>
    </row>
    <row r="34" spans="1:10" x14ac:dyDescent="0.2">
      <c r="B34" s="3"/>
      <c r="C34"/>
      <c r="D34"/>
    </row>
    <row r="35" spans="1:10" x14ac:dyDescent="0.2">
      <c r="A35" s="19" t="s">
        <v>80</v>
      </c>
      <c r="B35" s="17">
        <f>SMALL(B36:B43,1)+SMALL(B36:B43,2)+SMALL(B36:B43,3)+SMALL(B36:B43,4)+SMALL(B36:B43,5)</f>
        <v>-41</v>
      </c>
      <c r="C35"/>
      <c r="D35"/>
    </row>
    <row r="36" spans="1:10" x14ac:dyDescent="0.2">
      <c r="B36" s="3">
        <f t="shared" ref="B36:B42" si="1">MIN(C36:G36)</f>
        <v>-12</v>
      </c>
      <c r="C36" s="23">
        <f>IFERROR(VLOOKUP(C3,ESPNScores!$A$2:$B$206,2,FALSE),400)</f>
        <v>-4</v>
      </c>
      <c r="D36" s="23">
        <f>IFERROR(VLOOKUP(D3,ESPNScores!$A$2:$B$206,2,FALSE),400)</f>
        <v>-12</v>
      </c>
      <c r="E36" s="23">
        <f>IFERROR(VLOOKUP(E3,ESPNScores!$A$2:$B$206,2,FALSE),400)</f>
        <v>13</v>
      </c>
      <c r="F36" s="23">
        <f>IFERROR(VLOOKUP(F3,ESPNScores!$A$2:$B$206,2,FALSE),400)</f>
        <v>50</v>
      </c>
      <c r="G36" s="23">
        <f>IFERROR(VLOOKUP(G3,ESPNScores!$A$2:$B$206,2,FALSE),400)</f>
        <v>-7</v>
      </c>
      <c r="J36" s="1">
        <v>1</v>
      </c>
    </row>
    <row r="37" spans="1:10" x14ac:dyDescent="0.2">
      <c r="B37" s="3">
        <f t="shared" si="1"/>
        <v>-5</v>
      </c>
      <c r="C37" s="23">
        <f>IFERROR(VLOOKUP(C4,ESPNScores!$A$2:$B$206,2,FALSE),400)</f>
        <v>50</v>
      </c>
      <c r="D37" s="23">
        <f>IFERROR(VLOOKUP(D4,ESPNScores!$A$2:$B$206,2,FALSE),400)</f>
        <v>50</v>
      </c>
      <c r="E37" s="23">
        <f>IFERROR(VLOOKUP(E4,ESPNScores!$A$2:$B$206,2,FALSE),400)</f>
        <v>-2</v>
      </c>
      <c r="F37" s="23">
        <f>IFERROR(VLOOKUP(F4,ESPNScores!$A$2:$B$206,2,FALSE),400)</f>
        <v>400</v>
      </c>
      <c r="G37" s="23">
        <f>IFERROR(VLOOKUP(G4,ESPNScores!$A$2:$B$206,2,FALSE),400)</f>
        <v>-5</v>
      </c>
      <c r="J37" s="1">
        <v>2</v>
      </c>
    </row>
    <row r="38" spans="1:10" x14ac:dyDescent="0.2">
      <c r="B38" s="3">
        <f t="shared" si="1"/>
        <v>-6</v>
      </c>
      <c r="C38" s="23">
        <f>IFERROR(VLOOKUP(C5,ESPNScores!$A$2:$B$206,2,FALSE),400)</f>
        <v>400</v>
      </c>
      <c r="D38" s="23">
        <f>IFERROR(VLOOKUP(D5,ESPNScores!$A$2:$B$206,2,FALSE),400)</f>
        <v>50</v>
      </c>
      <c r="E38" s="23">
        <f>IFERROR(VLOOKUP(E5,ESPNScores!$A$2:$B$206,2,FALSE),400)</f>
        <v>-6</v>
      </c>
      <c r="F38" s="23">
        <f>IFERROR(VLOOKUP(F5,ESPNScores!$A$2:$B$206,2,FALSE),400)</f>
        <v>-3</v>
      </c>
      <c r="G38" s="23">
        <f>IFERROR(VLOOKUP(G5,ESPNScores!$A$2:$B$206,2,FALSE),400)</f>
        <v>50</v>
      </c>
      <c r="J38" s="1">
        <v>3</v>
      </c>
    </row>
    <row r="39" spans="1:10" x14ac:dyDescent="0.2">
      <c r="B39" s="3">
        <f t="shared" si="1"/>
        <v>-8</v>
      </c>
      <c r="C39" s="23">
        <f>IFERROR(VLOOKUP(C6,ESPNScores!$A$2:$B$206,2,FALSE),400)</f>
        <v>-4</v>
      </c>
      <c r="D39" s="23">
        <f>IFERROR(VLOOKUP(D6,ESPNScores!$A$2:$B$206,2,FALSE),400)</f>
        <v>-4</v>
      </c>
      <c r="E39" s="23">
        <f>IFERROR(VLOOKUP(E6,ESPNScores!$A$2:$B$206,2,FALSE),400)</f>
        <v>-5</v>
      </c>
      <c r="F39" s="23">
        <f>IFERROR(VLOOKUP(F6,ESPNScores!$A$2:$B$206,2,FALSE),400)</f>
        <v>-8</v>
      </c>
      <c r="G39" s="23">
        <f>IFERROR(VLOOKUP(G6,ESPNScores!$A$2:$B$206,2,FALSE),400)</f>
        <v>0</v>
      </c>
      <c r="J39" s="1">
        <v>4</v>
      </c>
    </row>
    <row r="40" spans="1:10" x14ac:dyDescent="0.2">
      <c r="B40" s="3">
        <f t="shared" si="1"/>
        <v>-5</v>
      </c>
      <c r="C40" s="23">
        <f>IFERROR(VLOOKUP(C7,ESPNScores!$A$2:$B$206,2,FALSE),400)</f>
        <v>2</v>
      </c>
      <c r="D40" s="23">
        <f>IFERROR(VLOOKUP(D7,ESPNScores!$A$2:$B$206,2,FALSE),400)</f>
        <v>6</v>
      </c>
      <c r="E40" s="23">
        <f>IFERROR(VLOOKUP(E7,ESPNScores!$A$2:$B$206,2,FALSE),400)</f>
        <v>50</v>
      </c>
      <c r="F40" s="23">
        <f>IFERROR(VLOOKUP(F7,ESPNScores!$A$2:$B$206,2,FALSE),400)</f>
        <v>50</v>
      </c>
      <c r="G40" s="23">
        <f>IFERROR(VLOOKUP(G7,ESPNScores!$A$2:$B$206,2,FALSE),400)</f>
        <v>-5</v>
      </c>
      <c r="J40" s="1">
        <v>5</v>
      </c>
    </row>
    <row r="41" spans="1:10" x14ac:dyDescent="0.2">
      <c r="B41" s="3">
        <f t="shared" si="1"/>
        <v>-10</v>
      </c>
      <c r="C41" s="23">
        <f>IFERROR(VLOOKUP(C8,ESPNScores!$A$2:$B$206,2,FALSE),400)</f>
        <v>0</v>
      </c>
      <c r="D41" s="23">
        <f>IFERROR(VLOOKUP(D8,ESPNScores!$A$2:$B$206,2,FALSE),400)</f>
        <v>50</v>
      </c>
      <c r="E41" s="23">
        <f>IFERROR(VLOOKUP(E8,ESPNScores!$A$2:$B$206,2,FALSE),400)</f>
        <v>50</v>
      </c>
      <c r="F41" s="23">
        <f>IFERROR(VLOOKUP(F8,ESPNScores!$A$2:$B$206,2,FALSE),400)</f>
        <v>50</v>
      </c>
      <c r="G41" s="23">
        <f>IFERROR(VLOOKUP(G8,ESPNScores!$A$2:$B$206,2,FALSE),400)</f>
        <v>-10</v>
      </c>
      <c r="J41" s="1">
        <v>6</v>
      </c>
    </row>
    <row r="42" spans="1:10" x14ac:dyDescent="0.2">
      <c r="B42" s="3">
        <f t="shared" si="1"/>
        <v>-3</v>
      </c>
      <c r="C42" s="23">
        <f>IFERROR(VLOOKUP(C9,ESPNScores!$A$2:$B$206,2,FALSE),400)</f>
        <v>50</v>
      </c>
      <c r="D42" s="23">
        <f>IFERROR(VLOOKUP(D9,ESPNScores!$A$2:$B$206,2,FALSE),400)</f>
        <v>2</v>
      </c>
      <c r="E42" s="23">
        <f>IFERROR(VLOOKUP(E9,ESPNScores!$A$2:$B$206,2,FALSE),400)</f>
        <v>-3</v>
      </c>
      <c r="F42" s="23">
        <f>IFERROR(VLOOKUP(F9,ESPNScores!$A$2:$B$206,2,FALSE),400)</f>
        <v>400</v>
      </c>
      <c r="G42" s="23">
        <f>IFERROR(VLOOKUP(G9,ESPNScores!$A$2:$B$206,2,FALSE),400)</f>
        <v>50</v>
      </c>
      <c r="J42" s="1">
        <v>7</v>
      </c>
    </row>
    <row r="43" spans="1:10" x14ac:dyDescent="0.2">
      <c r="B43" s="3">
        <f>MIN(C43:I43)</f>
        <v>-5</v>
      </c>
      <c r="C43" s="23">
        <f>IFERROR(VLOOKUP(C10,ESPNScores!$A$2:$B$206,2,FALSE),400)</f>
        <v>50</v>
      </c>
      <c r="D43" s="23">
        <f>IFERROR(VLOOKUP(D10,ESPNScores!$A$2:$B$206,2,FALSE),400)</f>
        <v>50</v>
      </c>
      <c r="E43" s="23">
        <f>IFERROR(VLOOKUP(E10,ESPNScores!$A$2:$B$206,2,FALSE),400)</f>
        <v>-5</v>
      </c>
      <c r="F43" s="23">
        <f>IFERROR(VLOOKUP(F10,ESPNScores!$A$2:$B$206,2,FALSE),400)</f>
        <v>-2</v>
      </c>
      <c r="G43" s="23">
        <f>IFERROR(VLOOKUP(G10,ESPNScores!$A$2:$B$206,2,FALSE),400)</f>
        <v>-1</v>
      </c>
      <c r="H43" s="28"/>
      <c r="I43" s="28"/>
      <c r="J43" s="8">
        <v>8</v>
      </c>
    </row>
    <row r="44" spans="1:10" x14ac:dyDescent="0.2">
      <c r="B44" s="3"/>
      <c r="C44"/>
      <c r="D44"/>
      <c r="E44"/>
      <c r="F44"/>
      <c r="G44"/>
    </row>
    <row r="45" spans="1:10" x14ac:dyDescent="0.2">
      <c r="B45" s="3"/>
      <c r="C45"/>
      <c r="D45"/>
    </row>
    <row r="46" spans="1:10" x14ac:dyDescent="0.2">
      <c r="B46" s="3"/>
      <c r="C46"/>
      <c r="D46"/>
    </row>
    <row r="47" spans="1:10" x14ac:dyDescent="0.2">
      <c r="B47" s="3"/>
      <c r="C47"/>
      <c r="D47"/>
    </row>
    <row r="48" spans="1:10" x14ac:dyDescent="0.2">
      <c r="B48" s="3"/>
      <c r="C48"/>
      <c r="D48"/>
    </row>
    <row r="49" spans="2:4" x14ac:dyDescent="0.2">
      <c r="B49" s="3"/>
      <c r="C49"/>
      <c r="D49"/>
    </row>
    <row r="50" spans="2:4" x14ac:dyDescent="0.2">
      <c r="B50" s="3"/>
      <c r="C50"/>
      <c r="D50"/>
    </row>
    <row r="51" spans="2:4" x14ac:dyDescent="0.2">
      <c r="B51" s="3"/>
      <c r="C51"/>
      <c r="D51"/>
    </row>
    <row r="52" spans="2:4" x14ac:dyDescent="0.2">
      <c r="B52" s="3"/>
      <c r="C52"/>
      <c r="D52"/>
    </row>
    <row r="53" spans="2:4" x14ac:dyDescent="0.2">
      <c r="B53" s="3"/>
      <c r="C53"/>
      <c r="D53"/>
    </row>
    <row r="54" spans="2:4" x14ac:dyDescent="0.2">
      <c r="B54" s="3"/>
      <c r="C54"/>
      <c r="D54"/>
    </row>
    <row r="55" spans="2:4" x14ac:dyDescent="0.2">
      <c r="B55" s="3"/>
      <c r="C55"/>
      <c r="D55"/>
    </row>
    <row r="56" spans="2:4" x14ac:dyDescent="0.2">
      <c r="B56" s="3"/>
      <c r="C56"/>
      <c r="D56"/>
    </row>
    <row r="57" spans="2:4" x14ac:dyDescent="0.2">
      <c r="B57" s="3"/>
      <c r="C57"/>
      <c r="D57"/>
    </row>
    <row r="58" spans="2:4" x14ac:dyDescent="0.2">
      <c r="B58" s="3"/>
      <c r="C58"/>
      <c r="D58"/>
    </row>
    <row r="59" spans="2:4" x14ac:dyDescent="0.2">
      <c r="B59" s="3"/>
      <c r="C59"/>
      <c r="D59"/>
    </row>
    <row r="60" spans="2:4" x14ac:dyDescent="0.2">
      <c r="B60" s="3"/>
      <c r="C60"/>
      <c r="D60"/>
    </row>
    <row r="61" spans="2:4" x14ac:dyDescent="0.2">
      <c r="B61" s="3"/>
      <c r="C61"/>
      <c r="D61"/>
    </row>
    <row r="62" spans="2:4" x14ac:dyDescent="0.2">
      <c r="B62" s="3"/>
      <c r="C62"/>
      <c r="D62"/>
    </row>
    <row r="63" spans="2:4" x14ac:dyDescent="0.2">
      <c r="B63" s="3"/>
      <c r="C63"/>
      <c r="D63"/>
    </row>
    <row r="64" spans="2:4" x14ac:dyDescent="0.2">
      <c r="B64" s="3"/>
      <c r="C64"/>
      <c r="D64"/>
    </row>
    <row r="65" spans="2:4" x14ac:dyDescent="0.2">
      <c r="B65" s="3"/>
      <c r="C65"/>
      <c r="D65"/>
    </row>
    <row r="66" spans="2:4" x14ac:dyDescent="0.2">
      <c r="B66" s="3"/>
      <c r="C66"/>
      <c r="D66"/>
    </row>
    <row r="67" spans="2:4" x14ac:dyDescent="0.2">
      <c r="B67" s="3"/>
      <c r="C67"/>
      <c r="D67"/>
    </row>
    <row r="68" spans="2:4" x14ac:dyDescent="0.2">
      <c r="B68" s="3"/>
      <c r="C68"/>
      <c r="D68"/>
    </row>
    <row r="69" spans="2:4" x14ac:dyDescent="0.2">
      <c r="B69" s="3"/>
      <c r="C69"/>
      <c r="D69"/>
    </row>
    <row r="70" spans="2:4" x14ac:dyDescent="0.2">
      <c r="B70" s="3"/>
      <c r="C70"/>
      <c r="D70"/>
    </row>
    <row r="71" spans="2:4" x14ac:dyDescent="0.2">
      <c r="B71" s="3"/>
      <c r="C71"/>
      <c r="D71"/>
    </row>
    <row r="72" spans="2:4" x14ac:dyDescent="0.2">
      <c r="B72" s="3"/>
      <c r="C72"/>
      <c r="D72"/>
    </row>
    <row r="73" spans="2:4" x14ac:dyDescent="0.2">
      <c r="B73" s="3"/>
      <c r="C73"/>
      <c r="D73"/>
    </row>
    <row r="74" spans="2:4" x14ac:dyDescent="0.2">
      <c r="B74" s="3"/>
      <c r="C74"/>
      <c r="D74"/>
    </row>
    <row r="75" spans="2:4" x14ac:dyDescent="0.2">
      <c r="B75" s="3"/>
      <c r="C75"/>
      <c r="D75"/>
    </row>
    <row r="76" spans="2:4" x14ac:dyDescent="0.2">
      <c r="B76" s="3"/>
      <c r="C76"/>
      <c r="D76"/>
    </row>
    <row r="77" spans="2:4" x14ac:dyDescent="0.2">
      <c r="B77" s="3"/>
      <c r="C77"/>
      <c r="D77"/>
    </row>
    <row r="78" spans="2:4" x14ac:dyDescent="0.2">
      <c r="B78" s="3"/>
      <c r="C78"/>
      <c r="D78"/>
    </row>
    <row r="79" spans="2:4" x14ac:dyDescent="0.2">
      <c r="B79" s="3"/>
      <c r="C79"/>
      <c r="D79"/>
    </row>
    <row r="80" spans="2:4" x14ac:dyDescent="0.2">
      <c r="B80" s="3"/>
      <c r="C80"/>
      <c r="D80"/>
    </row>
    <row r="81" spans="2:4" x14ac:dyDescent="0.2">
      <c r="B81" s="3"/>
      <c r="C81"/>
      <c r="D81"/>
    </row>
    <row r="82" spans="2:4" x14ac:dyDescent="0.2">
      <c r="B82" s="3"/>
      <c r="C82"/>
      <c r="D82"/>
    </row>
    <row r="83" spans="2:4" x14ac:dyDescent="0.2">
      <c r="B83" s="3"/>
      <c r="C83"/>
      <c r="D83"/>
    </row>
    <row r="84" spans="2:4" x14ac:dyDescent="0.2">
      <c r="B84" s="3"/>
      <c r="C84"/>
      <c r="D84"/>
    </row>
    <row r="85" spans="2:4" x14ac:dyDescent="0.2">
      <c r="B85" s="3"/>
      <c r="C85"/>
      <c r="D85"/>
    </row>
    <row r="86" spans="2:4" x14ac:dyDescent="0.2">
      <c r="B86" s="3"/>
      <c r="C86"/>
      <c r="D86"/>
    </row>
    <row r="87" spans="2:4" x14ac:dyDescent="0.2">
      <c r="B87" s="3"/>
      <c r="C87"/>
      <c r="D87"/>
    </row>
    <row r="88" spans="2:4" x14ac:dyDescent="0.2">
      <c r="B88" s="3"/>
      <c r="C88"/>
      <c r="D88"/>
    </row>
    <row r="89" spans="2:4" x14ac:dyDescent="0.2">
      <c r="B89" s="3"/>
      <c r="C89"/>
      <c r="D89"/>
    </row>
    <row r="90" spans="2:4" x14ac:dyDescent="0.2">
      <c r="B90" s="3"/>
      <c r="C90"/>
      <c r="D90"/>
    </row>
    <row r="105" spans="7:7" x14ac:dyDescent="0.2">
      <c r="G105"/>
    </row>
    <row r="106" spans="7:7" x14ac:dyDescent="0.2">
      <c r="G106"/>
    </row>
    <row r="107" spans="7:7" x14ac:dyDescent="0.2">
      <c r="G107"/>
    </row>
    <row r="108" spans="7:7" x14ac:dyDescent="0.2">
      <c r="G108"/>
    </row>
    <row r="109" spans="7:7" x14ac:dyDescent="0.2">
      <c r="G109"/>
    </row>
    <row r="110" spans="7:7" x14ac:dyDescent="0.2">
      <c r="G110"/>
    </row>
    <row r="111" spans="7:7" x14ac:dyDescent="0.2">
      <c r="G111"/>
    </row>
    <row r="112" spans="7:7" x14ac:dyDescent="0.2">
      <c r="G112"/>
    </row>
    <row r="113" spans="7:7" x14ac:dyDescent="0.2">
      <c r="G113"/>
    </row>
    <row r="114" spans="7:7" x14ac:dyDescent="0.2">
      <c r="G114"/>
    </row>
    <row r="115" spans="7:7" x14ac:dyDescent="0.2">
      <c r="G115"/>
    </row>
    <row r="116" spans="7:7" x14ac:dyDescent="0.2">
      <c r="G116"/>
    </row>
    <row r="117" spans="7:7" x14ac:dyDescent="0.2">
      <c r="G117"/>
    </row>
    <row r="118" spans="7:7" x14ac:dyDescent="0.2">
      <c r="G118"/>
    </row>
    <row r="119" spans="7:7" x14ac:dyDescent="0.2">
      <c r="G119"/>
    </row>
    <row r="120" spans="7:7" x14ac:dyDescent="0.2">
      <c r="G120"/>
    </row>
    <row r="121" spans="7:7" x14ac:dyDescent="0.2">
      <c r="G121"/>
    </row>
    <row r="122" spans="7:7" x14ac:dyDescent="0.2">
      <c r="G122"/>
    </row>
    <row r="123" spans="7:7" x14ac:dyDescent="0.2">
      <c r="G123"/>
    </row>
    <row r="124" spans="7:7" x14ac:dyDescent="0.2">
      <c r="G124"/>
    </row>
  </sheetData>
  <dataValidations count="17">
    <dataValidation type="list" allowBlank="1" showInputMessage="1" showErrorMessage="1" sqref="F29" xr:uid="{C5991591-03C9-4CF6-B452-09706BC47153}">
      <formula1>$C$19:$G$19</formula1>
    </dataValidation>
    <dataValidation type="list" allowBlank="1" showInputMessage="1" showErrorMessage="1" sqref="F28" xr:uid="{B5C0C8CF-AF59-4A70-BADA-67F561BBEF6C}">
      <formula1>$C$18:$G$18</formula1>
    </dataValidation>
    <dataValidation type="list" allowBlank="1" showInputMessage="1" showErrorMessage="1" sqref="F27" xr:uid="{C5DEEF33-19EA-4612-B580-A6DCAD85D305}">
      <formula1>$C$17:$G$17</formula1>
    </dataValidation>
    <dataValidation type="list" allowBlank="1" showInputMessage="1" showErrorMessage="1" sqref="F26" xr:uid="{6B90AC0D-1E37-4A4C-B620-EA93B67F211D}">
      <formula1>$C$16:$G$16</formula1>
    </dataValidation>
    <dataValidation type="list" allowBlank="1" showInputMessage="1" showErrorMessage="1" sqref="F25" xr:uid="{83ABDF6D-B92C-4179-ADE0-932CCDA211F0}">
      <formula1>$C$15:$G$15</formula1>
    </dataValidation>
    <dataValidation type="list" allowBlank="1" showInputMessage="1" showErrorMessage="1" sqref="F22" xr:uid="{DF0E54D2-3BB6-4577-93CE-8DDA7A882E9C}">
      <formula1>$C$12:$G$12</formula1>
    </dataValidation>
    <dataValidation type="list" allowBlank="1" showInputMessage="1" showErrorMessage="1" sqref="F24" xr:uid="{2D8EE4E3-DB26-4DED-8372-F62DD00E34E6}">
      <formula1>$C$14:$G$14</formula1>
    </dataValidation>
    <dataValidation type="list" allowBlank="1" showInputMessage="1" showErrorMessage="1" sqref="F23" xr:uid="{CEFC63DF-3040-47F7-9960-AAEE95DE43FE}">
      <formula1>$C$13:$G$13</formula1>
    </dataValidation>
    <dataValidation type="whole" allowBlank="1" showInputMessage="1" showErrorMessage="1" sqref="C32 F32" xr:uid="{1AB34B97-D23C-4BDB-932F-DF30A9F452B8}">
      <formula1>-100</formula1>
      <formula2>100</formula2>
    </dataValidation>
    <dataValidation type="list" allowBlank="1" showInputMessage="1" showErrorMessage="1" sqref="C29" xr:uid="{BC799925-DEF4-4FFF-8EFF-AE93BD4F41DC}">
      <formula1>$C$10:$G$10</formula1>
    </dataValidation>
    <dataValidation type="list" allowBlank="1" showInputMessage="1" showErrorMessage="1" sqref="C28" xr:uid="{FDE532A7-1D97-443B-B2A1-CAB9F3CEE0ED}">
      <formula1>$C$9:$G$9</formula1>
    </dataValidation>
    <dataValidation type="list" allowBlank="1" showInputMessage="1" showErrorMessage="1" sqref="C27" xr:uid="{18266511-C3C0-4B24-8DFD-96E43C4A1C32}">
      <formula1>$C$8:$G$8</formula1>
    </dataValidation>
    <dataValidation type="list" allowBlank="1" showInputMessage="1" showErrorMessage="1" sqref="C26" xr:uid="{F4C486CC-0FE7-4B81-B61F-6D34BE2F5D3F}">
      <formula1>$C$7:$G$7</formula1>
    </dataValidation>
    <dataValidation type="list" allowBlank="1" showInputMessage="1" showErrorMessage="1" sqref="C25" xr:uid="{8116DFED-1437-4466-B79F-A9AE34F25A2A}">
      <formula1>$C$6:$G$6</formula1>
    </dataValidation>
    <dataValidation type="list" allowBlank="1" showInputMessage="1" showErrorMessage="1" sqref="C24" xr:uid="{BB7980E7-7AEC-4A13-A363-A60D99AA7C26}">
      <formula1>$C$5:$G$5</formula1>
    </dataValidation>
    <dataValidation type="list" allowBlank="1" showInputMessage="1" showErrorMessage="1" prompt="Choose a golfer from Group 2" sqref="C23" xr:uid="{E4A9B83B-D4EC-4921-80AF-19AAB5B2FAD9}">
      <formula1>$C$4:$G$4</formula1>
    </dataValidation>
    <dataValidation type="list" allowBlank="1" showInputMessage="1" showErrorMessage="1" prompt="Choose a golfer from Group 1" sqref="C22" xr:uid="{FFC4C3BA-CB46-4CC9-A25D-217B54EA7A92}">
      <formula1>$C$3:$G$3</formula1>
    </dataValidation>
  </dataValidations>
  <pageMargins left="0.7" right="0.7" top="0.75" bottom="0.75" header="0.3" footer="0.3"/>
  <pageSetup orientation="portrait" horizont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CB6A2-43AC-4ECA-B7F5-3B4B44B19375}">
  <sheetPr codeName="Sheet5"/>
  <dimension ref="A1:AD101"/>
  <sheetViews>
    <sheetView topLeftCell="E1" zoomScale="150" zoomScaleNormal="150" workbookViewId="0">
      <selection activeCell="F6" sqref="F6"/>
    </sheetView>
  </sheetViews>
  <sheetFormatPr defaultRowHeight="12.75" x14ac:dyDescent="0.2"/>
  <cols>
    <col min="1" max="1" width="16.5703125" bestFit="1" customWidth="1"/>
    <col min="2" max="2" width="18.85546875" bestFit="1" customWidth="1"/>
    <col min="3" max="3" width="23" bestFit="1" customWidth="1"/>
    <col min="4" max="4" width="30.140625" bestFit="1" customWidth="1"/>
    <col min="5" max="5" width="30" bestFit="1" customWidth="1"/>
    <col min="6" max="6" width="29.7109375" bestFit="1" customWidth="1"/>
    <col min="7" max="7" width="29.85546875" bestFit="1" customWidth="1"/>
    <col min="8" max="8" width="28" bestFit="1" customWidth="1"/>
    <col min="9" max="9" width="30.7109375" bestFit="1" customWidth="1"/>
    <col min="10" max="10" width="30.5703125" bestFit="1" customWidth="1"/>
    <col min="11" max="11" width="34.140625" bestFit="1" customWidth="1"/>
    <col min="12" max="12" width="36.5703125" bestFit="1" customWidth="1"/>
    <col min="13" max="14" width="34.42578125" bestFit="1" customWidth="1"/>
    <col min="15" max="15" width="37.28515625" bestFit="1" customWidth="1"/>
    <col min="16" max="16" width="40.85546875" bestFit="1" customWidth="1"/>
    <col min="17" max="17" width="40" bestFit="1" customWidth="1"/>
    <col min="18" max="18" width="20.42578125" bestFit="1" customWidth="1"/>
    <col min="19" max="19" width="24.28515625" bestFit="1" customWidth="1"/>
    <col min="20" max="20" width="24.7109375" bestFit="1" customWidth="1"/>
    <col min="21" max="21" width="25.140625" bestFit="1" customWidth="1"/>
    <col min="22" max="22" width="28.28515625" bestFit="1" customWidth="1"/>
    <col min="23" max="23" width="26.85546875" bestFit="1" customWidth="1"/>
    <col min="24" max="24" width="28.28515625" bestFit="1" customWidth="1"/>
    <col min="25" max="25" width="31.140625" bestFit="1" customWidth="1"/>
    <col min="26" max="26" width="28.140625" bestFit="1" customWidth="1"/>
    <col min="27" max="27" width="27.140625" bestFit="1" customWidth="1"/>
    <col min="28" max="28" width="27.5703125" bestFit="1" customWidth="1"/>
    <col min="29" max="29" width="22.28515625" bestFit="1" customWidth="1"/>
    <col min="30" max="30" width="25.140625" bestFit="1" customWidth="1"/>
  </cols>
  <sheetData>
    <row r="1" spans="1:30" x14ac:dyDescent="0.2">
      <c r="A1" t="s">
        <v>81</v>
      </c>
      <c r="B1" t="s">
        <v>82</v>
      </c>
      <c r="C1" t="s">
        <v>83</v>
      </c>
      <c r="D1" t="s">
        <v>84</v>
      </c>
      <c r="E1" t="s">
        <v>85</v>
      </c>
      <c r="F1" t="s">
        <v>86</v>
      </c>
      <c r="G1" t="s">
        <v>87</v>
      </c>
      <c r="H1" t="s">
        <v>88</v>
      </c>
      <c r="I1" t="s">
        <v>89</v>
      </c>
      <c r="J1" t="s">
        <v>90</v>
      </c>
      <c r="K1" t="s">
        <v>91</v>
      </c>
      <c r="L1" t="s">
        <v>92</v>
      </c>
      <c r="M1" t="s">
        <v>93</v>
      </c>
      <c r="N1" t="s">
        <v>94</v>
      </c>
      <c r="O1" t="s">
        <v>95</v>
      </c>
      <c r="P1" t="s">
        <v>96</v>
      </c>
      <c r="Q1" t="s">
        <v>97</v>
      </c>
      <c r="R1" t="s">
        <v>98</v>
      </c>
      <c r="S1" t="s">
        <v>99</v>
      </c>
      <c r="T1" t="s">
        <v>100</v>
      </c>
      <c r="U1" t="s">
        <v>101</v>
      </c>
      <c r="V1" t="s">
        <v>102</v>
      </c>
      <c r="W1" t="s">
        <v>103</v>
      </c>
      <c r="X1" t="s">
        <v>104</v>
      </c>
      <c r="Y1" t="s">
        <v>105</v>
      </c>
      <c r="Z1" t="s">
        <v>106</v>
      </c>
      <c r="AA1" t="s">
        <v>107</v>
      </c>
      <c r="AB1" t="s">
        <v>108</v>
      </c>
      <c r="AC1" t="s">
        <v>109</v>
      </c>
      <c r="AD1" t="s">
        <v>110</v>
      </c>
    </row>
    <row r="2" spans="1:30" x14ac:dyDescent="0.2">
      <c r="A2">
        <v>11688090</v>
      </c>
      <c r="B2">
        <v>1</v>
      </c>
      <c r="C2">
        <v>18417</v>
      </c>
      <c r="D2" t="s">
        <v>111</v>
      </c>
      <c r="E2" t="s">
        <v>112</v>
      </c>
      <c r="F2" t="s">
        <v>26</v>
      </c>
      <c r="G2" s="29">
        <v>35237</v>
      </c>
      <c r="H2" t="s">
        <v>113</v>
      </c>
      <c r="I2" t="b">
        <v>0</v>
      </c>
      <c r="J2">
        <v>237</v>
      </c>
      <c r="K2" t="s">
        <v>114</v>
      </c>
      <c r="L2" t="s">
        <v>115</v>
      </c>
      <c r="M2" t="s">
        <v>116</v>
      </c>
      <c r="N2" t="s">
        <v>115</v>
      </c>
      <c r="O2">
        <v>6</v>
      </c>
      <c r="P2" t="s">
        <v>117</v>
      </c>
      <c r="Q2" t="s">
        <v>118</v>
      </c>
      <c r="R2" t="b">
        <v>0</v>
      </c>
      <c r="S2">
        <v>-121.18646404668607</v>
      </c>
      <c r="T2">
        <v>40.803737754562803</v>
      </c>
      <c r="U2">
        <v>574.81719134397565</v>
      </c>
      <c r="V2">
        <v>14.3704</v>
      </c>
      <c r="W2">
        <v>40</v>
      </c>
      <c r="X2">
        <v>40</v>
      </c>
      <c r="Y2">
        <v>1</v>
      </c>
      <c r="Z2">
        <v>1</v>
      </c>
      <c r="AA2">
        <v>10</v>
      </c>
      <c r="AB2" s="30">
        <v>45725</v>
      </c>
      <c r="AC2">
        <v>87</v>
      </c>
      <c r="AD2">
        <v>8696</v>
      </c>
    </row>
    <row r="3" spans="1:30" x14ac:dyDescent="0.2">
      <c r="A3">
        <v>11693895</v>
      </c>
      <c r="B3">
        <v>2</v>
      </c>
      <c r="C3">
        <v>10091</v>
      </c>
      <c r="D3" t="s">
        <v>121</v>
      </c>
      <c r="E3" t="s">
        <v>122</v>
      </c>
      <c r="F3" t="s">
        <v>27</v>
      </c>
      <c r="G3" s="29">
        <v>32632</v>
      </c>
      <c r="H3" t="s">
        <v>113</v>
      </c>
      <c r="I3" t="b">
        <v>0</v>
      </c>
      <c r="J3">
        <v>1001</v>
      </c>
      <c r="K3" t="s">
        <v>123</v>
      </c>
      <c r="L3" t="s">
        <v>76</v>
      </c>
      <c r="M3" t="s">
        <v>76</v>
      </c>
      <c r="N3" t="s">
        <v>124</v>
      </c>
      <c r="O3">
        <v>4</v>
      </c>
      <c r="P3" t="s">
        <v>119</v>
      </c>
      <c r="Q3" t="s">
        <v>120</v>
      </c>
      <c r="R3" t="b">
        <v>0</v>
      </c>
      <c r="S3">
        <v>-68.457391167169234</v>
      </c>
      <c r="T3">
        <v>93.833732534737166</v>
      </c>
      <c r="U3">
        <v>386.07352597393452</v>
      </c>
      <c r="V3">
        <v>8.3928999999999991</v>
      </c>
      <c r="W3">
        <v>46</v>
      </c>
      <c r="X3">
        <v>46</v>
      </c>
      <c r="Y3">
        <v>3</v>
      </c>
      <c r="Z3">
        <v>2</v>
      </c>
      <c r="AA3">
        <v>10</v>
      </c>
      <c r="AB3" s="30">
        <v>45725</v>
      </c>
      <c r="AC3">
        <v>87</v>
      </c>
      <c r="AD3">
        <v>8696</v>
      </c>
    </row>
    <row r="4" spans="1:30" x14ac:dyDescent="0.2">
      <c r="A4">
        <v>11693894</v>
      </c>
      <c r="B4">
        <v>3</v>
      </c>
      <c r="C4">
        <v>19895</v>
      </c>
      <c r="D4" t="s">
        <v>132</v>
      </c>
      <c r="E4" t="s">
        <v>133</v>
      </c>
      <c r="F4" t="s">
        <v>36</v>
      </c>
      <c r="G4" s="29">
        <v>34267</v>
      </c>
      <c r="H4" t="s">
        <v>113</v>
      </c>
      <c r="I4" t="b">
        <v>0</v>
      </c>
      <c r="J4">
        <v>237</v>
      </c>
      <c r="K4" t="s">
        <v>114</v>
      </c>
      <c r="L4" t="s">
        <v>115</v>
      </c>
      <c r="M4" t="s">
        <v>116</v>
      </c>
      <c r="N4" t="s">
        <v>115</v>
      </c>
      <c r="O4">
        <v>6</v>
      </c>
      <c r="P4" t="s">
        <v>117</v>
      </c>
      <c r="Q4" t="s">
        <v>118</v>
      </c>
      <c r="R4" t="b">
        <v>0</v>
      </c>
      <c r="S4">
        <v>-68.474497319869428</v>
      </c>
      <c r="T4">
        <v>2.5676146658356545</v>
      </c>
      <c r="U4">
        <v>330.86770299277305</v>
      </c>
      <c r="V4">
        <v>8.2716999999999992</v>
      </c>
      <c r="W4">
        <v>38</v>
      </c>
      <c r="X4">
        <v>40</v>
      </c>
      <c r="Y4">
        <v>2</v>
      </c>
      <c r="Z4">
        <v>3</v>
      </c>
      <c r="AA4">
        <v>10</v>
      </c>
      <c r="AB4" s="30">
        <v>45725</v>
      </c>
      <c r="AC4">
        <v>87</v>
      </c>
      <c r="AD4">
        <v>8696</v>
      </c>
    </row>
    <row r="5" spans="1:30" x14ac:dyDescent="0.2">
      <c r="A5">
        <v>11693892</v>
      </c>
      <c r="B5">
        <v>5</v>
      </c>
      <c r="C5">
        <v>23950</v>
      </c>
      <c r="D5" t="s">
        <v>304</v>
      </c>
      <c r="E5" t="s">
        <v>305</v>
      </c>
      <c r="F5" t="s">
        <v>392</v>
      </c>
      <c r="G5" s="29">
        <v>36464</v>
      </c>
      <c r="H5" t="s">
        <v>113</v>
      </c>
      <c r="I5" t="b">
        <v>0</v>
      </c>
      <c r="J5">
        <v>216</v>
      </c>
      <c r="K5" t="s">
        <v>245</v>
      </c>
      <c r="L5" t="s">
        <v>246</v>
      </c>
      <c r="M5" t="s">
        <v>247</v>
      </c>
      <c r="N5" t="s">
        <v>246</v>
      </c>
      <c r="O5">
        <v>4</v>
      </c>
      <c r="P5" t="s">
        <v>119</v>
      </c>
      <c r="Q5" t="s">
        <v>120</v>
      </c>
      <c r="R5" t="b">
        <v>0</v>
      </c>
      <c r="S5">
        <v>-35.367883776969563</v>
      </c>
      <c r="T5">
        <v>82.331223285642579</v>
      </c>
      <c r="U5">
        <v>259.65367063036314</v>
      </c>
      <c r="V5">
        <v>6.1821999999999999</v>
      </c>
      <c r="W5">
        <v>42</v>
      </c>
      <c r="X5">
        <v>42</v>
      </c>
      <c r="Y5">
        <v>5</v>
      </c>
      <c r="Z5">
        <v>4</v>
      </c>
      <c r="AA5">
        <v>10</v>
      </c>
      <c r="AB5" s="30">
        <v>45725</v>
      </c>
      <c r="AC5">
        <v>87</v>
      </c>
      <c r="AD5">
        <v>8696</v>
      </c>
    </row>
    <row r="6" spans="1:30" x14ac:dyDescent="0.2">
      <c r="A6">
        <v>11693893</v>
      </c>
      <c r="B6">
        <v>4</v>
      </c>
      <c r="C6">
        <v>22085</v>
      </c>
      <c r="D6" t="s">
        <v>158</v>
      </c>
      <c r="E6" t="s">
        <v>159</v>
      </c>
      <c r="F6" s="67" t="s">
        <v>44</v>
      </c>
      <c r="G6" s="29">
        <v>35467</v>
      </c>
      <c r="H6" t="s">
        <v>113</v>
      </c>
      <c r="I6" t="b">
        <v>0</v>
      </c>
      <c r="J6">
        <v>237</v>
      </c>
      <c r="K6" t="s">
        <v>114</v>
      </c>
      <c r="L6" t="s">
        <v>115</v>
      </c>
      <c r="M6" t="s">
        <v>116</v>
      </c>
      <c r="N6" t="s">
        <v>115</v>
      </c>
      <c r="O6">
        <v>6</v>
      </c>
      <c r="P6" t="s">
        <v>117</v>
      </c>
      <c r="Q6" t="s">
        <v>118</v>
      </c>
      <c r="R6" t="b">
        <v>0</v>
      </c>
      <c r="S6">
        <v>-41.398658801481531</v>
      </c>
      <c r="T6">
        <v>79.08433895644211</v>
      </c>
      <c r="U6">
        <v>275.86660982617332</v>
      </c>
      <c r="V6">
        <v>6.5682999999999998</v>
      </c>
      <c r="W6">
        <v>42</v>
      </c>
      <c r="X6">
        <v>42</v>
      </c>
      <c r="Y6">
        <v>4</v>
      </c>
      <c r="Z6">
        <v>5</v>
      </c>
      <c r="AA6">
        <v>10</v>
      </c>
      <c r="AB6" s="30">
        <v>45725</v>
      </c>
      <c r="AC6">
        <v>87</v>
      </c>
      <c r="AD6">
        <v>8696</v>
      </c>
    </row>
    <row r="7" spans="1:30" x14ac:dyDescent="0.2">
      <c r="A7">
        <v>11693891</v>
      </c>
      <c r="B7">
        <v>6</v>
      </c>
      <c r="C7">
        <v>13562</v>
      </c>
      <c r="D7" t="s">
        <v>457</v>
      </c>
      <c r="E7" t="s">
        <v>194</v>
      </c>
      <c r="F7" t="s">
        <v>73</v>
      </c>
      <c r="G7" s="29">
        <v>33659</v>
      </c>
      <c r="H7" t="s">
        <v>113</v>
      </c>
      <c r="I7" t="b">
        <v>0</v>
      </c>
      <c r="J7">
        <v>111</v>
      </c>
      <c r="K7" t="s">
        <v>195</v>
      </c>
      <c r="L7" t="s">
        <v>196</v>
      </c>
      <c r="M7" t="s">
        <v>197</v>
      </c>
      <c r="N7" t="s">
        <v>196</v>
      </c>
      <c r="O7">
        <v>5</v>
      </c>
      <c r="P7" t="s">
        <v>195</v>
      </c>
      <c r="Q7" t="s">
        <v>198</v>
      </c>
      <c r="R7" t="b">
        <v>0</v>
      </c>
      <c r="S7">
        <v>-35.133264102514005</v>
      </c>
      <c r="T7">
        <v>73.608719667810817</v>
      </c>
      <c r="U7">
        <v>250.98130689114143</v>
      </c>
      <c r="V7">
        <v>5.5773999999999999</v>
      </c>
      <c r="W7">
        <v>45</v>
      </c>
      <c r="X7">
        <v>45</v>
      </c>
      <c r="Y7">
        <v>6</v>
      </c>
      <c r="Z7">
        <v>6</v>
      </c>
      <c r="AA7">
        <v>10</v>
      </c>
      <c r="AB7" s="30">
        <v>45725</v>
      </c>
      <c r="AC7">
        <v>87</v>
      </c>
      <c r="AD7">
        <v>8696</v>
      </c>
    </row>
    <row r="8" spans="1:30" x14ac:dyDescent="0.2">
      <c r="A8">
        <v>11693889</v>
      </c>
      <c r="B8">
        <v>8</v>
      </c>
      <c r="C8">
        <v>23604</v>
      </c>
      <c r="D8" t="s">
        <v>149</v>
      </c>
      <c r="E8" t="s">
        <v>150</v>
      </c>
      <c r="F8" t="s">
        <v>55</v>
      </c>
      <c r="G8" s="29">
        <v>34312</v>
      </c>
      <c r="H8" t="s">
        <v>113</v>
      </c>
      <c r="I8" t="b">
        <v>0</v>
      </c>
      <c r="J8">
        <v>237</v>
      </c>
      <c r="K8" t="s">
        <v>114</v>
      </c>
      <c r="L8" t="s">
        <v>115</v>
      </c>
      <c r="M8" t="s">
        <v>116</v>
      </c>
      <c r="N8" t="s">
        <v>115</v>
      </c>
      <c r="O8">
        <v>6</v>
      </c>
      <c r="P8" t="s">
        <v>117</v>
      </c>
      <c r="Q8" t="s">
        <v>118</v>
      </c>
      <c r="R8" t="b">
        <v>0</v>
      </c>
      <c r="S8">
        <v>-49.639159427764589</v>
      </c>
      <c r="T8">
        <v>12.338124460189739</v>
      </c>
      <c r="U8">
        <v>176.46217118774589</v>
      </c>
      <c r="V8">
        <v>3.8361000000000001</v>
      </c>
      <c r="W8">
        <v>46</v>
      </c>
      <c r="X8">
        <v>46</v>
      </c>
      <c r="Y8">
        <v>7</v>
      </c>
      <c r="Z8">
        <v>7</v>
      </c>
      <c r="AA8">
        <v>10</v>
      </c>
      <c r="AB8" s="30">
        <v>45725</v>
      </c>
      <c r="AC8">
        <v>87</v>
      </c>
      <c r="AD8">
        <v>8696</v>
      </c>
    </row>
    <row r="9" spans="1:30" x14ac:dyDescent="0.2">
      <c r="A9">
        <v>11693888</v>
      </c>
      <c r="B9">
        <v>9</v>
      </c>
      <c r="C9">
        <v>14139</v>
      </c>
      <c r="D9" t="s">
        <v>160</v>
      </c>
      <c r="E9" t="s">
        <v>161</v>
      </c>
      <c r="F9" t="s">
        <v>162</v>
      </c>
      <c r="G9" s="29">
        <v>34088</v>
      </c>
      <c r="H9" t="s">
        <v>113</v>
      </c>
      <c r="I9" t="b">
        <v>0</v>
      </c>
      <c r="J9">
        <v>237</v>
      </c>
      <c r="K9" t="s">
        <v>114</v>
      </c>
      <c r="L9" t="s">
        <v>115</v>
      </c>
      <c r="M9" t="s">
        <v>116</v>
      </c>
      <c r="N9" t="s">
        <v>115</v>
      </c>
      <c r="O9">
        <v>6</v>
      </c>
      <c r="P9" t="s">
        <v>117</v>
      </c>
      <c r="Q9" t="s">
        <v>118</v>
      </c>
      <c r="R9" t="b">
        <v>0</v>
      </c>
      <c r="S9">
        <v>-20.491842263381749</v>
      </c>
      <c r="T9">
        <v>53.230656758713259</v>
      </c>
      <c r="U9">
        <v>157.44071240747238</v>
      </c>
      <c r="V9">
        <v>3.6614</v>
      </c>
      <c r="W9">
        <v>43</v>
      </c>
      <c r="X9">
        <v>43</v>
      </c>
      <c r="Y9">
        <v>19</v>
      </c>
      <c r="Z9">
        <v>8</v>
      </c>
      <c r="AA9">
        <v>10</v>
      </c>
      <c r="AB9" s="30">
        <v>45725</v>
      </c>
      <c r="AC9">
        <v>87</v>
      </c>
      <c r="AD9">
        <v>8696</v>
      </c>
    </row>
    <row r="10" spans="1:30" x14ac:dyDescent="0.2">
      <c r="A10">
        <v>11693885</v>
      </c>
      <c r="B10">
        <v>12</v>
      </c>
      <c r="C10">
        <v>14796</v>
      </c>
      <c r="D10" t="s">
        <v>382</v>
      </c>
      <c r="E10" s="19" t="s">
        <v>558</v>
      </c>
      <c r="F10" s="19" t="s">
        <v>559</v>
      </c>
      <c r="G10" s="29">
        <v>33525</v>
      </c>
      <c r="H10" t="s">
        <v>113</v>
      </c>
      <c r="I10" t="b">
        <v>0</v>
      </c>
      <c r="J10">
        <v>253</v>
      </c>
      <c r="K10" t="s">
        <v>145</v>
      </c>
      <c r="L10" t="s">
        <v>76</v>
      </c>
      <c r="M10" t="s">
        <v>76</v>
      </c>
      <c r="N10" t="s">
        <v>146</v>
      </c>
      <c r="O10">
        <v>4</v>
      </c>
      <c r="P10" t="s">
        <v>119</v>
      </c>
      <c r="Q10" t="s">
        <v>120</v>
      </c>
      <c r="R10" t="b">
        <v>0</v>
      </c>
      <c r="S10">
        <v>-30.030001226996191</v>
      </c>
      <c r="T10">
        <v>38.364953946141739</v>
      </c>
      <c r="U10">
        <v>140.76137843035349</v>
      </c>
      <c r="V10">
        <v>3.5190000000000001</v>
      </c>
      <c r="W10">
        <v>32</v>
      </c>
      <c r="X10">
        <v>40</v>
      </c>
      <c r="Y10">
        <v>15</v>
      </c>
      <c r="Z10">
        <v>9</v>
      </c>
      <c r="AA10">
        <v>10</v>
      </c>
      <c r="AB10" s="30">
        <v>45725</v>
      </c>
      <c r="AC10">
        <v>87</v>
      </c>
      <c r="AD10">
        <v>8696</v>
      </c>
    </row>
    <row r="11" spans="1:30" x14ac:dyDescent="0.2">
      <c r="A11">
        <v>11693887</v>
      </c>
      <c r="B11">
        <v>10</v>
      </c>
      <c r="C11">
        <v>12294</v>
      </c>
      <c r="D11" t="s">
        <v>165</v>
      </c>
      <c r="E11" t="s">
        <v>166</v>
      </c>
      <c r="F11" t="s">
        <v>33</v>
      </c>
      <c r="G11" s="29">
        <v>33257</v>
      </c>
      <c r="H11" t="s">
        <v>113</v>
      </c>
      <c r="I11" t="b">
        <v>0</v>
      </c>
      <c r="J11">
        <v>253</v>
      </c>
      <c r="K11" t="s">
        <v>145</v>
      </c>
      <c r="L11" t="s">
        <v>76</v>
      </c>
      <c r="M11" t="s">
        <v>76</v>
      </c>
      <c r="N11" t="s">
        <v>146</v>
      </c>
      <c r="O11">
        <v>4</v>
      </c>
      <c r="P11" t="s">
        <v>119</v>
      </c>
      <c r="Q11" t="s">
        <v>120</v>
      </c>
      <c r="R11" t="b">
        <v>0</v>
      </c>
      <c r="S11">
        <v>-38.177098443730422</v>
      </c>
      <c r="T11">
        <v>23.285218872151098</v>
      </c>
      <c r="U11">
        <v>182.3169158523084</v>
      </c>
      <c r="V11">
        <v>3.6463000000000001</v>
      </c>
      <c r="W11">
        <v>50</v>
      </c>
      <c r="X11">
        <v>50</v>
      </c>
      <c r="Y11">
        <v>9</v>
      </c>
      <c r="Z11">
        <v>10</v>
      </c>
      <c r="AA11">
        <v>10</v>
      </c>
      <c r="AB11" s="30">
        <v>45725</v>
      </c>
      <c r="AC11">
        <v>87</v>
      </c>
      <c r="AD11">
        <v>8696</v>
      </c>
    </row>
    <row r="12" spans="1:30" x14ac:dyDescent="0.2">
      <c r="A12">
        <v>11693896</v>
      </c>
      <c r="B12">
        <v>16</v>
      </c>
      <c r="C12">
        <v>19841</v>
      </c>
      <c r="D12" t="s">
        <v>460</v>
      </c>
      <c r="E12" s="19" t="s">
        <v>558</v>
      </c>
      <c r="F12" s="19" t="s">
        <v>559</v>
      </c>
      <c r="G12" s="29">
        <v>34228</v>
      </c>
      <c r="H12" t="s">
        <v>113</v>
      </c>
      <c r="I12" t="b">
        <v>0</v>
      </c>
      <c r="J12">
        <v>237</v>
      </c>
      <c r="K12" t="s">
        <v>114</v>
      </c>
      <c r="L12" t="s">
        <v>115</v>
      </c>
      <c r="M12" t="s">
        <v>116</v>
      </c>
      <c r="N12" t="s">
        <v>115</v>
      </c>
      <c r="O12">
        <v>6</v>
      </c>
      <c r="P12" t="s">
        <v>117</v>
      </c>
      <c r="Q12" t="s">
        <v>118</v>
      </c>
      <c r="R12" t="b">
        <v>0</v>
      </c>
      <c r="S12">
        <v>-22.940786749482431</v>
      </c>
      <c r="T12">
        <v>9.3852331153787709</v>
      </c>
      <c r="U12">
        <v>137.21574036175556</v>
      </c>
      <c r="V12">
        <v>3.4304000000000001</v>
      </c>
      <c r="W12">
        <v>9</v>
      </c>
      <c r="X12">
        <v>40</v>
      </c>
      <c r="Y12">
        <v>10</v>
      </c>
      <c r="Z12">
        <v>11</v>
      </c>
      <c r="AA12">
        <v>10</v>
      </c>
      <c r="AB12" s="30">
        <v>45725</v>
      </c>
      <c r="AC12">
        <v>87</v>
      </c>
      <c r="AD12">
        <v>8696</v>
      </c>
    </row>
    <row r="13" spans="1:30" x14ac:dyDescent="0.2">
      <c r="A13">
        <v>11693882</v>
      </c>
      <c r="B13">
        <v>15</v>
      </c>
      <c r="C13">
        <v>18634</v>
      </c>
      <c r="D13" t="s">
        <v>471</v>
      </c>
      <c r="E13" t="s">
        <v>472</v>
      </c>
      <c r="F13" t="s">
        <v>450</v>
      </c>
      <c r="G13" s="29">
        <v>35010</v>
      </c>
      <c r="H13" t="s">
        <v>113</v>
      </c>
      <c r="I13" t="b">
        <v>0</v>
      </c>
      <c r="J13">
        <v>237</v>
      </c>
      <c r="K13" t="s">
        <v>114</v>
      </c>
      <c r="L13" t="s">
        <v>115</v>
      </c>
      <c r="M13" t="s">
        <v>116</v>
      </c>
      <c r="N13" t="s">
        <v>115</v>
      </c>
      <c r="O13">
        <v>6</v>
      </c>
      <c r="P13" t="s">
        <v>117</v>
      </c>
      <c r="Q13" t="s">
        <v>118</v>
      </c>
      <c r="R13" t="b">
        <v>0</v>
      </c>
      <c r="S13">
        <v>-10.568891772552561</v>
      </c>
      <c r="T13">
        <v>57.639188145529204</v>
      </c>
      <c r="U13">
        <v>151.42501848327916</v>
      </c>
      <c r="V13">
        <v>3.4415</v>
      </c>
      <c r="W13">
        <v>44</v>
      </c>
      <c r="X13">
        <v>44</v>
      </c>
      <c r="Y13">
        <v>30</v>
      </c>
      <c r="Z13">
        <v>12</v>
      </c>
      <c r="AA13">
        <v>10</v>
      </c>
      <c r="AB13" s="30">
        <v>45725</v>
      </c>
      <c r="AC13">
        <v>87</v>
      </c>
      <c r="AD13">
        <v>8696</v>
      </c>
    </row>
    <row r="14" spans="1:30" x14ac:dyDescent="0.2">
      <c r="A14">
        <v>11693881</v>
      </c>
      <c r="B14">
        <v>17</v>
      </c>
      <c r="C14">
        <v>15466</v>
      </c>
      <c r="D14" s="19" t="s">
        <v>125</v>
      </c>
      <c r="E14" s="19" t="s">
        <v>126</v>
      </c>
      <c r="F14" s="91" t="s">
        <v>31</v>
      </c>
      <c r="G14" s="29">
        <v>33680</v>
      </c>
      <c r="H14" t="s">
        <v>113</v>
      </c>
      <c r="I14" t="b">
        <v>0</v>
      </c>
      <c r="J14">
        <v>237</v>
      </c>
      <c r="K14" t="s">
        <v>114</v>
      </c>
      <c r="L14" t="s">
        <v>115</v>
      </c>
      <c r="M14" t="s">
        <v>116</v>
      </c>
      <c r="N14" t="s">
        <v>115</v>
      </c>
      <c r="O14">
        <v>6</v>
      </c>
      <c r="P14" t="s">
        <v>117</v>
      </c>
      <c r="Q14" t="s">
        <v>118</v>
      </c>
      <c r="R14" t="b">
        <v>0</v>
      </c>
      <c r="S14">
        <v>-33.235356263938847</v>
      </c>
      <c r="T14">
        <v>29.593886081617335</v>
      </c>
      <c r="U14">
        <v>137.12371542802504</v>
      </c>
      <c r="V14">
        <v>3.4281000000000001</v>
      </c>
      <c r="W14">
        <v>37</v>
      </c>
      <c r="X14">
        <v>40</v>
      </c>
      <c r="Y14">
        <v>11</v>
      </c>
      <c r="Z14">
        <v>13</v>
      </c>
      <c r="AA14">
        <v>10</v>
      </c>
      <c r="AB14" s="30">
        <v>45725</v>
      </c>
      <c r="AC14">
        <v>87</v>
      </c>
      <c r="AD14">
        <v>8696</v>
      </c>
    </row>
    <row r="15" spans="1:30" x14ac:dyDescent="0.2">
      <c r="A15">
        <v>11693890</v>
      </c>
      <c r="B15">
        <v>7</v>
      </c>
      <c r="C15">
        <v>14578</v>
      </c>
      <c r="D15" t="s">
        <v>208</v>
      </c>
      <c r="E15" t="s">
        <v>209</v>
      </c>
      <c r="F15" t="s">
        <v>34</v>
      </c>
      <c r="G15" s="29">
        <v>32610</v>
      </c>
      <c r="H15" t="s">
        <v>113</v>
      </c>
      <c r="I15" t="b">
        <v>0</v>
      </c>
      <c r="J15">
        <v>237</v>
      </c>
      <c r="K15" t="s">
        <v>114</v>
      </c>
      <c r="L15" t="s">
        <v>115</v>
      </c>
      <c r="M15" t="s">
        <v>116</v>
      </c>
      <c r="N15" t="s">
        <v>115</v>
      </c>
      <c r="O15">
        <v>6</v>
      </c>
      <c r="P15" t="s">
        <v>117</v>
      </c>
      <c r="Q15" t="s">
        <v>118</v>
      </c>
      <c r="R15" t="b">
        <v>0</v>
      </c>
      <c r="S15">
        <v>-26.36842311851332</v>
      </c>
      <c r="T15">
        <v>101.95340857320504</v>
      </c>
      <c r="U15">
        <v>208.11680442429261</v>
      </c>
      <c r="V15">
        <v>5.0759999999999996</v>
      </c>
      <c r="W15">
        <v>41</v>
      </c>
      <c r="X15">
        <v>41</v>
      </c>
      <c r="Y15">
        <v>17</v>
      </c>
      <c r="Z15">
        <v>14</v>
      </c>
      <c r="AA15">
        <v>10</v>
      </c>
      <c r="AB15" s="30">
        <v>45725</v>
      </c>
      <c r="AC15">
        <v>87</v>
      </c>
      <c r="AD15">
        <v>8696</v>
      </c>
    </row>
    <row r="16" spans="1:30" x14ac:dyDescent="0.2">
      <c r="A16">
        <v>11693878</v>
      </c>
      <c r="B16">
        <v>19</v>
      </c>
      <c r="C16">
        <v>18841</v>
      </c>
      <c r="D16" t="s">
        <v>127</v>
      </c>
      <c r="E16" t="s">
        <v>128</v>
      </c>
      <c r="F16" t="s">
        <v>53</v>
      </c>
      <c r="G16" s="29">
        <v>35691</v>
      </c>
      <c r="H16" t="s">
        <v>113</v>
      </c>
      <c r="I16" t="b">
        <v>0</v>
      </c>
      <c r="J16">
        <v>169</v>
      </c>
      <c r="K16" t="s">
        <v>129</v>
      </c>
      <c r="L16" t="s">
        <v>130</v>
      </c>
      <c r="M16" t="s">
        <v>131</v>
      </c>
      <c r="N16" t="s">
        <v>130</v>
      </c>
      <c r="O16">
        <v>4</v>
      </c>
      <c r="P16" t="s">
        <v>119</v>
      </c>
      <c r="Q16" t="s">
        <v>120</v>
      </c>
      <c r="R16" t="b">
        <v>0</v>
      </c>
      <c r="S16">
        <v>-46.31535199150396</v>
      </c>
      <c r="T16">
        <v>3.5978433299218402</v>
      </c>
      <c r="U16">
        <v>130.99855830089444</v>
      </c>
      <c r="V16">
        <v>3.2749999999999999</v>
      </c>
      <c r="W16">
        <v>39</v>
      </c>
      <c r="X16">
        <v>40</v>
      </c>
      <c r="Y16">
        <v>8</v>
      </c>
      <c r="Z16">
        <v>15</v>
      </c>
      <c r="AA16">
        <v>10</v>
      </c>
      <c r="AB16" s="30">
        <v>45725</v>
      </c>
      <c r="AC16">
        <v>87</v>
      </c>
      <c r="AD16">
        <v>8696</v>
      </c>
    </row>
    <row r="17" spans="1:30" x14ac:dyDescent="0.2">
      <c r="A17">
        <v>11693886</v>
      </c>
      <c r="B17">
        <v>11</v>
      </c>
      <c r="C17">
        <v>13872</v>
      </c>
      <c r="D17" t="s">
        <v>153</v>
      </c>
      <c r="E17" t="s">
        <v>154</v>
      </c>
      <c r="F17" t="s">
        <v>54</v>
      </c>
      <c r="G17" s="29">
        <v>31570</v>
      </c>
      <c r="H17" t="s">
        <v>113</v>
      </c>
      <c r="I17" t="b">
        <v>0</v>
      </c>
      <c r="J17">
        <v>237</v>
      </c>
      <c r="K17" t="s">
        <v>114</v>
      </c>
      <c r="L17" t="s">
        <v>115</v>
      </c>
      <c r="M17" t="s">
        <v>116</v>
      </c>
      <c r="N17" t="s">
        <v>115</v>
      </c>
      <c r="O17">
        <v>6</v>
      </c>
      <c r="P17" t="s">
        <v>117</v>
      </c>
      <c r="Q17" t="s">
        <v>118</v>
      </c>
      <c r="R17" t="b">
        <v>0</v>
      </c>
      <c r="S17">
        <v>-30.060353150838971</v>
      </c>
      <c r="T17">
        <v>30.98125223077647</v>
      </c>
      <c r="U17">
        <v>158.89162476632993</v>
      </c>
      <c r="V17">
        <v>3.6112000000000002</v>
      </c>
      <c r="W17">
        <v>44</v>
      </c>
      <c r="X17">
        <v>44</v>
      </c>
      <c r="Y17">
        <v>12</v>
      </c>
      <c r="Z17">
        <v>16</v>
      </c>
      <c r="AA17">
        <v>10</v>
      </c>
      <c r="AB17" s="30">
        <v>45725</v>
      </c>
      <c r="AC17">
        <v>87</v>
      </c>
      <c r="AD17">
        <v>8696</v>
      </c>
    </row>
    <row r="18" spans="1:30" x14ac:dyDescent="0.2">
      <c r="A18">
        <v>11693883</v>
      </c>
      <c r="B18">
        <v>14</v>
      </c>
      <c r="C18">
        <v>13900</v>
      </c>
      <c r="D18" t="s">
        <v>188</v>
      </c>
      <c r="E18" t="s">
        <v>189</v>
      </c>
      <c r="F18" t="s">
        <v>190</v>
      </c>
      <c r="G18" s="29">
        <v>31869</v>
      </c>
      <c r="H18" t="s">
        <v>113</v>
      </c>
      <c r="I18" t="b">
        <v>0</v>
      </c>
      <c r="J18">
        <v>106</v>
      </c>
      <c r="K18" t="s">
        <v>191</v>
      </c>
      <c r="L18" t="s">
        <v>192</v>
      </c>
      <c r="M18" t="s">
        <v>193</v>
      </c>
      <c r="N18" t="s">
        <v>192</v>
      </c>
      <c r="O18">
        <v>4</v>
      </c>
      <c r="P18" t="s">
        <v>119</v>
      </c>
      <c r="Q18" t="s">
        <v>120</v>
      </c>
      <c r="R18" t="b">
        <v>0</v>
      </c>
      <c r="S18">
        <v>-22.368176190605546</v>
      </c>
      <c r="T18">
        <v>59.052792010306383</v>
      </c>
      <c r="U18">
        <v>168.13240529067053</v>
      </c>
      <c r="V18">
        <v>3.5028000000000001</v>
      </c>
      <c r="W18">
        <v>48</v>
      </c>
      <c r="X18">
        <v>48</v>
      </c>
      <c r="Y18">
        <v>27</v>
      </c>
      <c r="Z18">
        <v>17</v>
      </c>
      <c r="AA18">
        <v>10</v>
      </c>
      <c r="AB18" s="30">
        <v>45725</v>
      </c>
      <c r="AC18">
        <v>87</v>
      </c>
      <c r="AD18">
        <v>8696</v>
      </c>
    </row>
    <row r="19" spans="1:30" x14ac:dyDescent="0.2">
      <c r="A19">
        <v>11693884</v>
      </c>
      <c r="B19">
        <v>13</v>
      </c>
      <c r="C19">
        <v>17511</v>
      </c>
      <c r="D19" t="s">
        <v>180</v>
      </c>
      <c r="E19" t="s">
        <v>181</v>
      </c>
      <c r="F19" s="90" t="s">
        <v>51</v>
      </c>
      <c r="G19" s="29">
        <v>34090</v>
      </c>
      <c r="H19" t="s">
        <v>113</v>
      </c>
      <c r="I19" t="b">
        <v>0</v>
      </c>
      <c r="J19">
        <v>14</v>
      </c>
      <c r="K19" t="s">
        <v>182</v>
      </c>
      <c r="L19" t="s">
        <v>183</v>
      </c>
      <c r="M19" t="s">
        <v>184</v>
      </c>
      <c r="N19" t="s">
        <v>183</v>
      </c>
      <c r="O19">
        <v>4</v>
      </c>
      <c r="P19" t="s">
        <v>119</v>
      </c>
      <c r="Q19" t="s">
        <v>120</v>
      </c>
      <c r="R19" t="b">
        <v>0</v>
      </c>
      <c r="S19">
        <v>-25.476778056457121</v>
      </c>
      <c r="T19">
        <v>91.466783804546424</v>
      </c>
      <c r="U19">
        <v>182.3319692107722</v>
      </c>
      <c r="V19">
        <v>3.5064000000000002</v>
      </c>
      <c r="W19">
        <v>55</v>
      </c>
      <c r="X19">
        <v>52</v>
      </c>
      <c r="Y19">
        <v>36</v>
      </c>
      <c r="Z19">
        <v>18</v>
      </c>
      <c r="AA19">
        <v>10</v>
      </c>
      <c r="AB19" s="30">
        <v>45725</v>
      </c>
      <c r="AC19">
        <v>87</v>
      </c>
      <c r="AD19">
        <v>8696</v>
      </c>
    </row>
    <row r="20" spans="1:30" x14ac:dyDescent="0.2">
      <c r="A20">
        <v>11693879</v>
      </c>
      <c r="B20">
        <v>18</v>
      </c>
      <c r="C20">
        <v>23323</v>
      </c>
      <c r="D20" s="19" t="s">
        <v>296</v>
      </c>
      <c r="E20" t="s">
        <v>297</v>
      </c>
      <c r="F20" t="s">
        <v>298</v>
      </c>
      <c r="G20" s="29">
        <v>35280</v>
      </c>
      <c r="H20" t="s">
        <v>113</v>
      </c>
      <c r="I20" t="b">
        <v>0</v>
      </c>
      <c r="J20">
        <v>252</v>
      </c>
      <c r="K20" t="s">
        <v>299</v>
      </c>
      <c r="L20" t="s">
        <v>76</v>
      </c>
      <c r="M20" t="s">
        <v>76</v>
      </c>
      <c r="N20" t="s">
        <v>300</v>
      </c>
      <c r="O20">
        <v>4</v>
      </c>
      <c r="P20" t="s">
        <v>119</v>
      </c>
      <c r="Q20" t="s">
        <v>120</v>
      </c>
      <c r="R20" t="b">
        <v>0</v>
      </c>
      <c r="S20">
        <v>-26.490843364925571</v>
      </c>
      <c r="T20">
        <v>25.209186954975241</v>
      </c>
      <c r="U20">
        <v>174.23229429718748</v>
      </c>
      <c r="V20">
        <v>3.3506</v>
      </c>
      <c r="W20">
        <v>60</v>
      </c>
      <c r="X20">
        <v>52</v>
      </c>
      <c r="Y20">
        <v>14</v>
      </c>
      <c r="Z20">
        <v>19</v>
      </c>
      <c r="AA20">
        <v>10</v>
      </c>
      <c r="AB20" s="30">
        <v>45725</v>
      </c>
      <c r="AC20">
        <v>87</v>
      </c>
      <c r="AD20">
        <v>8696</v>
      </c>
    </row>
    <row r="21" spans="1:30" x14ac:dyDescent="0.2">
      <c r="A21">
        <v>11693877</v>
      </c>
      <c r="B21">
        <v>20</v>
      </c>
      <c r="C21">
        <v>11276</v>
      </c>
      <c r="D21" t="s">
        <v>223</v>
      </c>
      <c r="E21" t="s">
        <v>224</v>
      </c>
      <c r="F21" t="s">
        <v>225</v>
      </c>
      <c r="G21" s="29">
        <v>31753</v>
      </c>
      <c r="H21" t="s">
        <v>113</v>
      </c>
      <c r="I21" t="b">
        <v>0</v>
      </c>
      <c r="J21">
        <v>237</v>
      </c>
      <c r="K21" t="s">
        <v>114</v>
      </c>
      <c r="L21" t="s">
        <v>115</v>
      </c>
      <c r="M21" t="s">
        <v>116</v>
      </c>
      <c r="N21" t="s">
        <v>115</v>
      </c>
      <c r="O21">
        <v>6</v>
      </c>
      <c r="P21" t="s">
        <v>117</v>
      </c>
      <c r="Q21" t="s">
        <v>118</v>
      </c>
      <c r="R21" t="b">
        <v>0</v>
      </c>
      <c r="S21">
        <v>-24.030111491149945</v>
      </c>
      <c r="T21">
        <v>14.261598091995586</v>
      </c>
      <c r="U21">
        <v>155.66242295259428</v>
      </c>
      <c r="V21">
        <v>3.0522</v>
      </c>
      <c r="W21">
        <v>51</v>
      </c>
      <c r="X21">
        <v>51</v>
      </c>
      <c r="Y21">
        <v>16</v>
      </c>
      <c r="Z21">
        <v>20</v>
      </c>
      <c r="AA21">
        <v>10</v>
      </c>
      <c r="AB21" s="30">
        <v>45725</v>
      </c>
      <c r="AC21">
        <v>87</v>
      </c>
      <c r="AD21">
        <v>8696</v>
      </c>
    </row>
    <row r="22" spans="1:30" x14ac:dyDescent="0.2">
      <c r="A22">
        <v>11693876</v>
      </c>
      <c r="B22">
        <v>21</v>
      </c>
      <c r="C22">
        <v>23014</v>
      </c>
      <c r="D22" t="s">
        <v>201</v>
      </c>
      <c r="E22" t="s">
        <v>202</v>
      </c>
      <c r="F22" t="s">
        <v>61</v>
      </c>
      <c r="G22" s="29">
        <v>35768</v>
      </c>
      <c r="H22" t="s">
        <v>113</v>
      </c>
      <c r="I22" t="b">
        <v>0</v>
      </c>
      <c r="J22">
        <v>237</v>
      </c>
      <c r="K22" t="s">
        <v>114</v>
      </c>
      <c r="L22" t="s">
        <v>115</v>
      </c>
      <c r="M22" t="s">
        <v>116</v>
      </c>
      <c r="N22" t="s">
        <v>115</v>
      </c>
      <c r="O22">
        <v>6</v>
      </c>
      <c r="P22" t="s">
        <v>117</v>
      </c>
      <c r="Q22" t="s">
        <v>118</v>
      </c>
      <c r="R22" t="b">
        <v>0</v>
      </c>
      <c r="S22">
        <v>-33.18514485692247</v>
      </c>
      <c r="T22">
        <v>9.0254020520111933</v>
      </c>
      <c r="U22">
        <v>154.54239672958002</v>
      </c>
      <c r="V22">
        <v>3.0301999999999998</v>
      </c>
      <c r="W22">
        <v>51</v>
      </c>
      <c r="X22">
        <v>51</v>
      </c>
      <c r="Y22">
        <v>13</v>
      </c>
      <c r="Z22">
        <v>21</v>
      </c>
      <c r="AA22">
        <v>10</v>
      </c>
      <c r="AB22" s="30">
        <v>45725</v>
      </c>
      <c r="AC22">
        <v>87</v>
      </c>
      <c r="AD22">
        <v>8696</v>
      </c>
    </row>
    <row r="23" spans="1:30" x14ac:dyDescent="0.2">
      <c r="A23">
        <v>11693875</v>
      </c>
      <c r="B23">
        <v>22</v>
      </c>
      <c r="C23">
        <v>17488</v>
      </c>
      <c r="D23" t="s">
        <v>167</v>
      </c>
      <c r="E23" t="s">
        <v>168</v>
      </c>
      <c r="F23" t="s">
        <v>38</v>
      </c>
      <c r="G23" s="29">
        <v>35884</v>
      </c>
      <c r="H23" t="s">
        <v>113</v>
      </c>
      <c r="I23" t="b">
        <v>0</v>
      </c>
      <c r="J23">
        <v>118</v>
      </c>
      <c r="K23" t="s">
        <v>169</v>
      </c>
      <c r="L23" t="s">
        <v>170</v>
      </c>
      <c r="M23" t="s">
        <v>171</v>
      </c>
      <c r="N23" t="s">
        <v>170</v>
      </c>
      <c r="O23">
        <v>3</v>
      </c>
      <c r="P23" t="s">
        <v>172</v>
      </c>
      <c r="Q23" t="s">
        <v>173</v>
      </c>
      <c r="R23" t="b">
        <v>0</v>
      </c>
      <c r="S23">
        <v>-27.787267080147771</v>
      </c>
      <c r="T23">
        <v>39.225775679263066</v>
      </c>
      <c r="U23">
        <v>154.46662464275386</v>
      </c>
      <c r="V23">
        <v>2.9704999999999999</v>
      </c>
      <c r="W23">
        <v>56</v>
      </c>
      <c r="X23">
        <v>52</v>
      </c>
      <c r="Y23">
        <v>23</v>
      </c>
      <c r="Z23">
        <v>22</v>
      </c>
      <c r="AA23">
        <v>10</v>
      </c>
      <c r="AB23" s="30">
        <v>45725</v>
      </c>
      <c r="AC23">
        <v>87</v>
      </c>
      <c r="AD23">
        <v>8696</v>
      </c>
    </row>
    <row r="24" spans="1:30" x14ac:dyDescent="0.2">
      <c r="A24">
        <v>11693874</v>
      </c>
      <c r="B24">
        <v>23</v>
      </c>
      <c r="C24">
        <v>14181</v>
      </c>
      <c r="D24" t="s">
        <v>161</v>
      </c>
      <c r="E24" t="s">
        <v>290</v>
      </c>
      <c r="F24" t="s">
        <v>291</v>
      </c>
      <c r="G24" s="29">
        <v>33982</v>
      </c>
      <c r="H24" t="s">
        <v>113</v>
      </c>
      <c r="I24" t="b">
        <v>0</v>
      </c>
      <c r="J24">
        <v>21</v>
      </c>
      <c r="K24" t="s">
        <v>255</v>
      </c>
      <c r="L24" t="s">
        <v>256</v>
      </c>
      <c r="M24" t="s">
        <v>257</v>
      </c>
      <c r="N24" t="s">
        <v>256</v>
      </c>
      <c r="O24">
        <v>4</v>
      </c>
      <c r="P24" t="s">
        <v>119</v>
      </c>
      <c r="Q24" t="s">
        <v>120</v>
      </c>
      <c r="R24" t="b">
        <v>0</v>
      </c>
      <c r="S24">
        <v>-15.214684496084288</v>
      </c>
      <c r="T24">
        <v>74.847723149557737</v>
      </c>
      <c r="U24">
        <v>146.82326030854131</v>
      </c>
      <c r="V24">
        <v>2.8235000000000001</v>
      </c>
      <c r="W24">
        <v>54</v>
      </c>
      <c r="X24">
        <v>52</v>
      </c>
      <c r="Y24">
        <v>62</v>
      </c>
      <c r="Z24">
        <v>23</v>
      </c>
      <c r="AA24">
        <v>10</v>
      </c>
      <c r="AB24" s="30">
        <v>45725</v>
      </c>
      <c r="AC24">
        <v>87</v>
      </c>
      <c r="AD24">
        <v>8696</v>
      </c>
    </row>
    <row r="25" spans="1:30" x14ac:dyDescent="0.2">
      <c r="A25">
        <v>11693872</v>
      </c>
      <c r="B25">
        <v>25</v>
      </c>
      <c r="C25">
        <v>6430</v>
      </c>
      <c r="D25" t="s">
        <v>213</v>
      </c>
      <c r="E25" t="s">
        <v>214</v>
      </c>
      <c r="F25" s="19" t="s">
        <v>215</v>
      </c>
      <c r="G25" s="29">
        <v>29418</v>
      </c>
      <c r="H25" t="s">
        <v>113</v>
      </c>
      <c r="I25" t="b">
        <v>0</v>
      </c>
      <c r="J25">
        <v>13</v>
      </c>
      <c r="K25" t="s">
        <v>136</v>
      </c>
      <c r="L25" t="s">
        <v>137</v>
      </c>
      <c r="M25" t="s">
        <v>138</v>
      </c>
      <c r="N25" t="s">
        <v>137</v>
      </c>
      <c r="O25">
        <v>2</v>
      </c>
      <c r="P25" t="s">
        <v>139</v>
      </c>
      <c r="Q25" t="s">
        <v>140</v>
      </c>
      <c r="R25" t="b">
        <v>0</v>
      </c>
      <c r="S25">
        <v>-23.873292277387435</v>
      </c>
      <c r="T25">
        <v>9.6002381891117938</v>
      </c>
      <c r="U25">
        <v>130.9343499123608</v>
      </c>
      <c r="V25">
        <v>2.7277999999999998</v>
      </c>
      <c r="W25">
        <v>48</v>
      </c>
      <c r="X25">
        <v>48</v>
      </c>
      <c r="Y25">
        <v>18</v>
      </c>
      <c r="Z25">
        <v>24</v>
      </c>
      <c r="AA25">
        <v>10</v>
      </c>
      <c r="AB25" s="30">
        <v>45725</v>
      </c>
      <c r="AC25">
        <v>87</v>
      </c>
      <c r="AD25">
        <v>8696</v>
      </c>
    </row>
    <row r="26" spans="1:30" x14ac:dyDescent="0.2">
      <c r="A26">
        <v>11693873</v>
      </c>
      <c r="B26">
        <v>24</v>
      </c>
      <c r="C26">
        <v>18554</v>
      </c>
      <c r="D26" t="s">
        <v>254</v>
      </c>
      <c r="E26" t="s">
        <v>284</v>
      </c>
      <c r="F26" t="s">
        <v>285</v>
      </c>
      <c r="G26" s="29">
        <v>34761</v>
      </c>
      <c r="H26" t="s">
        <v>113</v>
      </c>
      <c r="I26" t="b">
        <v>0</v>
      </c>
      <c r="J26">
        <v>253</v>
      </c>
      <c r="K26" t="s">
        <v>145</v>
      </c>
      <c r="L26" t="s">
        <v>76</v>
      </c>
      <c r="M26" t="s">
        <v>76</v>
      </c>
      <c r="N26" t="s">
        <v>146</v>
      </c>
      <c r="O26">
        <v>4</v>
      </c>
      <c r="P26" t="s">
        <v>119</v>
      </c>
      <c r="Q26" t="s">
        <v>120</v>
      </c>
      <c r="R26" t="b">
        <v>0</v>
      </c>
      <c r="S26">
        <v>-23.403872889389152</v>
      </c>
      <c r="T26">
        <v>20.794120578619772</v>
      </c>
      <c r="U26">
        <v>146.18219628788393</v>
      </c>
      <c r="V26">
        <v>2.8111999999999999</v>
      </c>
      <c r="W26">
        <v>55</v>
      </c>
      <c r="X26">
        <v>52</v>
      </c>
      <c r="Y26">
        <v>22</v>
      </c>
      <c r="Z26">
        <v>25</v>
      </c>
      <c r="AA26">
        <v>10</v>
      </c>
      <c r="AB26" s="30">
        <v>45725</v>
      </c>
      <c r="AC26">
        <v>87</v>
      </c>
      <c r="AD26">
        <v>8696</v>
      </c>
    </row>
    <row r="27" spans="1:30" x14ac:dyDescent="0.2">
      <c r="A27">
        <v>11693869</v>
      </c>
      <c r="B27">
        <v>28</v>
      </c>
      <c r="C27">
        <v>24766</v>
      </c>
      <c r="D27" t="s">
        <v>176</v>
      </c>
      <c r="E27" t="s">
        <v>177</v>
      </c>
      <c r="F27" t="s">
        <v>39</v>
      </c>
      <c r="G27" s="29">
        <v>37428</v>
      </c>
      <c r="H27" t="s">
        <v>113</v>
      </c>
      <c r="I27" t="b">
        <v>0</v>
      </c>
      <c r="J27">
        <v>118</v>
      </c>
      <c r="K27" t="s">
        <v>169</v>
      </c>
      <c r="L27" t="s">
        <v>170</v>
      </c>
      <c r="M27" t="s">
        <v>171</v>
      </c>
      <c r="N27" t="s">
        <v>170</v>
      </c>
      <c r="O27">
        <v>3</v>
      </c>
      <c r="P27" t="s">
        <v>172</v>
      </c>
      <c r="Q27" t="s">
        <v>173</v>
      </c>
      <c r="R27" t="b">
        <v>0</v>
      </c>
      <c r="S27">
        <v>-27.03498477180991</v>
      </c>
      <c r="T27">
        <v>13.984501312795308</v>
      </c>
      <c r="U27">
        <v>137.2550937011226</v>
      </c>
      <c r="V27">
        <v>2.6395</v>
      </c>
      <c r="W27">
        <v>53</v>
      </c>
      <c r="X27">
        <v>52</v>
      </c>
      <c r="Y27">
        <v>21</v>
      </c>
      <c r="Z27">
        <v>26</v>
      </c>
      <c r="AA27">
        <v>10</v>
      </c>
      <c r="AB27" s="30">
        <v>45725</v>
      </c>
      <c r="AC27">
        <v>87</v>
      </c>
      <c r="AD27">
        <v>8696</v>
      </c>
    </row>
    <row r="28" spans="1:30" x14ac:dyDescent="0.2">
      <c r="A28">
        <v>11693871</v>
      </c>
      <c r="B28">
        <v>26</v>
      </c>
      <c r="C28">
        <v>11676</v>
      </c>
      <c r="D28" t="s">
        <v>151</v>
      </c>
      <c r="E28" t="s">
        <v>152</v>
      </c>
      <c r="F28" t="s">
        <v>40</v>
      </c>
      <c r="G28" s="29">
        <v>32765</v>
      </c>
      <c r="H28" t="s">
        <v>113</v>
      </c>
      <c r="I28" t="b">
        <v>0</v>
      </c>
      <c r="J28">
        <v>237</v>
      </c>
      <c r="K28" t="s">
        <v>114</v>
      </c>
      <c r="L28" t="s">
        <v>115</v>
      </c>
      <c r="M28" t="s">
        <v>116</v>
      </c>
      <c r="N28" t="s">
        <v>115</v>
      </c>
      <c r="O28">
        <v>6</v>
      </c>
      <c r="P28" t="s">
        <v>117</v>
      </c>
      <c r="Q28" t="s">
        <v>118</v>
      </c>
      <c r="R28" t="b">
        <v>0</v>
      </c>
      <c r="S28">
        <v>-23.671612654825289</v>
      </c>
      <c r="T28">
        <v>22.249620665613556</v>
      </c>
      <c r="U28">
        <v>117.60509185290383</v>
      </c>
      <c r="V28">
        <v>2.6728000000000001</v>
      </c>
      <c r="W28">
        <v>44</v>
      </c>
      <c r="X28">
        <v>44</v>
      </c>
      <c r="Y28">
        <v>26</v>
      </c>
      <c r="Z28">
        <v>27</v>
      </c>
      <c r="AA28">
        <v>10</v>
      </c>
      <c r="AB28" s="30">
        <v>45725</v>
      </c>
      <c r="AC28">
        <v>87</v>
      </c>
      <c r="AD28">
        <v>8696</v>
      </c>
    </row>
    <row r="29" spans="1:30" x14ac:dyDescent="0.2">
      <c r="A29">
        <v>11693868</v>
      </c>
      <c r="B29">
        <v>29</v>
      </c>
      <c r="C29">
        <v>19483</v>
      </c>
      <c r="D29" t="s">
        <v>155</v>
      </c>
      <c r="E29" t="s">
        <v>156</v>
      </c>
      <c r="F29" t="s">
        <v>48</v>
      </c>
      <c r="G29" s="29">
        <v>35269</v>
      </c>
      <c r="H29" t="s">
        <v>113</v>
      </c>
      <c r="I29" t="b">
        <v>0</v>
      </c>
      <c r="J29">
        <v>237</v>
      </c>
      <c r="K29" t="s">
        <v>114</v>
      </c>
      <c r="L29" t="s">
        <v>115</v>
      </c>
      <c r="M29" t="s">
        <v>116</v>
      </c>
      <c r="N29" t="s">
        <v>115</v>
      </c>
      <c r="O29">
        <v>6</v>
      </c>
      <c r="P29" t="s">
        <v>117</v>
      </c>
      <c r="Q29" t="s">
        <v>118</v>
      </c>
      <c r="R29" t="b">
        <v>0</v>
      </c>
      <c r="S29">
        <v>-28.032405550788852</v>
      </c>
      <c r="T29">
        <v>15.593107904725654</v>
      </c>
      <c r="U29">
        <v>117.71657212767677</v>
      </c>
      <c r="V29">
        <v>2.6158999999999999</v>
      </c>
      <c r="W29">
        <v>45</v>
      </c>
      <c r="X29">
        <v>45</v>
      </c>
      <c r="Y29">
        <v>20</v>
      </c>
      <c r="Z29">
        <v>28</v>
      </c>
      <c r="AA29">
        <v>10</v>
      </c>
      <c r="AB29" s="30">
        <v>45725</v>
      </c>
      <c r="AC29">
        <v>87</v>
      </c>
      <c r="AD29">
        <v>8696</v>
      </c>
    </row>
    <row r="30" spans="1:30" x14ac:dyDescent="0.2">
      <c r="A30">
        <v>11693870</v>
      </c>
      <c r="B30">
        <v>27</v>
      </c>
      <c r="C30">
        <v>13126</v>
      </c>
      <c r="D30" t="s">
        <v>226</v>
      </c>
      <c r="E30" t="s">
        <v>227</v>
      </c>
      <c r="F30" t="s">
        <v>45</v>
      </c>
      <c r="G30" s="29">
        <v>32247</v>
      </c>
      <c r="H30" t="s">
        <v>113</v>
      </c>
      <c r="I30" t="b">
        <v>0</v>
      </c>
      <c r="J30">
        <v>39</v>
      </c>
      <c r="K30" t="s">
        <v>205</v>
      </c>
      <c r="L30" t="s">
        <v>206</v>
      </c>
      <c r="M30" t="s">
        <v>207</v>
      </c>
      <c r="N30" t="s">
        <v>206</v>
      </c>
      <c r="O30">
        <v>6</v>
      </c>
      <c r="P30" t="s">
        <v>117</v>
      </c>
      <c r="Q30" t="s">
        <v>118</v>
      </c>
      <c r="R30" t="b">
        <v>0</v>
      </c>
      <c r="S30">
        <v>-19.517070699145933</v>
      </c>
      <c r="T30">
        <v>73.265803411244491</v>
      </c>
      <c r="U30">
        <v>132.20790846005761</v>
      </c>
      <c r="V30">
        <v>2.6442000000000001</v>
      </c>
      <c r="W30">
        <v>50</v>
      </c>
      <c r="X30">
        <v>50</v>
      </c>
      <c r="Y30">
        <v>70</v>
      </c>
      <c r="Z30">
        <v>29</v>
      </c>
      <c r="AA30">
        <v>10</v>
      </c>
      <c r="AB30" s="30">
        <v>45725</v>
      </c>
      <c r="AC30">
        <v>87</v>
      </c>
      <c r="AD30">
        <v>8696</v>
      </c>
    </row>
    <row r="31" spans="1:30" x14ac:dyDescent="0.2">
      <c r="A31">
        <v>11693866</v>
      </c>
      <c r="B31">
        <v>31</v>
      </c>
      <c r="C31">
        <v>26096</v>
      </c>
      <c r="D31" t="s">
        <v>342</v>
      </c>
      <c r="E31" t="s">
        <v>343</v>
      </c>
      <c r="F31" t="s">
        <v>344</v>
      </c>
      <c r="G31" s="29">
        <v>37287</v>
      </c>
      <c r="H31" t="s">
        <v>113</v>
      </c>
      <c r="I31" t="b">
        <v>0</v>
      </c>
      <c r="J31">
        <v>237</v>
      </c>
      <c r="K31" t="s">
        <v>114</v>
      </c>
      <c r="L31" t="s">
        <v>115</v>
      </c>
      <c r="M31" t="s">
        <v>116</v>
      </c>
      <c r="N31" t="s">
        <v>115</v>
      </c>
      <c r="O31">
        <v>6</v>
      </c>
      <c r="P31" t="s">
        <v>117</v>
      </c>
      <c r="Q31" t="s">
        <v>118</v>
      </c>
      <c r="R31" t="b">
        <v>0</v>
      </c>
      <c r="S31">
        <v>-21.574160218112691</v>
      </c>
      <c r="T31">
        <v>20.440146855444393</v>
      </c>
      <c r="U31">
        <v>132.08210699589367</v>
      </c>
      <c r="V31">
        <v>2.54</v>
      </c>
      <c r="W31">
        <v>56</v>
      </c>
      <c r="X31">
        <v>52</v>
      </c>
      <c r="Y31">
        <v>29</v>
      </c>
      <c r="Z31">
        <v>30</v>
      </c>
      <c r="AA31">
        <v>10</v>
      </c>
      <c r="AB31" s="30">
        <v>45725</v>
      </c>
      <c r="AC31">
        <v>87</v>
      </c>
      <c r="AD31">
        <v>8696</v>
      </c>
    </row>
    <row r="32" spans="1:30" x14ac:dyDescent="0.2">
      <c r="A32">
        <v>11693899</v>
      </c>
      <c r="B32">
        <v>35</v>
      </c>
      <c r="C32">
        <v>28270</v>
      </c>
      <c r="D32" t="s">
        <v>226</v>
      </c>
      <c r="E32" t="s">
        <v>327</v>
      </c>
      <c r="F32" t="s">
        <v>328</v>
      </c>
      <c r="G32" s="29">
        <v>37978</v>
      </c>
      <c r="H32" t="s">
        <v>113</v>
      </c>
      <c r="I32" t="b">
        <v>0</v>
      </c>
      <c r="J32">
        <v>237</v>
      </c>
      <c r="K32" t="s">
        <v>114</v>
      </c>
      <c r="L32" t="s">
        <v>115</v>
      </c>
      <c r="M32" t="s">
        <v>116</v>
      </c>
      <c r="N32" t="s">
        <v>115</v>
      </c>
      <c r="O32">
        <v>6</v>
      </c>
      <c r="P32" t="s">
        <v>117</v>
      </c>
      <c r="Q32" t="s">
        <v>118</v>
      </c>
      <c r="R32" t="b">
        <v>0</v>
      </c>
      <c r="S32">
        <v>-13.73052974334545</v>
      </c>
      <c r="T32">
        <v>12.683615409583744</v>
      </c>
      <c r="U32">
        <v>94.990237220785986</v>
      </c>
      <c r="V32">
        <v>2.3748</v>
      </c>
      <c r="W32">
        <v>33</v>
      </c>
      <c r="X32">
        <v>40</v>
      </c>
      <c r="Y32">
        <v>32</v>
      </c>
      <c r="Z32">
        <v>31</v>
      </c>
      <c r="AA32">
        <v>10</v>
      </c>
      <c r="AB32" s="30">
        <v>45725</v>
      </c>
      <c r="AC32">
        <v>87</v>
      </c>
      <c r="AD32">
        <v>8696</v>
      </c>
    </row>
    <row r="33" spans="1:30" x14ac:dyDescent="0.2">
      <c r="A33">
        <v>11693880</v>
      </c>
      <c r="B33">
        <v>32</v>
      </c>
      <c r="C33">
        <v>14459</v>
      </c>
      <c r="D33" t="s">
        <v>301</v>
      </c>
      <c r="E33" t="s">
        <v>302</v>
      </c>
      <c r="F33" t="s">
        <v>63</v>
      </c>
      <c r="G33" s="29">
        <v>33498</v>
      </c>
      <c r="H33" t="s">
        <v>113</v>
      </c>
      <c r="I33" t="b">
        <v>0</v>
      </c>
      <c r="J33">
        <v>118</v>
      </c>
      <c r="K33" t="s">
        <v>169</v>
      </c>
      <c r="L33" t="s">
        <v>170</v>
      </c>
      <c r="M33" t="s">
        <v>171</v>
      </c>
      <c r="N33" t="s">
        <v>170</v>
      </c>
      <c r="O33">
        <v>3</v>
      </c>
      <c r="P33" t="s">
        <v>172</v>
      </c>
      <c r="Q33" t="s">
        <v>173</v>
      </c>
      <c r="R33" t="b">
        <v>0</v>
      </c>
      <c r="S33">
        <v>-23.243823934500256</v>
      </c>
      <c r="T33">
        <v>13.586841340528723</v>
      </c>
      <c r="U33">
        <v>118.25139663327963</v>
      </c>
      <c r="V33">
        <v>2.516</v>
      </c>
      <c r="W33">
        <v>47</v>
      </c>
      <c r="X33">
        <v>47</v>
      </c>
      <c r="Y33">
        <v>24</v>
      </c>
      <c r="Z33">
        <v>32</v>
      </c>
      <c r="AA33">
        <v>10</v>
      </c>
      <c r="AB33" s="30">
        <v>45725</v>
      </c>
      <c r="AC33">
        <v>87</v>
      </c>
      <c r="AD33">
        <v>8696</v>
      </c>
    </row>
    <row r="34" spans="1:30" x14ac:dyDescent="0.2">
      <c r="A34">
        <v>11693929</v>
      </c>
      <c r="B34">
        <v>36</v>
      </c>
      <c r="C34">
        <v>14577</v>
      </c>
      <c r="D34" t="s">
        <v>211</v>
      </c>
      <c r="E34" t="s">
        <v>212</v>
      </c>
      <c r="F34" t="s">
        <v>59</v>
      </c>
      <c r="G34" s="29">
        <v>32712</v>
      </c>
      <c r="H34" t="s">
        <v>113</v>
      </c>
      <c r="I34" t="b">
        <v>0</v>
      </c>
      <c r="J34">
        <v>237</v>
      </c>
      <c r="K34" t="s">
        <v>114</v>
      </c>
      <c r="L34" t="s">
        <v>115</v>
      </c>
      <c r="M34" t="s">
        <v>116</v>
      </c>
      <c r="N34" t="s">
        <v>115</v>
      </c>
      <c r="O34">
        <v>6</v>
      </c>
      <c r="P34" t="s">
        <v>117</v>
      </c>
      <c r="Q34" t="s">
        <v>118</v>
      </c>
      <c r="R34" t="b">
        <v>0</v>
      </c>
      <c r="S34">
        <v>-17.951546338292673</v>
      </c>
      <c r="T34">
        <v>52.555720766394344</v>
      </c>
      <c r="U34">
        <v>106.72362307385137</v>
      </c>
      <c r="V34">
        <v>2.3201000000000001</v>
      </c>
      <c r="W34">
        <v>46</v>
      </c>
      <c r="X34">
        <v>46</v>
      </c>
      <c r="Y34">
        <v>73</v>
      </c>
      <c r="Z34">
        <v>33</v>
      </c>
      <c r="AA34">
        <v>10</v>
      </c>
      <c r="AB34" s="30">
        <v>45725</v>
      </c>
      <c r="AC34">
        <v>87</v>
      </c>
      <c r="AD34">
        <v>8696</v>
      </c>
    </row>
    <row r="35" spans="1:30" x14ac:dyDescent="0.2">
      <c r="A35">
        <v>11693898</v>
      </c>
      <c r="B35">
        <v>33</v>
      </c>
      <c r="C35">
        <v>9771</v>
      </c>
      <c r="D35" t="s">
        <v>178</v>
      </c>
      <c r="E35" t="s">
        <v>179</v>
      </c>
      <c r="F35" t="s">
        <v>47</v>
      </c>
      <c r="G35" s="29">
        <v>32093</v>
      </c>
      <c r="H35" t="s">
        <v>113</v>
      </c>
      <c r="I35" t="b">
        <v>0</v>
      </c>
      <c r="J35">
        <v>13</v>
      </c>
      <c r="K35" t="s">
        <v>136</v>
      </c>
      <c r="L35" t="s">
        <v>137</v>
      </c>
      <c r="M35" t="s">
        <v>138</v>
      </c>
      <c r="N35" t="s">
        <v>137</v>
      </c>
      <c r="O35">
        <v>2</v>
      </c>
      <c r="P35" t="s">
        <v>139</v>
      </c>
      <c r="Q35" t="s">
        <v>140</v>
      </c>
      <c r="R35" t="b">
        <v>0</v>
      </c>
      <c r="S35">
        <v>-23.442900378853423</v>
      </c>
      <c r="T35">
        <v>36.099060783974679</v>
      </c>
      <c r="U35">
        <v>105.62113972893171</v>
      </c>
      <c r="V35">
        <v>2.5148000000000001</v>
      </c>
      <c r="W35">
        <v>42</v>
      </c>
      <c r="X35">
        <v>42</v>
      </c>
      <c r="Y35">
        <v>38</v>
      </c>
      <c r="Z35">
        <v>34</v>
      </c>
      <c r="AA35">
        <v>10</v>
      </c>
      <c r="AB35" s="30">
        <v>45725</v>
      </c>
      <c r="AC35">
        <v>87</v>
      </c>
      <c r="AD35">
        <v>8696</v>
      </c>
    </row>
    <row r="36" spans="1:30" x14ac:dyDescent="0.2">
      <c r="A36">
        <v>11693928</v>
      </c>
      <c r="B36">
        <v>37</v>
      </c>
      <c r="C36">
        <v>23465</v>
      </c>
      <c r="D36" t="s">
        <v>141</v>
      </c>
      <c r="E36" t="s">
        <v>490</v>
      </c>
      <c r="F36" t="s">
        <v>491</v>
      </c>
      <c r="G36" s="29">
        <v>34850</v>
      </c>
      <c r="H36" t="s">
        <v>113</v>
      </c>
      <c r="I36" t="b">
        <v>0</v>
      </c>
      <c r="J36">
        <v>237</v>
      </c>
      <c r="K36" t="s">
        <v>114</v>
      </c>
      <c r="L36" t="s">
        <v>115</v>
      </c>
      <c r="M36" t="s">
        <v>116</v>
      </c>
      <c r="N36" t="s">
        <v>115</v>
      </c>
      <c r="O36">
        <v>6</v>
      </c>
      <c r="P36" t="s">
        <v>117</v>
      </c>
      <c r="Q36" t="s">
        <v>118</v>
      </c>
      <c r="R36" t="b">
        <v>0</v>
      </c>
      <c r="S36">
        <v>-14.716585494221984</v>
      </c>
      <c r="T36">
        <v>22.944695773835942</v>
      </c>
      <c r="U36">
        <v>119.98022736159214</v>
      </c>
      <c r="V36">
        <v>2.3073000000000001</v>
      </c>
      <c r="W36">
        <v>53</v>
      </c>
      <c r="X36">
        <v>52</v>
      </c>
      <c r="Y36">
        <v>34</v>
      </c>
      <c r="Z36">
        <v>35</v>
      </c>
      <c r="AA36">
        <v>10</v>
      </c>
      <c r="AB36" s="30">
        <v>45725</v>
      </c>
      <c r="AC36">
        <v>87</v>
      </c>
      <c r="AD36">
        <v>8696</v>
      </c>
    </row>
    <row r="37" spans="1:30" x14ac:dyDescent="0.2">
      <c r="A37">
        <v>11693914</v>
      </c>
      <c r="B37">
        <v>34</v>
      </c>
      <c r="C37">
        <v>6093</v>
      </c>
      <c r="D37" t="s">
        <v>160</v>
      </c>
      <c r="E37" t="s">
        <v>187</v>
      </c>
      <c r="F37" t="s">
        <v>60</v>
      </c>
      <c r="G37" s="29">
        <v>29432</v>
      </c>
      <c r="H37" t="s">
        <v>113</v>
      </c>
      <c r="I37" t="b">
        <v>0</v>
      </c>
      <c r="J37">
        <v>253</v>
      </c>
      <c r="K37" t="s">
        <v>145</v>
      </c>
      <c r="L37" t="s">
        <v>76</v>
      </c>
      <c r="M37" t="s">
        <v>76</v>
      </c>
      <c r="N37" t="s">
        <v>146</v>
      </c>
      <c r="O37">
        <v>4</v>
      </c>
      <c r="P37" t="s">
        <v>119</v>
      </c>
      <c r="Q37" t="s">
        <v>120</v>
      </c>
      <c r="R37" t="b">
        <v>0</v>
      </c>
      <c r="S37">
        <v>-19.157904273422673</v>
      </c>
      <c r="T37">
        <v>32.80398269457443</v>
      </c>
      <c r="U37">
        <v>106.50807304564496</v>
      </c>
      <c r="V37">
        <v>2.4205999999999999</v>
      </c>
      <c r="W37">
        <v>44</v>
      </c>
      <c r="X37">
        <v>44</v>
      </c>
      <c r="Y37">
        <v>47</v>
      </c>
      <c r="Z37">
        <v>36</v>
      </c>
      <c r="AA37">
        <v>10</v>
      </c>
      <c r="AB37" s="30">
        <v>45725</v>
      </c>
      <c r="AC37">
        <v>87</v>
      </c>
      <c r="AD37">
        <v>8696</v>
      </c>
    </row>
    <row r="38" spans="1:30" x14ac:dyDescent="0.2">
      <c r="A38">
        <v>11693926</v>
      </c>
      <c r="B38">
        <v>39</v>
      </c>
      <c r="C38">
        <v>8825</v>
      </c>
      <c r="D38" t="s">
        <v>185</v>
      </c>
      <c r="E38" t="s">
        <v>186</v>
      </c>
      <c r="F38" t="s">
        <v>32</v>
      </c>
      <c r="G38" s="29">
        <v>31796</v>
      </c>
      <c r="H38" t="s">
        <v>113</v>
      </c>
      <c r="I38" t="b">
        <v>0</v>
      </c>
      <c r="J38">
        <v>237</v>
      </c>
      <c r="K38" t="s">
        <v>114</v>
      </c>
      <c r="L38" t="s">
        <v>115</v>
      </c>
      <c r="M38" t="s">
        <v>116</v>
      </c>
      <c r="N38" t="s">
        <v>115</v>
      </c>
      <c r="O38">
        <v>6</v>
      </c>
      <c r="P38" t="s">
        <v>117</v>
      </c>
      <c r="Q38" t="s">
        <v>118</v>
      </c>
      <c r="R38" t="b">
        <v>0</v>
      </c>
      <c r="S38">
        <v>-31.352730360214714</v>
      </c>
      <c r="T38">
        <v>12.93116366764435</v>
      </c>
      <c r="U38">
        <v>113.76236650747734</v>
      </c>
      <c r="V38">
        <v>2.1877</v>
      </c>
      <c r="W38">
        <v>52</v>
      </c>
      <c r="X38">
        <v>52</v>
      </c>
      <c r="Y38">
        <v>28</v>
      </c>
      <c r="Z38">
        <v>37</v>
      </c>
      <c r="AA38">
        <v>10</v>
      </c>
      <c r="AB38" s="30">
        <v>45725</v>
      </c>
      <c r="AC38">
        <v>87</v>
      </c>
      <c r="AD38">
        <v>8696</v>
      </c>
    </row>
    <row r="39" spans="1:30" x14ac:dyDescent="0.2">
      <c r="A39">
        <v>11693927</v>
      </c>
      <c r="B39">
        <v>38</v>
      </c>
      <c r="C39">
        <v>19870</v>
      </c>
      <c r="D39" t="s">
        <v>199</v>
      </c>
      <c r="E39" t="s">
        <v>200</v>
      </c>
      <c r="F39" t="s">
        <v>65</v>
      </c>
      <c r="G39" s="29">
        <v>34032</v>
      </c>
      <c r="H39" t="s">
        <v>113</v>
      </c>
      <c r="I39" t="b">
        <v>0</v>
      </c>
      <c r="J39">
        <v>237</v>
      </c>
      <c r="K39" t="s">
        <v>114</v>
      </c>
      <c r="L39" t="s">
        <v>115</v>
      </c>
      <c r="M39" t="s">
        <v>116</v>
      </c>
      <c r="N39" t="s">
        <v>115</v>
      </c>
      <c r="O39">
        <v>6</v>
      </c>
      <c r="P39" t="s">
        <v>117</v>
      </c>
      <c r="Q39" t="s">
        <v>118</v>
      </c>
      <c r="R39" t="b">
        <v>0</v>
      </c>
      <c r="S39">
        <v>-22.098667431791466</v>
      </c>
      <c r="T39">
        <v>27.215021937214285</v>
      </c>
      <c r="U39">
        <v>103.03003261438451</v>
      </c>
      <c r="V39">
        <v>2.2397999999999998</v>
      </c>
      <c r="W39">
        <v>46</v>
      </c>
      <c r="X39">
        <v>46</v>
      </c>
      <c r="Y39">
        <v>44</v>
      </c>
      <c r="Z39">
        <v>38</v>
      </c>
      <c r="AA39">
        <v>10</v>
      </c>
      <c r="AB39" s="30">
        <v>45725</v>
      </c>
      <c r="AC39">
        <v>87</v>
      </c>
      <c r="AD39">
        <v>8696</v>
      </c>
    </row>
    <row r="40" spans="1:30" x14ac:dyDescent="0.2">
      <c r="A40">
        <v>11693925</v>
      </c>
      <c r="B40">
        <v>40</v>
      </c>
      <c r="C40">
        <v>21554</v>
      </c>
      <c r="D40" t="s">
        <v>238</v>
      </c>
      <c r="E40" t="s">
        <v>239</v>
      </c>
      <c r="F40" t="s">
        <v>62</v>
      </c>
      <c r="G40" s="29">
        <v>34121</v>
      </c>
      <c r="H40" t="s">
        <v>113</v>
      </c>
      <c r="I40" t="b">
        <v>0</v>
      </c>
      <c r="J40">
        <v>237</v>
      </c>
      <c r="K40" t="s">
        <v>114</v>
      </c>
      <c r="L40" t="s">
        <v>115</v>
      </c>
      <c r="M40" t="s">
        <v>116</v>
      </c>
      <c r="N40" t="s">
        <v>115</v>
      </c>
      <c r="O40">
        <v>6</v>
      </c>
      <c r="P40" t="s">
        <v>117</v>
      </c>
      <c r="Q40" t="s">
        <v>118</v>
      </c>
      <c r="R40" t="b">
        <v>0</v>
      </c>
      <c r="S40">
        <v>-20.123053272565897</v>
      </c>
      <c r="T40">
        <v>12.953950094871077</v>
      </c>
      <c r="U40">
        <v>110.1010417916337</v>
      </c>
      <c r="V40">
        <v>2.1587999999999998</v>
      </c>
      <c r="W40">
        <v>51</v>
      </c>
      <c r="X40">
        <v>51</v>
      </c>
      <c r="Y40">
        <v>33</v>
      </c>
      <c r="Z40">
        <v>39</v>
      </c>
      <c r="AA40">
        <v>10</v>
      </c>
      <c r="AB40" s="30">
        <v>45725</v>
      </c>
      <c r="AC40">
        <v>87</v>
      </c>
      <c r="AD40">
        <v>8696</v>
      </c>
    </row>
    <row r="41" spans="1:30" x14ac:dyDescent="0.2">
      <c r="A41">
        <v>11693924</v>
      </c>
      <c r="B41">
        <v>41</v>
      </c>
      <c r="C41">
        <v>17780</v>
      </c>
      <c r="D41" t="s">
        <v>227</v>
      </c>
      <c r="E41" t="s">
        <v>337</v>
      </c>
      <c r="F41" s="19" t="s">
        <v>338</v>
      </c>
      <c r="G41" s="29">
        <v>33388</v>
      </c>
      <c r="H41" t="s">
        <v>113</v>
      </c>
      <c r="I41" t="b">
        <v>0</v>
      </c>
      <c r="J41">
        <v>39</v>
      </c>
      <c r="K41" t="s">
        <v>205</v>
      </c>
      <c r="L41" t="s">
        <v>206</v>
      </c>
      <c r="M41" t="s">
        <v>207</v>
      </c>
      <c r="N41" t="s">
        <v>206</v>
      </c>
      <c r="O41">
        <v>6</v>
      </c>
      <c r="P41" t="s">
        <v>117</v>
      </c>
      <c r="Q41" t="s">
        <v>118</v>
      </c>
      <c r="R41" t="b">
        <v>0</v>
      </c>
      <c r="S41">
        <v>-16.32595919677394</v>
      </c>
      <c r="T41">
        <v>23.318761311078706</v>
      </c>
      <c r="U41">
        <v>111.73997632214753</v>
      </c>
      <c r="V41">
        <v>2.1488</v>
      </c>
      <c r="W41">
        <v>52</v>
      </c>
      <c r="X41">
        <v>52</v>
      </c>
      <c r="Y41">
        <v>48</v>
      </c>
      <c r="Z41">
        <v>40</v>
      </c>
      <c r="AA41">
        <v>10</v>
      </c>
      <c r="AB41" s="30">
        <v>45725</v>
      </c>
      <c r="AC41">
        <v>87</v>
      </c>
      <c r="AD41">
        <v>8696</v>
      </c>
    </row>
    <row r="42" spans="1:30" x14ac:dyDescent="0.2">
      <c r="A42">
        <v>11693919</v>
      </c>
      <c r="B42">
        <v>46</v>
      </c>
      <c r="C42">
        <v>19960</v>
      </c>
      <c r="D42" t="s">
        <v>306</v>
      </c>
      <c r="E42" t="s">
        <v>307</v>
      </c>
      <c r="F42" t="s">
        <v>308</v>
      </c>
      <c r="G42" s="29">
        <v>33910</v>
      </c>
      <c r="H42" t="s">
        <v>113</v>
      </c>
      <c r="I42" t="b">
        <v>0</v>
      </c>
      <c r="J42">
        <v>75</v>
      </c>
      <c r="K42" t="s">
        <v>251</v>
      </c>
      <c r="L42" t="s">
        <v>252</v>
      </c>
      <c r="M42" t="s">
        <v>253</v>
      </c>
      <c r="N42" t="s">
        <v>252</v>
      </c>
      <c r="O42">
        <v>4</v>
      </c>
      <c r="P42" t="s">
        <v>119</v>
      </c>
      <c r="Q42" t="s">
        <v>120</v>
      </c>
      <c r="R42" t="b">
        <v>0</v>
      </c>
      <c r="S42">
        <v>-22.426841754298003</v>
      </c>
      <c r="T42">
        <v>3.7567156870704341</v>
      </c>
      <c r="U42">
        <v>108.6597751019937</v>
      </c>
      <c r="V42">
        <v>2.0895999999999999</v>
      </c>
      <c r="W42">
        <v>57</v>
      </c>
      <c r="X42">
        <v>52</v>
      </c>
      <c r="Y42">
        <v>31</v>
      </c>
      <c r="Z42">
        <v>41</v>
      </c>
      <c r="AA42">
        <v>10</v>
      </c>
      <c r="AB42" s="30">
        <v>45725</v>
      </c>
      <c r="AC42">
        <v>87</v>
      </c>
      <c r="AD42">
        <v>8696</v>
      </c>
    </row>
    <row r="43" spans="1:30" x14ac:dyDescent="0.2">
      <c r="A43">
        <v>11693922</v>
      </c>
      <c r="B43">
        <v>43</v>
      </c>
      <c r="C43">
        <v>14795</v>
      </c>
      <c r="D43" t="s">
        <v>495</v>
      </c>
      <c r="E43" t="s">
        <v>496</v>
      </c>
      <c r="F43" t="s">
        <v>497</v>
      </c>
      <c r="G43" s="29">
        <v>32815</v>
      </c>
      <c r="H43" t="s">
        <v>113</v>
      </c>
      <c r="I43" t="b">
        <v>0</v>
      </c>
      <c r="J43">
        <v>253</v>
      </c>
      <c r="K43" t="s">
        <v>145</v>
      </c>
      <c r="L43" t="s">
        <v>76</v>
      </c>
      <c r="M43" t="s">
        <v>76</v>
      </c>
      <c r="N43" t="s">
        <v>146</v>
      </c>
      <c r="O43">
        <v>4</v>
      </c>
      <c r="P43" t="s">
        <v>119</v>
      </c>
      <c r="Q43" t="s">
        <v>120</v>
      </c>
      <c r="R43" t="b">
        <v>0</v>
      </c>
      <c r="S43">
        <v>-6.0352070069935237</v>
      </c>
      <c r="T43">
        <v>49.101475356005601</v>
      </c>
      <c r="U43">
        <v>84.443531964978291</v>
      </c>
      <c r="V43">
        <v>2.1111</v>
      </c>
      <c r="W43">
        <v>31</v>
      </c>
      <c r="X43">
        <v>40</v>
      </c>
      <c r="Y43">
        <v>125</v>
      </c>
      <c r="Z43">
        <v>42</v>
      </c>
      <c r="AA43">
        <v>10</v>
      </c>
      <c r="AB43" s="30">
        <v>45725</v>
      </c>
      <c r="AC43">
        <v>87</v>
      </c>
      <c r="AD43">
        <v>8696</v>
      </c>
    </row>
    <row r="44" spans="1:30" x14ac:dyDescent="0.2">
      <c r="A44">
        <v>11693918</v>
      </c>
      <c r="B44">
        <v>47</v>
      </c>
      <c r="C44">
        <v>16394</v>
      </c>
      <c r="D44" t="s">
        <v>321</v>
      </c>
      <c r="E44" t="s">
        <v>322</v>
      </c>
      <c r="F44" t="s">
        <v>323</v>
      </c>
      <c r="G44" s="29">
        <v>32658</v>
      </c>
      <c r="H44" t="s">
        <v>113</v>
      </c>
      <c r="I44" t="b">
        <v>0</v>
      </c>
      <c r="J44">
        <v>82</v>
      </c>
      <c r="K44" t="s">
        <v>292</v>
      </c>
      <c r="L44" t="s">
        <v>293</v>
      </c>
      <c r="M44" t="s">
        <v>294</v>
      </c>
      <c r="N44" t="s">
        <v>295</v>
      </c>
      <c r="O44">
        <v>4</v>
      </c>
      <c r="P44" t="s">
        <v>119</v>
      </c>
      <c r="Q44" t="s">
        <v>120</v>
      </c>
      <c r="R44" t="b">
        <v>0</v>
      </c>
      <c r="S44">
        <v>-17.778565859510998</v>
      </c>
      <c r="T44">
        <v>26.197796682598486</v>
      </c>
      <c r="U44">
        <v>108.42898699443136</v>
      </c>
      <c r="V44">
        <v>2.0851999999999999</v>
      </c>
      <c r="W44">
        <v>52</v>
      </c>
      <c r="X44">
        <v>52</v>
      </c>
      <c r="Y44">
        <v>53</v>
      </c>
      <c r="Z44">
        <v>43</v>
      </c>
      <c r="AA44">
        <v>10</v>
      </c>
      <c r="AB44" s="30">
        <v>45725</v>
      </c>
      <c r="AC44">
        <v>87</v>
      </c>
      <c r="AD44">
        <v>8696</v>
      </c>
    </row>
    <row r="45" spans="1:30" x14ac:dyDescent="0.2">
      <c r="A45">
        <v>11693921</v>
      </c>
      <c r="B45">
        <v>44</v>
      </c>
      <c r="C45">
        <v>7399</v>
      </c>
      <c r="D45" t="s">
        <v>235</v>
      </c>
      <c r="E45" t="s">
        <v>311</v>
      </c>
      <c r="F45" t="s">
        <v>29</v>
      </c>
      <c r="G45" s="29">
        <v>29171</v>
      </c>
      <c r="H45" t="s">
        <v>113</v>
      </c>
      <c r="I45" t="b">
        <v>0</v>
      </c>
      <c r="J45">
        <v>237</v>
      </c>
      <c r="K45" t="s">
        <v>114</v>
      </c>
      <c r="L45" t="s">
        <v>115</v>
      </c>
      <c r="M45" t="s">
        <v>116</v>
      </c>
      <c r="N45" t="s">
        <v>115</v>
      </c>
      <c r="O45">
        <v>6</v>
      </c>
      <c r="P45" t="s">
        <v>117</v>
      </c>
      <c r="Q45" t="s">
        <v>118</v>
      </c>
      <c r="R45" t="b">
        <v>0</v>
      </c>
      <c r="S45">
        <v>-21.824060788543211</v>
      </c>
      <c r="T45">
        <v>29.464516027593039</v>
      </c>
      <c r="U45">
        <v>109.07832202106958</v>
      </c>
      <c r="V45">
        <v>2.0977000000000001</v>
      </c>
      <c r="W45">
        <v>54</v>
      </c>
      <c r="X45">
        <v>52</v>
      </c>
      <c r="Y45">
        <v>50</v>
      </c>
      <c r="Z45">
        <v>44</v>
      </c>
      <c r="AA45">
        <v>10</v>
      </c>
      <c r="AB45" s="30">
        <v>45725</v>
      </c>
      <c r="AC45">
        <v>87</v>
      </c>
      <c r="AD45">
        <v>8696</v>
      </c>
    </row>
    <row r="46" spans="1:30" x14ac:dyDescent="0.2">
      <c r="A46">
        <v>11693920</v>
      </c>
      <c r="B46">
        <v>45</v>
      </c>
      <c r="C46">
        <v>26653</v>
      </c>
      <c r="D46" t="s">
        <v>263</v>
      </c>
      <c r="E46" t="s">
        <v>264</v>
      </c>
      <c r="F46" t="s">
        <v>265</v>
      </c>
      <c r="G46" s="29">
        <v>36172</v>
      </c>
      <c r="H46" t="s">
        <v>113</v>
      </c>
      <c r="I46" t="b">
        <v>0</v>
      </c>
      <c r="J46">
        <v>237</v>
      </c>
      <c r="K46" t="s">
        <v>114</v>
      </c>
      <c r="L46" t="s">
        <v>115</v>
      </c>
      <c r="M46" t="s">
        <v>116</v>
      </c>
      <c r="N46" t="s">
        <v>115</v>
      </c>
      <c r="O46">
        <v>6</v>
      </c>
      <c r="P46" t="s">
        <v>117</v>
      </c>
      <c r="Q46" t="s">
        <v>118</v>
      </c>
      <c r="R46" t="b">
        <v>0</v>
      </c>
      <c r="S46">
        <v>-18.035659721335044</v>
      </c>
      <c r="T46">
        <v>10.480950834986198</v>
      </c>
      <c r="U46">
        <v>108.70002485122606</v>
      </c>
      <c r="V46">
        <v>2.0903999999999998</v>
      </c>
      <c r="W46">
        <v>53</v>
      </c>
      <c r="X46">
        <v>52</v>
      </c>
      <c r="Y46">
        <v>35</v>
      </c>
      <c r="Z46">
        <v>45</v>
      </c>
      <c r="AA46">
        <v>10</v>
      </c>
      <c r="AB46" s="30">
        <v>45725</v>
      </c>
      <c r="AC46">
        <v>87</v>
      </c>
      <c r="AD46">
        <v>8696</v>
      </c>
    </row>
    <row r="47" spans="1:30" x14ac:dyDescent="0.2">
      <c r="A47">
        <v>11693916</v>
      </c>
      <c r="B47">
        <v>49</v>
      </c>
      <c r="C47">
        <v>23838</v>
      </c>
      <c r="D47" t="s">
        <v>273</v>
      </c>
      <c r="E47" t="s">
        <v>274</v>
      </c>
      <c r="F47" t="s">
        <v>275</v>
      </c>
      <c r="G47" s="29">
        <v>36962</v>
      </c>
      <c r="H47" t="s">
        <v>113</v>
      </c>
      <c r="I47" t="b">
        <v>0</v>
      </c>
      <c r="J47">
        <v>60</v>
      </c>
      <c r="K47" t="s">
        <v>276</v>
      </c>
      <c r="L47" t="s">
        <v>277</v>
      </c>
      <c r="M47" t="s">
        <v>278</v>
      </c>
      <c r="N47" t="s">
        <v>279</v>
      </c>
      <c r="O47">
        <v>4</v>
      </c>
      <c r="P47" t="s">
        <v>119</v>
      </c>
      <c r="Q47" t="s">
        <v>120</v>
      </c>
      <c r="R47" t="b">
        <v>0</v>
      </c>
      <c r="S47">
        <v>-14.828927764352441</v>
      </c>
      <c r="T47">
        <v>13.603052501346296</v>
      </c>
      <c r="U47">
        <v>103.09458119330841</v>
      </c>
      <c r="V47">
        <v>2.0619000000000001</v>
      </c>
      <c r="W47">
        <v>50</v>
      </c>
      <c r="X47">
        <v>50</v>
      </c>
      <c r="Y47">
        <v>37</v>
      </c>
      <c r="Z47">
        <v>46</v>
      </c>
      <c r="AA47">
        <v>10</v>
      </c>
      <c r="AB47" s="30">
        <v>45725</v>
      </c>
      <c r="AC47">
        <v>87</v>
      </c>
      <c r="AD47">
        <v>8696</v>
      </c>
    </row>
    <row r="48" spans="1:30" x14ac:dyDescent="0.2">
      <c r="A48">
        <v>11693917</v>
      </c>
      <c r="B48">
        <v>48</v>
      </c>
      <c r="C48">
        <v>22833</v>
      </c>
      <c r="D48" t="s">
        <v>498</v>
      </c>
      <c r="E48" t="s">
        <v>499</v>
      </c>
      <c r="F48" t="s">
        <v>500</v>
      </c>
      <c r="G48" s="29">
        <v>34550</v>
      </c>
      <c r="H48" t="s">
        <v>113</v>
      </c>
      <c r="I48" t="b">
        <v>0</v>
      </c>
      <c r="J48">
        <v>48</v>
      </c>
      <c r="K48" t="s">
        <v>501</v>
      </c>
      <c r="L48" t="s">
        <v>502</v>
      </c>
      <c r="M48" t="s">
        <v>503</v>
      </c>
      <c r="N48" t="s">
        <v>502</v>
      </c>
      <c r="O48">
        <v>7</v>
      </c>
      <c r="P48" t="s">
        <v>219</v>
      </c>
      <c r="Q48" t="s">
        <v>220</v>
      </c>
      <c r="R48" t="b">
        <v>0</v>
      </c>
      <c r="S48">
        <v>-8.0109008358849181</v>
      </c>
      <c r="T48">
        <v>32.272093852267666</v>
      </c>
      <c r="U48">
        <v>107.45965583984112</v>
      </c>
      <c r="V48">
        <v>2.0665</v>
      </c>
      <c r="W48">
        <v>56</v>
      </c>
      <c r="X48">
        <v>52</v>
      </c>
      <c r="Y48">
        <v>68</v>
      </c>
      <c r="Z48">
        <v>47</v>
      </c>
      <c r="AA48">
        <v>10</v>
      </c>
      <c r="AB48" s="30">
        <v>45725</v>
      </c>
      <c r="AC48">
        <v>87</v>
      </c>
      <c r="AD48">
        <v>8696</v>
      </c>
    </row>
    <row r="49" spans="1:30" x14ac:dyDescent="0.2">
      <c r="A49">
        <v>11693930</v>
      </c>
      <c r="B49">
        <v>50</v>
      </c>
      <c r="C49">
        <v>24968</v>
      </c>
      <c r="D49" t="s">
        <v>339</v>
      </c>
      <c r="E49" t="s">
        <v>340</v>
      </c>
      <c r="F49" t="s">
        <v>341</v>
      </c>
      <c r="G49" s="29">
        <v>35191</v>
      </c>
      <c r="H49" t="s">
        <v>113</v>
      </c>
      <c r="I49" t="b">
        <v>0</v>
      </c>
      <c r="J49">
        <v>237</v>
      </c>
      <c r="K49" t="s">
        <v>114</v>
      </c>
      <c r="L49" t="s">
        <v>115</v>
      </c>
      <c r="M49" t="s">
        <v>116</v>
      </c>
      <c r="N49" t="s">
        <v>115</v>
      </c>
      <c r="O49">
        <v>6</v>
      </c>
      <c r="P49" t="s">
        <v>117</v>
      </c>
      <c r="Q49" t="s">
        <v>118</v>
      </c>
      <c r="R49" t="b">
        <v>0</v>
      </c>
      <c r="S49">
        <v>-13.306816159103334</v>
      </c>
      <c r="T49">
        <v>34.973247317069806</v>
      </c>
      <c r="U49">
        <v>106.423508251127</v>
      </c>
      <c r="V49">
        <v>2.0466000000000002</v>
      </c>
      <c r="W49">
        <v>65</v>
      </c>
      <c r="X49">
        <v>52</v>
      </c>
      <c r="Y49">
        <v>65</v>
      </c>
      <c r="Z49">
        <v>48</v>
      </c>
      <c r="AA49">
        <v>10</v>
      </c>
      <c r="AB49" s="30">
        <v>45725</v>
      </c>
      <c r="AC49">
        <v>87</v>
      </c>
      <c r="AD49">
        <v>8696</v>
      </c>
    </row>
    <row r="50" spans="1:30" x14ac:dyDescent="0.2">
      <c r="A50">
        <v>11693912</v>
      </c>
      <c r="B50">
        <v>53</v>
      </c>
      <c r="C50">
        <v>17786</v>
      </c>
      <c r="D50" t="s">
        <v>134</v>
      </c>
      <c r="E50" t="s">
        <v>233</v>
      </c>
      <c r="F50" t="s">
        <v>234</v>
      </c>
      <c r="G50" s="29">
        <v>34751</v>
      </c>
      <c r="H50" t="s">
        <v>113</v>
      </c>
      <c r="I50" t="b">
        <v>0</v>
      </c>
      <c r="J50">
        <v>13</v>
      </c>
      <c r="K50" t="s">
        <v>136</v>
      </c>
      <c r="L50" t="s">
        <v>137</v>
      </c>
      <c r="M50" t="s">
        <v>138</v>
      </c>
      <c r="N50" t="s">
        <v>137</v>
      </c>
      <c r="O50">
        <v>2</v>
      </c>
      <c r="P50" t="s">
        <v>139</v>
      </c>
      <c r="Q50" t="s">
        <v>140</v>
      </c>
      <c r="R50" t="b">
        <v>0</v>
      </c>
      <c r="S50">
        <v>-20.601145599379926</v>
      </c>
      <c r="T50">
        <v>22.606319400153005</v>
      </c>
      <c r="U50">
        <v>102.24445326229254</v>
      </c>
      <c r="V50">
        <v>2.0047999999999999</v>
      </c>
      <c r="W50">
        <v>51</v>
      </c>
      <c r="X50">
        <v>51</v>
      </c>
      <c r="Y50">
        <v>51</v>
      </c>
      <c r="Z50">
        <v>49</v>
      </c>
      <c r="AA50">
        <v>10</v>
      </c>
      <c r="AB50" s="30">
        <v>45725</v>
      </c>
      <c r="AC50">
        <v>87</v>
      </c>
      <c r="AD50">
        <v>8696</v>
      </c>
    </row>
    <row r="51" spans="1:30" x14ac:dyDescent="0.2">
      <c r="A51">
        <v>11693867</v>
      </c>
      <c r="B51">
        <v>30</v>
      </c>
      <c r="C51">
        <v>17576</v>
      </c>
      <c r="D51" t="s">
        <v>203</v>
      </c>
      <c r="E51" t="s">
        <v>204</v>
      </c>
      <c r="F51" t="s">
        <v>42</v>
      </c>
      <c r="G51" s="29">
        <v>33609</v>
      </c>
      <c r="H51" t="s">
        <v>113</v>
      </c>
      <c r="I51" t="b">
        <v>0</v>
      </c>
      <c r="J51">
        <v>39</v>
      </c>
      <c r="K51" t="s">
        <v>205</v>
      </c>
      <c r="L51" t="s">
        <v>206</v>
      </c>
      <c r="M51" t="s">
        <v>207</v>
      </c>
      <c r="N51" t="s">
        <v>206</v>
      </c>
      <c r="O51">
        <v>6</v>
      </c>
      <c r="P51" t="s">
        <v>117</v>
      </c>
      <c r="Q51" t="s">
        <v>118</v>
      </c>
      <c r="R51" t="b">
        <v>0</v>
      </c>
      <c r="S51">
        <v>-21.584421900174945</v>
      </c>
      <c r="T51">
        <v>39.675644049099745</v>
      </c>
      <c r="U51">
        <v>118.36177758541287</v>
      </c>
      <c r="V51">
        <v>2.5731000000000002</v>
      </c>
      <c r="W51">
        <v>46</v>
      </c>
      <c r="X51">
        <v>46</v>
      </c>
      <c r="Y51">
        <v>40</v>
      </c>
      <c r="Z51">
        <v>50</v>
      </c>
      <c r="AA51">
        <v>10</v>
      </c>
      <c r="AB51" s="30">
        <v>45725</v>
      </c>
      <c r="AC51">
        <v>87</v>
      </c>
      <c r="AD51">
        <v>8696</v>
      </c>
    </row>
    <row r="52" spans="1:30" x14ac:dyDescent="0.2">
      <c r="A52">
        <v>11693911</v>
      </c>
      <c r="B52">
        <v>54</v>
      </c>
      <c r="C52">
        <v>27364</v>
      </c>
      <c r="D52" t="s">
        <v>233</v>
      </c>
      <c r="E52" t="s">
        <v>458</v>
      </c>
      <c r="F52" t="s">
        <v>459</v>
      </c>
      <c r="G52" s="29">
        <v>36316</v>
      </c>
      <c r="H52" t="s">
        <v>113</v>
      </c>
      <c r="I52" t="b">
        <v>0</v>
      </c>
      <c r="J52">
        <v>237</v>
      </c>
      <c r="K52" t="s">
        <v>114</v>
      </c>
      <c r="L52" t="s">
        <v>115</v>
      </c>
      <c r="M52" t="s">
        <v>116</v>
      </c>
      <c r="N52" t="s">
        <v>115</v>
      </c>
      <c r="O52">
        <v>6</v>
      </c>
      <c r="P52" t="s">
        <v>117</v>
      </c>
      <c r="Q52" t="s">
        <v>118</v>
      </c>
      <c r="R52" t="b">
        <v>0</v>
      </c>
      <c r="S52">
        <v>-16.288388471233002</v>
      </c>
      <c r="T52">
        <v>10.048853134567647</v>
      </c>
      <c r="U52">
        <v>101.71547058094927</v>
      </c>
      <c r="V52">
        <v>1.9944</v>
      </c>
      <c r="W52">
        <v>51</v>
      </c>
      <c r="X52">
        <v>51</v>
      </c>
      <c r="Y52">
        <v>42</v>
      </c>
      <c r="Z52">
        <v>51</v>
      </c>
      <c r="AA52">
        <v>10</v>
      </c>
      <c r="AB52" s="30">
        <v>45725</v>
      </c>
      <c r="AC52">
        <v>87</v>
      </c>
      <c r="AD52">
        <v>8696</v>
      </c>
    </row>
    <row r="53" spans="1:30" x14ac:dyDescent="0.2">
      <c r="A53">
        <v>11693910</v>
      </c>
      <c r="B53">
        <v>55</v>
      </c>
      <c r="C53">
        <v>26651</v>
      </c>
      <c r="D53" t="s">
        <v>134</v>
      </c>
      <c r="E53" t="s">
        <v>157</v>
      </c>
      <c r="F53" t="s">
        <v>64</v>
      </c>
      <c r="G53" s="29">
        <v>35557</v>
      </c>
      <c r="H53" t="s">
        <v>113</v>
      </c>
      <c r="I53" t="b">
        <v>0</v>
      </c>
      <c r="J53">
        <v>237</v>
      </c>
      <c r="K53" t="s">
        <v>114</v>
      </c>
      <c r="L53" t="s">
        <v>115</v>
      </c>
      <c r="M53" t="s">
        <v>116</v>
      </c>
      <c r="N53" t="s">
        <v>115</v>
      </c>
      <c r="O53">
        <v>6</v>
      </c>
      <c r="P53" t="s">
        <v>117</v>
      </c>
      <c r="Q53" t="s">
        <v>118</v>
      </c>
      <c r="R53" t="b">
        <v>0</v>
      </c>
      <c r="S53">
        <v>-23.941925751710503</v>
      </c>
      <c r="T53">
        <v>12.76030489481079</v>
      </c>
      <c r="U53">
        <v>92.609895725586981</v>
      </c>
      <c r="V53">
        <v>1.9703999999999999</v>
      </c>
      <c r="W53">
        <v>47</v>
      </c>
      <c r="X53">
        <v>47</v>
      </c>
      <c r="Y53">
        <v>39</v>
      </c>
      <c r="Z53">
        <v>52</v>
      </c>
      <c r="AA53">
        <v>10</v>
      </c>
      <c r="AB53" s="30">
        <v>45725</v>
      </c>
      <c r="AC53">
        <v>87</v>
      </c>
      <c r="AD53">
        <v>8696</v>
      </c>
    </row>
    <row r="54" spans="1:30" x14ac:dyDescent="0.2">
      <c r="A54">
        <v>11693923</v>
      </c>
      <c r="B54">
        <v>42</v>
      </c>
      <c r="C54">
        <v>17606</v>
      </c>
      <c r="D54" t="s">
        <v>492</v>
      </c>
      <c r="E54" t="s">
        <v>493</v>
      </c>
      <c r="F54" t="s">
        <v>494</v>
      </c>
      <c r="G54" s="29">
        <v>34066</v>
      </c>
      <c r="H54" t="s">
        <v>113</v>
      </c>
      <c r="I54" t="b">
        <v>0</v>
      </c>
      <c r="J54">
        <v>237</v>
      </c>
      <c r="K54" t="s">
        <v>114</v>
      </c>
      <c r="L54" t="s">
        <v>115</v>
      </c>
      <c r="M54" t="s">
        <v>116</v>
      </c>
      <c r="N54" t="s">
        <v>115</v>
      </c>
      <c r="O54">
        <v>6</v>
      </c>
      <c r="P54" t="s">
        <v>117</v>
      </c>
      <c r="Q54" t="s">
        <v>118</v>
      </c>
      <c r="R54" t="b">
        <v>0</v>
      </c>
      <c r="S54">
        <v>-3.5703549641734185</v>
      </c>
      <c r="T54">
        <v>46.806005360494176</v>
      </c>
      <c r="U54">
        <v>84.532740581418977</v>
      </c>
      <c r="V54">
        <v>2.1133000000000002</v>
      </c>
      <c r="W54">
        <v>33</v>
      </c>
      <c r="X54">
        <v>40</v>
      </c>
      <c r="Y54">
        <v>126</v>
      </c>
      <c r="Z54">
        <v>53</v>
      </c>
      <c r="AA54">
        <v>10</v>
      </c>
      <c r="AB54" s="30">
        <v>45725</v>
      </c>
      <c r="AC54">
        <v>87</v>
      </c>
      <c r="AD54">
        <v>8696</v>
      </c>
    </row>
    <row r="55" spans="1:30" x14ac:dyDescent="0.2">
      <c r="A55">
        <v>11693915</v>
      </c>
      <c r="B55">
        <v>51</v>
      </c>
      <c r="C55">
        <v>18103</v>
      </c>
      <c r="D55" t="s">
        <v>280</v>
      </c>
      <c r="E55" t="s">
        <v>281</v>
      </c>
      <c r="F55" t="s">
        <v>282</v>
      </c>
      <c r="G55" s="29">
        <v>34472</v>
      </c>
      <c r="H55" t="s">
        <v>113</v>
      </c>
      <c r="I55" t="b">
        <v>0</v>
      </c>
      <c r="J55">
        <v>207</v>
      </c>
      <c r="K55" t="s">
        <v>267</v>
      </c>
      <c r="L55" t="s">
        <v>268</v>
      </c>
      <c r="M55" t="s">
        <v>269</v>
      </c>
      <c r="N55" t="s">
        <v>270</v>
      </c>
      <c r="O55">
        <v>1</v>
      </c>
      <c r="P55" t="s">
        <v>271</v>
      </c>
      <c r="Q55" t="s">
        <v>272</v>
      </c>
      <c r="R55" t="b">
        <v>0</v>
      </c>
      <c r="S55">
        <v>-17.127286536272752</v>
      </c>
      <c r="T55">
        <v>24.395954210531119</v>
      </c>
      <c r="U55">
        <v>104.80699909403467</v>
      </c>
      <c r="V55">
        <v>2.0154999999999998</v>
      </c>
      <c r="W55">
        <v>55</v>
      </c>
      <c r="X55">
        <v>52</v>
      </c>
      <c r="Y55">
        <v>55</v>
      </c>
      <c r="Z55">
        <v>54</v>
      </c>
      <c r="AA55">
        <v>10</v>
      </c>
      <c r="AB55" s="30">
        <v>45725</v>
      </c>
      <c r="AC55">
        <v>87</v>
      </c>
      <c r="AD55">
        <v>8696</v>
      </c>
    </row>
    <row r="56" spans="1:30" x14ac:dyDescent="0.2">
      <c r="A56">
        <v>11693909</v>
      </c>
      <c r="B56">
        <v>56</v>
      </c>
      <c r="C56">
        <v>16841</v>
      </c>
      <c r="D56" t="s">
        <v>228</v>
      </c>
      <c r="E56" t="s">
        <v>229</v>
      </c>
      <c r="F56" t="s">
        <v>230</v>
      </c>
      <c r="G56" s="29">
        <v>36003</v>
      </c>
      <c r="H56" t="s">
        <v>113</v>
      </c>
      <c r="I56" t="b">
        <v>0</v>
      </c>
      <c r="J56">
        <v>13</v>
      </c>
      <c r="K56" t="s">
        <v>136</v>
      </c>
      <c r="L56" t="s">
        <v>137</v>
      </c>
      <c r="M56" t="s">
        <v>138</v>
      </c>
      <c r="N56" t="s">
        <v>137</v>
      </c>
      <c r="O56">
        <v>2</v>
      </c>
      <c r="P56" t="s">
        <v>139</v>
      </c>
      <c r="Q56" t="s">
        <v>140</v>
      </c>
      <c r="R56" t="b">
        <v>0</v>
      </c>
      <c r="S56">
        <v>-20.298260323192892</v>
      </c>
      <c r="T56">
        <v>19.310979464317015</v>
      </c>
      <c r="U56">
        <v>96.460380944349694</v>
      </c>
      <c r="V56">
        <v>1.9292</v>
      </c>
      <c r="W56">
        <v>50</v>
      </c>
      <c r="X56">
        <v>50</v>
      </c>
      <c r="Y56">
        <v>49</v>
      </c>
      <c r="Z56">
        <v>55</v>
      </c>
      <c r="AA56">
        <v>10</v>
      </c>
      <c r="AB56" s="30">
        <v>45725</v>
      </c>
      <c r="AC56">
        <v>87</v>
      </c>
      <c r="AD56">
        <v>8696</v>
      </c>
    </row>
    <row r="57" spans="1:30" x14ac:dyDescent="0.2">
      <c r="A57">
        <v>11693908</v>
      </c>
      <c r="B57">
        <v>57</v>
      </c>
      <c r="C57">
        <v>17536</v>
      </c>
      <c r="D57" t="s">
        <v>506</v>
      </c>
      <c r="E57" t="s">
        <v>507</v>
      </c>
      <c r="F57" t="s">
        <v>508</v>
      </c>
      <c r="G57" s="29">
        <v>33106</v>
      </c>
      <c r="H57" t="s">
        <v>113</v>
      </c>
      <c r="I57" t="b">
        <v>0</v>
      </c>
      <c r="J57">
        <v>237</v>
      </c>
      <c r="K57" t="s">
        <v>114</v>
      </c>
      <c r="L57" t="s">
        <v>115</v>
      </c>
      <c r="M57" t="s">
        <v>116</v>
      </c>
      <c r="N57" t="s">
        <v>115</v>
      </c>
      <c r="O57">
        <v>6</v>
      </c>
      <c r="P57" t="s">
        <v>117</v>
      </c>
      <c r="Q57" t="s">
        <v>118</v>
      </c>
      <c r="R57" t="b">
        <v>0</v>
      </c>
      <c r="S57">
        <v>-9.6343527670669857</v>
      </c>
      <c r="T57">
        <v>52.362784474880776</v>
      </c>
      <c r="U57">
        <v>98.736881369965346</v>
      </c>
      <c r="V57">
        <v>1.8988</v>
      </c>
      <c r="W57">
        <v>53</v>
      </c>
      <c r="X57">
        <v>52</v>
      </c>
      <c r="Y57">
        <v>119</v>
      </c>
      <c r="Z57">
        <v>56</v>
      </c>
      <c r="AA57">
        <v>10</v>
      </c>
      <c r="AB57" s="30">
        <v>45725</v>
      </c>
      <c r="AC57">
        <v>87</v>
      </c>
      <c r="AD57">
        <v>8696</v>
      </c>
    </row>
    <row r="58" spans="1:30" x14ac:dyDescent="0.2">
      <c r="A58">
        <v>11693907</v>
      </c>
      <c r="B58">
        <v>58</v>
      </c>
      <c r="C58">
        <v>28635</v>
      </c>
      <c r="D58" t="s">
        <v>143</v>
      </c>
      <c r="E58" t="s">
        <v>509</v>
      </c>
      <c r="F58" t="s">
        <v>510</v>
      </c>
      <c r="G58" s="29">
        <v>35775</v>
      </c>
      <c r="H58" t="s">
        <v>113</v>
      </c>
      <c r="I58" t="b">
        <v>0</v>
      </c>
      <c r="J58">
        <v>237</v>
      </c>
      <c r="K58" t="s">
        <v>114</v>
      </c>
      <c r="L58" t="s">
        <v>115</v>
      </c>
      <c r="M58" t="s">
        <v>116</v>
      </c>
      <c r="N58" t="s">
        <v>115</v>
      </c>
      <c r="O58">
        <v>6</v>
      </c>
      <c r="P58" t="s">
        <v>117</v>
      </c>
      <c r="Q58" t="s">
        <v>118</v>
      </c>
      <c r="R58" t="b">
        <v>0</v>
      </c>
      <c r="S58">
        <v>-13.386269892794919</v>
      </c>
      <c r="T58">
        <v>2.208110472213638</v>
      </c>
      <c r="U58">
        <v>94.210953099771771</v>
      </c>
      <c r="V58">
        <v>1.8117000000000001</v>
      </c>
      <c r="W58">
        <v>57</v>
      </c>
      <c r="X58">
        <v>52</v>
      </c>
      <c r="Y58">
        <v>46</v>
      </c>
      <c r="Z58">
        <v>57</v>
      </c>
      <c r="AA58">
        <v>10</v>
      </c>
      <c r="AB58" s="30">
        <v>45725</v>
      </c>
      <c r="AC58">
        <v>87</v>
      </c>
      <c r="AD58">
        <v>8696</v>
      </c>
    </row>
    <row r="59" spans="1:30" x14ac:dyDescent="0.2">
      <c r="A59">
        <v>11693906</v>
      </c>
      <c r="B59">
        <v>59</v>
      </c>
      <c r="C59">
        <v>19195</v>
      </c>
      <c r="D59" t="s">
        <v>377</v>
      </c>
      <c r="E59" t="s">
        <v>378</v>
      </c>
      <c r="F59" t="s">
        <v>28</v>
      </c>
      <c r="G59" s="29">
        <v>34648</v>
      </c>
      <c r="H59" t="s">
        <v>113</v>
      </c>
      <c r="I59" t="b">
        <v>0</v>
      </c>
      <c r="J59">
        <v>210</v>
      </c>
      <c r="K59" t="s">
        <v>379</v>
      </c>
      <c r="L59" t="s">
        <v>380</v>
      </c>
      <c r="M59" t="s">
        <v>381</v>
      </c>
      <c r="N59" t="s">
        <v>380</v>
      </c>
      <c r="O59">
        <v>4</v>
      </c>
      <c r="P59" t="s">
        <v>119</v>
      </c>
      <c r="Q59" t="s">
        <v>120</v>
      </c>
      <c r="R59" t="b">
        <v>0</v>
      </c>
      <c r="S59">
        <v>-38.254122513739148</v>
      </c>
      <c r="T59">
        <v>0</v>
      </c>
      <c r="U59">
        <v>70.531751419559228</v>
      </c>
      <c r="V59">
        <v>1.7633000000000001</v>
      </c>
      <c r="W59">
        <v>23</v>
      </c>
      <c r="X59">
        <v>40</v>
      </c>
      <c r="Y59">
        <v>25</v>
      </c>
      <c r="Z59">
        <v>58</v>
      </c>
      <c r="AA59">
        <v>10</v>
      </c>
      <c r="AB59" s="30">
        <v>45725</v>
      </c>
      <c r="AC59">
        <v>87</v>
      </c>
      <c r="AD59">
        <v>8696</v>
      </c>
    </row>
    <row r="60" spans="1:30" x14ac:dyDescent="0.2">
      <c r="A60">
        <v>11693903</v>
      </c>
      <c r="B60">
        <v>62</v>
      </c>
      <c r="C60">
        <v>28469</v>
      </c>
      <c r="D60" t="s">
        <v>511</v>
      </c>
      <c r="E60" t="s">
        <v>512</v>
      </c>
      <c r="F60" t="s">
        <v>513</v>
      </c>
      <c r="G60" s="29">
        <v>36635</v>
      </c>
      <c r="H60" t="s">
        <v>113</v>
      </c>
      <c r="I60" t="b">
        <v>0</v>
      </c>
      <c r="J60">
        <v>237</v>
      </c>
      <c r="K60" t="s">
        <v>114</v>
      </c>
      <c r="L60" t="s">
        <v>115</v>
      </c>
      <c r="M60" t="s">
        <v>116</v>
      </c>
      <c r="N60" t="s">
        <v>115</v>
      </c>
      <c r="O60">
        <v>6</v>
      </c>
      <c r="P60" t="s">
        <v>117</v>
      </c>
      <c r="Q60" t="s">
        <v>118</v>
      </c>
      <c r="R60" t="b">
        <v>0</v>
      </c>
      <c r="S60">
        <v>-5.4151679470303904</v>
      </c>
      <c r="T60">
        <v>51.786647066113979</v>
      </c>
      <c r="U60">
        <v>84.84492063447442</v>
      </c>
      <c r="V60">
        <v>1.7315</v>
      </c>
      <c r="W60">
        <v>49</v>
      </c>
      <c r="X60">
        <v>49</v>
      </c>
      <c r="Y60">
        <v>162</v>
      </c>
      <c r="Z60">
        <v>59</v>
      </c>
      <c r="AA60">
        <v>10</v>
      </c>
      <c r="AB60" s="30">
        <v>45725</v>
      </c>
      <c r="AC60">
        <v>87</v>
      </c>
      <c r="AD60">
        <v>8696</v>
      </c>
    </row>
    <row r="61" spans="1:30" x14ac:dyDescent="0.2">
      <c r="A61">
        <v>11693905</v>
      </c>
      <c r="B61">
        <v>60</v>
      </c>
      <c r="C61">
        <v>10419</v>
      </c>
      <c r="D61" t="s">
        <v>242</v>
      </c>
      <c r="E61" t="s">
        <v>243</v>
      </c>
      <c r="F61" t="s">
        <v>244</v>
      </c>
      <c r="G61" s="29">
        <v>30144</v>
      </c>
      <c r="H61" t="s">
        <v>113</v>
      </c>
      <c r="I61" t="b">
        <v>0</v>
      </c>
      <c r="J61">
        <v>216</v>
      </c>
      <c r="K61" t="s">
        <v>245</v>
      </c>
      <c r="L61" t="s">
        <v>246</v>
      </c>
      <c r="M61" t="s">
        <v>247</v>
      </c>
      <c r="N61" t="s">
        <v>246</v>
      </c>
      <c r="O61">
        <v>4</v>
      </c>
      <c r="P61" t="s">
        <v>119</v>
      </c>
      <c r="Q61" t="s">
        <v>120</v>
      </c>
      <c r="R61" t="b">
        <v>0</v>
      </c>
      <c r="S61">
        <v>-15.871325975833798</v>
      </c>
      <c r="T61">
        <v>0</v>
      </c>
      <c r="U61">
        <v>77.187394018602205</v>
      </c>
      <c r="V61">
        <v>1.7543</v>
      </c>
      <c r="W61">
        <v>44</v>
      </c>
      <c r="X61">
        <v>44</v>
      </c>
      <c r="Y61">
        <v>54</v>
      </c>
      <c r="Z61">
        <v>60</v>
      </c>
      <c r="AA61">
        <v>10</v>
      </c>
      <c r="AB61" s="30">
        <v>45725</v>
      </c>
      <c r="AC61">
        <v>87</v>
      </c>
      <c r="AD61">
        <v>8696</v>
      </c>
    </row>
    <row r="62" spans="1:30" x14ac:dyDescent="0.2">
      <c r="A62">
        <v>11693904</v>
      </c>
      <c r="B62">
        <v>61</v>
      </c>
      <c r="C62">
        <v>17646</v>
      </c>
      <c r="D62" t="s">
        <v>143</v>
      </c>
      <c r="E62" t="s">
        <v>144</v>
      </c>
      <c r="F62" t="s">
        <v>35</v>
      </c>
      <c r="G62" s="29">
        <v>34578</v>
      </c>
      <c r="H62" t="s">
        <v>113</v>
      </c>
      <c r="I62" t="b">
        <v>0</v>
      </c>
      <c r="J62">
        <v>253</v>
      </c>
      <c r="K62" t="s">
        <v>145</v>
      </c>
      <c r="L62" t="s">
        <v>76</v>
      </c>
      <c r="M62" t="s">
        <v>76</v>
      </c>
      <c r="N62" t="s">
        <v>146</v>
      </c>
      <c r="O62">
        <v>4</v>
      </c>
      <c r="P62" t="s">
        <v>119</v>
      </c>
      <c r="Q62" t="s">
        <v>120</v>
      </c>
      <c r="R62" t="b">
        <v>0</v>
      </c>
      <c r="S62">
        <v>-28.966621439871325</v>
      </c>
      <c r="T62">
        <v>6.3004391320285791</v>
      </c>
      <c r="U62">
        <v>84.871126473964779</v>
      </c>
      <c r="V62">
        <v>1.7321</v>
      </c>
      <c r="W62">
        <v>49</v>
      </c>
      <c r="X62">
        <v>49</v>
      </c>
      <c r="Y62">
        <v>43</v>
      </c>
      <c r="Z62">
        <v>61</v>
      </c>
      <c r="AA62">
        <v>10</v>
      </c>
      <c r="AB62" s="30">
        <v>45725</v>
      </c>
      <c r="AC62">
        <v>87</v>
      </c>
      <c r="AD62">
        <v>8696</v>
      </c>
    </row>
    <row r="63" spans="1:30" x14ac:dyDescent="0.2">
      <c r="A63">
        <v>11693902</v>
      </c>
      <c r="B63">
        <v>63</v>
      </c>
      <c r="C63">
        <v>21756</v>
      </c>
      <c r="D63" t="s">
        <v>261</v>
      </c>
      <c r="E63" t="s">
        <v>262</v>
      </c>
      <c r="F63" t="s">
        <v>69</v>
      </c>
      <c r="G63" s="29">
        <v>32306</v>
      </c>
      <c r="H63" t="s">
        <v>113</v>
      </c>
      <c r="I63" t="b">
        <v>0</v>
      </c>
      <c r="J63">
        <v>237</v>
      </c>
      <c r="K63" t="s">
        <v>114</v>
      </c>
      <c r="L63" t="s">
        <v>115</v>
      </c>
      <c r="M63" t="s">
        <v>116</v>
      </c>
      <c r="N63" t="s">
        <v>115</v>
      </c>
      <c r="O63">
        <v>6</v>
      </c>
      <c r="P63" t="s">
        <v>117</v>
      </c>
      <c r="Q63" t="s">
        <v>118</v>
      </c>
      <c r="R63" t="b">
        <v>0</v>
      </c>
      <c r="S63">
        <v>-21.4805426711603</v>
      </c>
      <c r="T63">
        <v>16.251929572385542</v>
      </c>
      <c r="U63">
        <v>89.147746941139204</v>
      </c>
      <c r="V63">
        <v>1.7143999999999999</v>
      </c>
      <c r="W63">
        <v>65</v>
      </c>
      <c r="X63">
        <v>52</v>
      </c>
      <c r="Y63">
        <v>57</v>
      </c>
      <c r="Z63">
        <v>62</v>
      </c>
      <c r="AA63">
        <v>10</v>
      </c>
      <c r="AB63" s="30">
        <v>45725</v>
      </c>
      <c r="AC63">
        <v>87</v>
      </c>
      <c r="AD63">
        <v>8696</v>
      </c>
    </row>
    <row r="64" spans="1:30" x14ac:dyDescent="0.2">
      <c r="A64">
        <v>11693901</v>
      </c>
      <c r="B64">
        <v>64</v>
      </c>
      <c r="C64">
        <v>18105</v>
      </c>
      <c r="D64" t="s">
        <v>473</v>
      </c>
      <c r="E64" t="s">
        <v>474</v>
      </c>
      <c r="F64" t="s">
        <v>266</v>
      </c>
      <c r="G64" s="29">
        <v>35402</v>
      </c>
      <c r="H64" t="s">
        <v>113</v>
      </c>
      <c r="I64" t="b">
        <v>0</v>
      </c>
      <c r="J64">
        <v>207</v>
      </c>
      <c r="K64" t="s">
        <v>267</v>
      </c>
      <c r="L64" t="s">
        <v>268</v>
      </c>
      <c r="M64" t="s">
        <v>269</v>
      </c>
      <c r="N64" t="s">
        <v>270</v>
      </c>
      <c r="O64">
        <v>1</v>
      </c>
      <c r="P64" t="s">
        <v>271</v>
      </c>
      <c r="Q64" t="s">
        <v>272</v>
      </c>
      <c r="R64" t="b">
        <v>0</v>
      </c>
      <c r="S64">
        <v>-18.741359949416982</v>
      </c>
      <c r="T64">
        <v>0.86264875087655302</v>
      </c>
      <c r="U64">
        <v>88.997836393648569</v>
      </c>
      <c r="V64">
        <v>1.7115</v>
      </c>
      <c r="W64">
        <v>63</v>
      </c>
      <c r="X64">
        <v>52</v>
      </c>
      <c r="Y64">
        <v>45</v>
      </c>
      <c r="Z64">
        <v>63</v>
      </c>
      <c r="AA64">
        <v>10</v>
      </c>
      <c r="AB64" s="30">
        <v>45725</v>
      </c>
      <c r="AC64">
        <v>87</v>
      </c>
      <c r="AD64">
        <v>8696</v>
      </c>
    </row>
    <row r="65" spans="1:30" x14ac:dyDescent="0.2">
      <c r="A65">
        <v>11693900</v>
      </c>
      <c r="B65">
        <v>65</v>
      </c>
      <c r="C65">
        <v>14636</v>
      </c>
      <c r="D65" t="s">
        <v>147</v>
      </c>
      <c r="E65" t="s">
        <v>148</v>
      </c>
      <c r="F65" t="s">
        <v>50</v>
      </c>
      <c r="G65" s="29">
        <v>34177</v>
      </c>
      <c r="H65" t="s">
        <v>113</v>
      </c>
      <c r="I65" t="b">
        <v>0</v>
      </c>
      <c r="J65">
        <v>237</v>
      </c>
      <c r="K65" t="s">
        <v>114</v>
      </c>
      <c r="L65" t="s">
        <v>115</v>
      </c>
      <c r="M65" t="s">
        <v>116</v>
      </c>
      <c r="N65" t="s">
        <v>115</v>
      </c>
      <c r="O65">
        <v>6</v>
      </c>
      <c r="P65" t="s">
        <v>117</v>
      </c>
      <c r="Q65" t="s">
        <v>118</v>
      </c>
      <c r="R65" t="b">
        <v>0</v>
      </c>
      <c r="S65">
        <v>-22.690054549554855</v>
      </c>
      <c r="T65">
        <v>23.122191639218723</v>
      </c>
      <c r="U65">
        <v>69.863563829638125</v>
      </c>
      <c r="V65">
        <v>1.704</v>
      </c>
      <c r="W65">
        <v>41</v>
      </c>
      <c r="X65">
        <v>41</v>
      </c>
      <c r="Y65">
        <v>69</v>
      </c>
      <c r="Z65">
        <v>64</v>
      </c>
      <c r="AA65">
        <v>10</v>
      </c>
      <c r="AB65" s="30">
        <v>45725</v>
      </c>
      <c r="AC65">
        <v>87</v>
      </c>
      <c r="AD65">
        <v>8696</v>
      </c>
    </row>
    <row r="66" spans="1:30" x14ac:dyDescent="0.2">
      <c r="A66">
        <v>11693865</v>
      </c>
      <c r="B66">
        <v>66</v>
      </c>
      <c r="C66">
        <v>13508</v>
      </c>
      <c r="D66" t="s">
        <v>514</v>
      </c>
      <c r="E66" t="s">
        <v>515</v>
      </c>
      <c r="F66" t="s">
        <v>516</v>
      </c>
      <c r="G66" s="29">
        <v>30913</v>
      </c>
      <c r="H66" t="s">
        <v>113</v>
      </c>
      <c r="I66" t="b">
        <v>0</v>
      </c>
      <c r="J66">
        <v>242</v>
      </c>
      <c r="K66" t="s">
        <v>517</v>
      </c>
      <c r="L66" t="s">
        <v>518</v>
      </c>
      <c r="M66" t="s">
        <v>519</v>
      </c>
      <c r="N66" t="s">
        <v>518</v>
      </c>
      <c r="O66">
        <v>7</v>
      </c>
      <c r="P66" t="s">
        <v>219</v>
      </c>
      <c r="Q66" t="s">
        <v>220</v>
      </c>
      <c r="R66" t="b">
        <v>0</v>
      </c>
      <c r="S66">
        <v>-7.4680379070107037</v>
      </c>
      <c r="T66">
        <v>17.795933168498799</v>
      </c>
      <c r="U66">
        <v>67.624282998323579</v>
      </c>
      <c r="V66">
        <v>1.6906000000000001</v>
      </c>
      <c r="W66">
        <v>31</v>
      </c>
      <c r="X66">
        <v>40</v>
      </c>
      <c r="Y66">
        <v>77</v>
      </c>
      <c r="Z66">
        <v>65</v>
      </c>
      <c r="AA66">
        <v>10</v>
      </c>
      <c r="AB66" s="30">
        <v>45725</v>
      </c>
      <c r="AC66">
        <v>87</v>
      </c>
      <c r="AD66">
        <v>8696</v>
      </c>
    </row>
    <row r="67" spans="1:30" x14ac:dyDescent="0.2">
      <c r="A67">
        <v>11693827</v>
      </c>
      <c r="B67">
        <v>70</v>
      </c>
      <c r="C67">
        <v>17538</v>
      </c>
      <c r="D67" t="s">
        <v>141</v>
      </c>
      <c r="E67" t="s">
        <v>142</v>
      </c>
      <c r="F67" t="s">
        <v>30</v>
      </c>
      <c r="G67" s="29">
        <v>33196</v>
      </c>
      <c r="H67" t="s">
        <v>113</v>
      </c>
      <c r="I67" t="b">
        <v>0</v>
      </c>
      <c r="J67">
        <v>237</v>
      </c>
      <c r="K67" t="s">
        <v>114</v>
      </c>
      <c r="L67" t="s">
        <v>115</v>
      </c>
      <c r="M67" t="s">
        <v>116</v>
      </c>
      <c r="N67" t="s">
        <v>115</v>
      </c>
      <c r="O67">
        <v>6</v>
      </c>
      <c r="P67" t="s">
        <v>117</v>
      </c>
      <c r="Q67" t="s">
        <v>118</v>
      </c>
      <c r="R67" t="b">
        <v>0</v>
      </c>
      <c r="S67">
        <v>-26.736391606202602</v>
      </c>
      <c r="T67">
        <v>2.3323456867289973</v>
      </c>
      <c r="U67">
        <v>75.393060027453799</v>
      </c>
      <c r="V67">
        <v>1.639</v>
      </c>
      <c r="W67">
        <v>46</v>
      </c>
      <c r="X67">
        <v>46</v>
      </c>
      <c r="Y67">
        <v>41</v>
      </c>
      <c r="Z67">
        <v>66</v>
      </c>
      <c r="AA67">
        <v>10</v>
      </c>
      <c r="AB67" s="30">
        <v>45725</v>
      </c>
      <c r="AC67">
        <v>87</v>
      </c>
      <c r="AD67">
        <v>8696</v>
      </c>
    </row>
    <row r="68" spans="1:30" x14ac:dyDescent="0.2">
      <c r="A68">
        <v>11693829</v>
      </c>
      <c r="B68">
        <v>69</v>
      </c>
      <c r="C68">
        <v>15556</v>
      </c>
      <c r="D68" t="s">
        <v>258</v>
      </c>
      <c r="E68" t="s">
        <v>259</v>
      </c>
      <c r="F68" t="s">
        <v>260</v>
      </c>
      <c r="G68" s="29">
        <v>33200</v>
      </c>
      <c r="H68" t="s">
        <v>113</v>
      </c>
      <c r="I68" t="b">
        <v>0</v>
      </c>
      <c r="J68">
        <v>39</v>
      </c>
      <c r="K68" t="s">
        <v>205</v>
      </c>
      <c r="L68" t="s">
        <v>206</v>
      </c>
      <c r="M68" t="s">
        <v>207</v>
      </c>
      <c r="N68" t="s">
        <v>206</v>
      </c>
      <c r="O68">
        <v>6</v>
      </c>
      <c r="P68" t="s">
        <v>117</v>
      </c>
      <c r="Q68" t="s">
        <v>118</v>
      </c>
      <c r="R68" t="b">
        <v>0</v>
      </c>
      <c r="S68">
        <v>-15.320579173455375</v>
      </c>
      <c r="T68">
        <v>7.2148919996335685</v>
      </c>
      <c r="U68">
        <v>86.996488613673193</v>
      </c>
      <c r="V68">
        <v>1.673</v>
      </c>
      <c r="W68">
        <v>53</v>
      </c>
      <c r="X68">
        <v>52</v>
      </c>
      <c r="Y68">
        <v>56</v>
      </c>
      <c r="Z68">
        <v>67</v>
      </c>
      <c r="AA68">
        <v>10</v>
      </c>
      <c r="AB68" s="30">
        <v>45725</v>
      </c>
      <c r="AC68">
        <v>87</v>
      </c>
      <c r="AD68">
        <v>8696</v>
      </c>
    </row>
    <row r="69" spans="1:30" x14ac:dyDescent="0.2">
      <c r="A69">
        <v>11693913</v>
      </c>
      <c r="B69">
        <v>52</v>
      </c>
      <c r="C69">
        <v>17543</v>
      </c>
      <c r="D69" t="s">
        <v>504</v>
      </c>
      <c r="E69" t="s">
        <v>177</v>
      </c>
      <c r="F69" t="s">
        <v>505</v>
      </c>
      <c r="G69" s="29">
        <v>34164</v>
      </c>
      <c r="H69" t="s">
        <v>113</v>
      </c>
      <c r="I69" t="b">
        <v>0</v>
      </c>
      <c r="J69">
        <v>237</v>
      </c>
      <c r="K69" t="s">
        <v>114</v>
      </c>
      <c r="L69" t="s">
        <v>115</v>
      </c>
      <c r="M69" t="s">
        <v>116</v>
      </c>
      <c r="N69" t="s">
        <v>115</v>
      </c>
      <c r="O69">
        <v>6</v>
      </c>
      <c r="P69" t="s">
        <v>117</v>
      </c>
      <c r="Q69" t="s">
        <v>118</v>
      </c>
      <c r="R69" t="b">
        <v>0</v>
      </c>
      <c r="S69">
        <v>-8.9439545212530476</v>
      </c>
      <c r="T69">
        <v>68.323472809106107</v>
      </c>
      <c r="U69">
        <v>104.35089298340016</v>
      </c>
      <c r="V69">
        <v>2.0066999999999999</v>
      </c>
      <c r="W69">
        <v>55</v>
      </c>
      <c r="X69">
        <v>52</v>
      </c>
      <c r="Y69">
        <v>155</v>
      </c>
      <c r="Z69">
        <v>68</v>
      </c>
      <c r="AA69">
        <v>10</v>
      </c>
      <c r="AB69" s="30">
        <v>45725</v>
      </c>
      <c r="AC69">
        <v>87</v>
      </c>
      <c r="AD69">
        <v>8696</v>
      </c>
    </row>
    <row r="70" spans="1:30" x14ac:dyDescent="0.2">
      <c r="A70">
        <v>11693825</v>
      </c>
      <c r="B70">
        <v>72</v>
      </c>
      <c r="C70">
        <v>23602</v>
      </c>
      <c r="D70" t="s">
        <v>309</v>
      </c>
      <c r="E70" t="s">
        <v>274</v>
      </c>
      <c r="F70" t="s">
        <v>469</v>
      </c>
      <c r="G70" s="29">
        <v>36962</v>
      </c>
      <c r="H70" t="s">
        <v>113</v>
      </c>
      <c r="I70" t="b">
        <v>0</v>
      </c>
      <c r="J70">
        <v>60</v>
      </c>
      <c r="K70" t="s">
        <v>276</v>
      </c>
      <c r="L70" t="s">
        <v>277</v>
      </c>
      <c r="M70" t="s">
        <v>278</v>
      </c>
      <c r="N70" t="s">
        <v>279</v>
      </c>
      <c r="O70">
        <v>4</v>
      </c>
      <c r="P70" t="s">
        <v>119</v>
      </c>
      <c r="Q70" t="s">
        <v>120</v>
      </c>
      <c r="R70" t="b">
        <v>0</v>
      </c>
      <c r="S70">
        <v>-18.97315875743298</v>
      </c>
      <c r="T70">
        <v>10.861352896564565</v>
      </c>
      <c r="U70">
        <v>83.730895870148871</v>
      </c>
      <c r="V70">
        <v>1.6102000000000001</v>
      </c>
      <c r="W70">
        <v>54</v>
      </c>
      <c r="X70">
        <v>52</v>
      </c>
      <c r="Y70">
        <v>58</v>
      </c>
      <c r="Z70">
        <v>69</v>
      </c>
      <c r="AA70">
        <v>10</v>
      </c>
      <c r="AB70" s="30">
        <v>45725</v>
      </c>
      <c r="AC70">
        <v>87</v>
      </c>
      <c r="AD70">
        <v>8696</v>
      </c>
    </row>
    <row r="71" spans="1:30" x14ac:dyDescent="0.2">
      <c r="A71">
        <v>11693897</v>
      </c>
      <c r="B71">
        <v>67</v>
      </c>
      <c r="C71">
        <v>19428</v>
      </c>
      <c r="D71" t="s">
        <v>467</v>
      </c>
      <c r="E71" t="s">
        <v>468</v>
      </c>
      <c r="F71" t="s">
        <v>310</v>
      </c>
      <c r="G71" s="29">
        <v>35293</v>
      </c>
      <c r="H71" t="s">
        <v>113</v>
      </c>
      <c r="I71" t="b">
        <v>0</v>
      </c>
      <c r="J71">
        <v>237</v>
      </c>
      <c r="K71" t="s">
        <v>114</v>
      </c>
      <c r="L71" t="s">
        <v>115</v>
      </c>
      <c r="M71" t="s">
        <v>116</v>
      </c>
      <c r="N71" t="s">
        <v>115</v>
      </c>
      <c r="O71">
        <v>6</v>
      </c>
      <c r="P71" t="s">
        <v>117</v>
      </c>
      <c r="Q71" t="s">
        <v>118</v>
      </c>
      <c r="R71" t="b">
        <v>0</v>
      </c>
      <c r="S71">
        <v>-11.729142426527392</v>
      </c>
      <c r="T71">
        <v>12.737986979800159</v>
      </c>
      <c r="U71">
        <v>67.27972655692551</v>
      </c>
      <c r="V71">
        <v>1.6819999999999999</v>
      </c>
      <c r="W71">
        <v>29</v>
      </c>
      <c r="X71">
        <v>40</v>
      </c>
      <c r="Y71">
        <v>63</v>
      </c>
      <c r="Z71">
        <v>70</v>
      </c>
      <c r="AA71">
        <v>10</v>
      </c>
      <c r="AB71" s="30">
        <v>45725</v>
      </c>
      <c r="AC71">
        <v>87</v>
      </c>
      <c r="AD71">
        <v>8696</v>
      </c>
    </row>
    <row r="72" spans="1:30" x14ac:dyDescent="0.2">
      <c r="A72">
        <v>11693864</v>
      </c>
      <c r="B72">
        <v>68</v>
      </c>
      <c r="C72">
        <v>14609</v>
      </c>
      <c r="D72" t="s">
        <v>210</v>
      </c>
      <c r="E72" t="s">
        <v>177</v>
      </c>
      <c r="F72" t="s">
        <v>43</v>
      </c>
      <c r="G72" s="29">
        <v>34878</v>
      </c>
      <c r="H72" t="s">
        <v>113</v>
      </c>
      <c r="I72" t="b">
        <v>0</v>
      </c>
      <c r="J72">
        <v>118</v>
      </c>
      <c r="K72" t="s">
        <v>169</v>
      </c>
      <c r="L72" t="s">
        <v>170</v>
      </c>
      <c r="M72" t="s">
        <v>171</v>
      </c>
      <c r="N72" t="s">
        <v>170</v>
      </c>
      <c r="O72">
        <v>3</v>
      </c>
      <c r="P72" t="s">
        <v>172</v>
      </c>
      <c r="Q72" t="s">
        <v>173</v>
      </c>
      <c r="R72" t="b">
        <v>0</v>
      </c>
      <c r="S72">
        <v>-18.616599064730774</v>
      </c>
      <c r="T72">
        <v>19.333240887894771</v>
      </c>
      <c r="U72">
        <v>87.37522688482683</v>
      </c>
      <c r="V72">
        <v>1.6802999999999999</v>
      </c>
      <c r="W72">
        <v>52</v>
      </c>
      <c r="X72">
        <v>52</v>
      </c>
      <c r="Y72">
        <v>60</v>
      </c>
      <c r="Z72">
        <v>71</v>
      </c>
      <c r="AA72">
        <v>10</v>
      </c>
      <c r="AB72" s="30">
        <v>45725</v>
      </c>
      <c r="AC72">
        <v>87</v>
      </c>
      <c r="AD72">
        <v>8696</v>
      </c>
    </row>
    <row r="73" spans="1:30" x14ac:dyDescent="0.2">
      <c r="A73">
        <v>11693826</v>
      </c>
      <c r="B73">
        <v>71</v>
      </c>
      <c r="C73">
        <v>16283</v>
      </c>
      <c r="D73" t="s">
        <v>125</v>
      </c>
      <c r="E73" t="s">
        <v>331</v>
      </c>
      <c r="F73" t="s">
        <v>332</v>
      </c>
      <c r="G73" s="29">
        <v>33785</v>
      </c>
      <c r="H73" t="s">
        <v>113</v>
      </c>
      <c r="I73" t="b">
        <v>0</v>
      </c>
      <c r="J73">
        <v>237</v>
      </c>
      <c r="K73" t="s">
        <v>114</v>
      </c>
      <c r="L73" t="s">
        <v>115</v>
      </c>
      <c r="M73" t="s">
        <v>116</v>
      </c>
      <c r="N73" t="s">
        <v>115</v>
      </c>
      <c r="O73">
        <v>6</v>
      </c>
      <c r="P73" t="s">
        <v>117</v>
      </c>
      <c r="Q73" t="s">
        <v>118</v>
      </c>
      <c r="R73" t="b">
        <v>0</v>
      </c>
      <c r="S73">
        <v>-13.311631476628023</v>
      </c>
      <c r="T73">
        <v>34.011766091805406</v>
      </c>
      <c r="U73">
        <v>84.688743705091255</v>
      </c>
      <c r="V73">
        <v>1.6286</v>
      </c>
      <c r="W73">
        <v>59</v>
      </c>
      <c r="X73">
        <v>52</v>
      </c>
      <c r="Y73">
        <v>91</v>
      </c>
      <c r="Z73">
        <v>72</v>
      </c>
      <c r="AA73">
        <v>10</v>
      </c>
      <c r="AB73" s="30">
        <v>45725</v>
      </c>
      <c r="AC73">
        <v>87</v>
      </c>
      <c r="AD73">
        <v>8696</v>
      </c>
    </row>
    <row r="74" spans="1:30" x14ac:dyDescent="0.2">
      <c r="A74">
        <v>11693824</v>
      </c>
      <c r="B74">
        <v>73</v>
      </c>
      <c r="C74">
        <v>15575</v>
      </c>
      <c r="D74" t="s">
        <v>176</v>
      </c>
      <c r="E74" t="s">
        <v>221</v>
      </c>
      <c r="F74" t="s">
        <v>67</v>
      </c>
      <c r="G74" s="29">
        <v>32653</v>
      </c>
      <c r="H74" t="s">
        <v>113</v>
      </c>
      <c r="I74" t="b">
        <v>0</v>
      </c>
      <c r="J74">
        <v>237</v>
      </c>
      <c r="K74" t="s">
        <v>114</v>
      </c>
      <c r="L74" t="s">
        <v>115</v>
      </c>
      <c r="M74" t="s">
        <v>116</v>
      </c>
      <c r="N74" t="s">
        <v>115</v>
      </c>
      <c r="O74">
        <v>6</v>
      </c>
      <c r="P74" t="s">
        <v>117</v>
      </c>
      <c r="Q74" t="s">
        <v>118</v>
      </c>
      <c r="R74" t="b">
        <v>0</v>
      </c>
      <c r="S74">
        <v>-16.87562373475583</v>
      </c>
      <c r="T74">
        <v>16.228243613377213</v>
      </c>
      <c r="U74">
        <v>83.011976622779173</v>
      </c>
      <c r="V74">
        <v>1.5964</v>
      </c>
      <c r="W74">
        <v>57</v>
      </c>
      <c r="X74">
        <v>52</v>
      </c>
      <c r="Y74">
        <v>67</v>
      </c>
      <c r="Z74">
        <v>73</v>
      </c>
      <c r="AA74">
        <v>10</v>
      </c>
      <c r="AB74" s="30">
        <v>45725</v>
      </c>
      <c r="AC74">
        <v>87</v>
      </c>
      <c r="AD74">
        <v>8696</v>
      </c>
    </row>
    <row r="75" spans="1:30" x14ac:dyDescent="0.2">
      <c r="A75">
        <v>11693822</v>
      </c>
      <c r="B75">
        <v>75</v>
      </c>
      <c r="C75">
        <v>13965</v>
      </c>
      <c r="D75" t="s">
        <v>213</v>
      </c>
      <c r="E75" t="s">
        <v>237</v>
      </c>
      <c r="F75" t="s">
        <v>71</v>
      </c>
      <c r="G75" s="29">
        <v>32083</v>
      </c>
      <c r="H75" t="s">
        <v>113</v>
      </c>
      <c r="I75" t="b">
        <v>0</v>
      </c>
      <c r="J75">
        <v>39</v>
      </c>
      <c r="K75" t="s">
        <v>205</v>
      </c>
      <c r="L75" t="s">
        <v>206</v>
      </c>
      <c r="M75" t="s">
        <v>207</v>
      </c>
      <c r="N75" t="s">
        <v>206</v>
      </c>
      <c r="O75">
        <v>6</v>
      </c>
      <c r="P75" t="s">
        <v>117</v>
      </c>
      <c r="Q75" t="s">
        <v>118</v>
      </c>
      <c r="R75" t="b">
        <v>0</v>
      </c>
      <c r="S75">
        <v>-16.83995378616768</v>
      </c>
      <c r="T75">
        <v>11.730505286316781</v>
      </c>
      <c r="U75">
        <v>75.945810904865638</v>
      </c>
      <c r="V75">
        <v>1.5822000000000001</v>
      </c>
      <c r="W75">
        <v>48</v>
      </c>
      <c r="X75">
        <v>48</v>
      </c>
      <c r="Y75">
        <v>59</v>
      </c>
      <c r="Z75">
        <v>74</v>
      </c>
      <c r="AA75">
        <v>10</v>
      </c>
      <c r="AB75" s="30">
        <v>45725</v>
      </c>
      <c r="AC75">
        <v>87</v>
      </c>
      <c r="AD75">
        <v>8696</v>
      </c>
    </row>
    <row r="76" spans="1:30" x14ac:dyDescent="0.2">
      <c r="A76">
        <v>11693823</v>
      </c>
      <c r="B76">
        <v>74</v>
      </c>
      <c r="C76">
        <v>12423</v>
      </c>
      <c r="D76" t="s">
        <v>216</v>
      </c>
      <c r="E76" t="s">
        <v>217</v>
      </c>
      <c r="F76" t="s">
        <v>58</v>
      </c>
      <c r="G76" s="29">
        <v>31175</v>
      </c>
      <c r="H76" t="s">
        <v>113</v>
      </c>
      <c r="I76" t="b">
        <v>0</v>
      </c>
      <c r="J76">
        <v>237</v>
      </c>
      <c r="K76" t="s">
        <v>114</v>
      </c>
      <c r="L76" t="s">
        <v>115</v>
      </c>
      <c r="M76" t="s">
        <v>116</v>
      </c>
      <c r="N76" t="s">
        <v>115</v>
      </c>
      <c r="O76">
        <v>6</v>
      </c>
      <c r="P76" t="s">
        <v>117</v>
      </c>
      <c r="Q76" t="s">
        <v>118</v>
      </c>
      <c r="R76" t="b">
        <v>0</v>
      </c>
      <c r="S76">
        <v>-19.952467110234618</v>
      </c>
      <c r="T76">
        <v>6.3825401503166113</v>
      </c>
      <c r="U76">
        <v>75.010219229037872</v>
      </c>
      <c r="V76">
        <v>1.5960000000000001</v>
      </c>
      <c r="W76">
        <v>47</v>
      </c>
      <c r="X76">
        <v>47</v>
      </c>
      <c r="Y76">
        <v>52</v>
      </c>
      <c r="Z76">
        <v>75</v>
      </c>
      <c r="AA76">
        <v>10</v>
      </c>
      <c r="AB76" s="30">
        <v>45725</v>
      </c>
      <c r="AC76">
        <v>87</v>
      </c>
      <c r="AD76">
        <v>8696</v>
      </c>
    </row>
    <row r="77" spans="1:30" x14ac:dyDescent="0.2">
      <c r="A77">
        <v>11693821</v>
      </c>
      <c r="B77">
        <v>76</v>
      </c>
      <c r="C77">
        <v>17881</v>
      </c>
      <c r="D77" t="s">
        <v>520</v>
      </c>
      <c r="E77" t="s">
        <v>521</v>
      </c>
      <c r="F77" t="s">
        <v>522</v>
      </c>
      <c r="G77" s="29">
        <v>36018</v>
      </c>
      <c r="H77" t="s">
        <v>113</v>
      </c>
      <c r="I77" t="b">
        <v>0</v>
      </c>
      <c r="J77">
        <v>219</v>
      </c>
      <c r="K77" t="s">
        <v>478</v>
      </c>
      <c r="L77" t="s">
        <v>479</v>
      </c>
      <c r="M77" t="s">
        <v>480</v>
      </c>
      <c r="N77" t="s">
        <v>481</v>
      </c>
      <c r="O77">
        <v>3</v>
      </c>
      <c r="P77" t="s">
        <v>172</v>
      </c>
      <c r="Q77" t="s">
        <v>173</v>
      </c>
      <c r="R77" t="b">
        <v>0</v>
      </c>
      <c r="S77">
        <v>-10.271061653406244</v>
      </c>
      <c r="T77">
        <v>10.417447166828945</v>
      </c>
      <c r="U77">
        <v>72.890599927173469</v>
      </c>
      <c r="V77">
        <v>1.5508999999999999</v>
      </c>
      <c r="W77">
        <v>47</v>
      </c>
      <c r="X77">
        <v>47</v>
      </c>
      <c r="Y77">
        <v>64</v>
      </c>
      <c r="Z77">
        <v>76</v>
      </c>
      <c r="AA77">
        <v>10</v>
      </c>
      <c r="AB77" s="30">
        <v>45725</v>
      </c>
      <c r="AC77">
        <v>87</v>
      </c>
      <c r="AD77">
        <v>8696</v>
      </c>
    </row>
    <row r="78" spans="1:30" x14ac:dyDescent="0.2">
      <c r="A78">
        <v>11693816</v>
      </c>
      <c r="B78">
        <v>81</v>
      </c>
      <c r="C78">
        <v>18079</v>
      </c>
      <c r="D78" t="s">
        <v>527</v>
      </c>
      <c r="E78" t="s">
        <v>528</v>
      </c>
      <c r="F78" t="s">
        <v>218</v>
      </c>
      <c r="G78" s="29">
        <v>36106</v>
      </c>
      <c r="H78" t="s">
        <v>113</v>
      </c>
      <c r="I78" t="b">
        <v>0</v>
      </c>
      <c r="J78">
        <v>44</v>
      </c>
      <c r="K78" t="s">
        <v>529</v>
      </c>
      <c r="L78" t="s">
        <v>530</v>
      </c>
      <c r="M78" t="s">
        <v>531</v>
      </c>
      <c r="N78" t="s">
        <v>532</v>
      </c>
      <c r="O78">
        <v>7</v>
      </c>
      <c r="P78" t="s">
        <v>219</v>
      </c>
      <c r="Q78" t="s">
        <v>220</v>
      </c>
      <c r="R78" t="b">
        <v>0</v>
      </c>
      <c r="S78">
        <v>-7.291046299284579</v>
      </c>
      <c r="T78">
        <v>5.4747193173042827</v>
      </c>
      <c r="U78">
        <v>60.263764578738815</v>
      </c>
      <c r="V78">
        <v>1.5065999999999999</v>
      </c>
      <c r="W78">
        <v>17</v>
      </c>
      <c r="X78">
        <v>40</v>
      </c>
      <c r="Y78">
        <v>72</v>
      </c>
      <c r="Z78">
        <v>77</v>
      </c>
      <c r="AA78">
        <v>10</v>
      </c>
      <c r="AB78" s="30">
        <v>45725</v>
      </c>
      <c r="AC78">
        <v>87</v>
      </c>
      <c r="AD78">
        <v>8696</v>
      </c>
    </row>
    <row r="79" spans="1:30" x14ac:dyDescent="0.2">
      <c r="A79">
        <v>11693817</v>
      </c>
      <c r="B79">
        <v>80</v>
      </c>
      <c r="C79">
        <v>20706</v>
      </c>
      <c r="D79" t="s">
        <v>143</v>
      </c>
      <c r="E79" t="s">
        <v>335</v>
      </c>
      <c r="F79" t="s">
        <v>336</v>
      </c>
      <c r="G79" s="29">
        <v>32975</v>
      </c>
      <c r="H79" t="s">
        <v>113</v>
      </c>
      <c r="I79" t="b">
        <v>0</v>
      </c>
      <c r="J79">
        <v>253</v>
      </c>
      <c r="K79" t="s">
        <v>145</v>
      </c>
      <c r="L79" t="s">
        <v>76</v>
      </c>
      <c r="M79" t="s">
        <v>76</v>
      </c>
      <c r="N79" t="s">
        <v>146</v>
      </c>
      <c r="O79">
        <v>4</v>
      </c>
      <c r="P79" t="s">
        <v>119</v>
      </c>
      <c r="Q79" t="s">
        <v>120</v>
      </c>
      <c r="R79" t="b">
        <v>0</v>
      </c>
      <c r="S79">
        <v>-12.844861104527475</v>
      </c>
      <c r="T79">
        <v>3.5840567166902497</v>
      </c>
      <c r="U79">
        <v>78.376708954257651</v>
      </c>
      <c r="V79">
        <v>1.5072000000000001</v>
      </c>
      <c r="W79">
        <v>61</v>
      </c>
      <c r="X79">
        <v>52</v>
      </c>
      <c r="Y79">
        <v>61</v>
      </c>
      <c r="Z79">
        <v>78</v>
      </c>
      <c r="AA79">
        <v>10</v>
      </c>
      <c r="AB79" s="30">
        <v>45725</v>
      </c>
      <c r="AC79">
        <v>87</v>
      </c>
      <c r="AD79">
        <v>8696</v>
      </c>
    </row>
    <row r="80" spans="1:30" x14ac:dyDescent="0.2">
      <c r="A80">
        <v>11693818</v>
      </c>
      <c r="B80">
        <v>79</v>
      </c>
      <c r="C80">
        <v>25569</v>
      </c>
      <c r="D80" t="s">
        <v>482</v>
      </c>
      <c r="E80" t="s">
        <v>483</v>
      </c>
      <c r="F80" t="s">
        <v>484</v>
      </c>
      <c r="G80" s="29">
        <v>35250</v>
      </c>
      <c r="H80" t="s">
        <v>113</v>
      </c>
      <c r="I80" t="b">
        <v>0</v>
      </c>
      <c r="J80">
        <v>237</v>
      </c>
      <c r="K80" t="s">
        <v>114</v>
      </c>
      <c r="L80" t="s">
        <v>115</v>
      </c>
      <c r="M80" t="s">
        <v>116</v>
      </c>
      <c r="N80" t="s">
        <v>115</v>
      </c>
      <c r="O80">
        <v>6</v>
      </c>
      <c r="P80" t="s">
        <v>117</v>
      </c>
      <c r="Q80" t="s">
        <v>118</v>
      </c>
      <c r="R80" t="b">
        <v>0</v>
      </c>
      <c r="S80">
        <v>-11.632746847255433</v>
      </c>
      <c r="T80">
        <v>39.828509942758309</v>
      </c>
      <c r="U80">
        <v>78.468596183499585</v>
      </c>
      <c r="V80">
        <v>1.5089999999999999</v>
      </c>
      <c r="W80">
        <v>60</v>
      </c>
      <c r="X80">
        <v>52</v>
      </c>
      <c r="Y80">
        <v>142</v>
      </c>
      <c r="Z80">
        <v>79</v>
      </c>
      <c r="AA80">
        <v>10</v>
      </c>
      <c r="AB80" s="30">
        <v>45725</v>
      </c>
      <c r="AC80">
        <v>87</v>
      </c>
      <c r="AD80">
        <v>8696</v>
      </c>
    </row>
    <row r="81" spans="1:30" x14ac:dyDescent="0.2">
      <c r="A81">
        <v>11693819</v>
      </c>
      <c r="B81">
        <v>78</v>
      </c>
      <c r="C81">
        <v>23475</v>
      </c>
      <c r="D81" t="s">
        <v>241</v>
      </c>
      <c r="E81" t="s">
        <v>525</v>
      </c>
      <c r="F81" t="s">
        <v>526</v>
      </c>
      <c r="G81" s="29">
        <v>34789</v>
      </c>
      <c r="H81" t="s">
        <v>113</v>
      </c>
      <c r="I81" t="b">
        <v>0</v>
      </c>
      <c r="J81">
        <v>237</v>
      </c>
      <c r="K81" t="s">
        <v>114</v>
      </c>
      <c r="L81" t="s">
        <v>115</v>
      </c>
      <c r="M81" t="s">
        <v>116</v>
      </c>
      <c r="N81" t="s">
        <v>115</v>
      </c>
      <c r="O81">
        <v>6</v>
      </c>
      <c r="P81" t="s">
        <v>117</v>
      </c>
      <c r="Q81" t="s">
        <v>118</v>
      </c>
      <c r="R81" t="b">
        <v>0</v>
      </c>
      <c r="S81">
        <v>-8.0480411801551881</v>
      </c>
      <c r="T81">
        <v>32.353253095242508</v>
      </c>
      <c r="U81">
        <v>78.703052528456581</v>
      </c>
      <c r="V81">
        <v>1.5135000000000001</v>
      </c>
      <c r="W81">
        <v>53</v>
      </c>
      <c r="X81">
        <v>52</v>
      </c>
      <c r="Y81">
        <v>123</v>
      </c>
      <c r="Z81">
        <v>80</v>
      </c>
      <c r="AA81">
        <v>10</v>
      </c>
      <c r="AB81" s="30">
        <v>45725</v>
      </c>
      <c r="AC81">
        <v>87</v>
      </c>
      <c r="AD81">
        <v>8696</v>
      </c>
    </row>
    <row r="82" spans="1:30" x14ac:dyDescent="0.2">
      <c r="A82">
        <v>11693815</v>
      </c>
      <c r="B82">
        <v>82</v>
      </c>
      <c r="C82">
        <v>23505</v>
      </c>
      <c r="D82" t="s">
        <v>141</v>
      </c>
      <c r="E82" t="s">
        <v>533</v>
      </c>
      <c r="F82" t="s">
        <v>534</v>
      </c>
      <c r="G82" s="29">
        <v>34822</v>
      </c>
      <c r="H82" t="s">
        <v>113</v>
      </c>
      <c r="I82" t="b">
        <v>0</v>
      </c>
      <c r="J82">
        <v>237</v>
      </c>
      <c r="K82" t="s">
        <v>114</v>
      </c>
      <c r="L82" t="s">
        <v>115</v>
      </c>
      <c r="M82" t="s">
        <v>116</v>
      </c>
      <c r="N82" t="s">
        <v>115</v>
      </c>
      <c r="O82">
        <v>6</v>
      </c>
      <c r="P82" t="s">
        <v>117</v>
      </c>
      <c r="Q82" t="s">
        <v>118</v>
      </c>
      <c r="R82" t="b">
        <v>0</v>
      </c>
      <c r="S82">
        <v>-8.3375917354839313</v>
      </c>
      <c r="T82">
        <v>15.857377154558355</v>
      </c>
      <c r="U82">
        <v>77.72911172173869</v>
      </c>
      <c r="V82">
        <v>1.4947999999999999</v>
      </c>
      <c r="W82">
        <v>59</v>
      </c>
      <c r="X82">
        <v>52</v>
      </c>
      <c r="Y82">
        <v>82</v>
      </c>
      <c r="Z82">
        <v>81</v>
      </c>
      <c r="AA82">
        <v>10</v>
      </c>
      <c r="AB82" s="30">
        <v>45725</v>
      </c>
      <c r="AC82">
        <v>87</v>
      </c>
      <c r="AD82">
        <v>8696</v>
      </c>
    </row>
    <row r="83" spans="1:30" x14ac:dyDescent="0.2">
      <c r="A83">
        <v>11693814</v>
      </c>
      <c r="B83">
        <v>83</v>
      </c>
      <c r="C83">
        <v>21944</v>
      </c>
      <c r="D83" t="s">
        <v>227</v>
      </c>
      <c r="E83" t="s">
        <v>231</v>
      </c>
      <c r="F83" t="s">
        <v>41</v>
      </c>
      <c r="G83" s="29">
        <v>34178</v>
      </c>
      <c r="H83" t="s">
        <v>113</v>
      </c>
      <c r="I83" t="b">
        <v>0</v>
      </c>
      <c r="J83">
        <v>237</v>
      </c>
      <c r="K83" t="s">
        <v>114</v>
      </c>
      <c r="L83" t="s">
        <v>115</v>
      </c>
      <c r="M83" t="s">
        <v>116</v>
      </c>
      <c r="N83" t="s">
        <v>115</v>
      </c>
      <c r="O83">
        <v>6</v>
      </c>
      <c r="P83" t="s">
        <v>117</v>
      </c>
      <c r="Q83" t="s">
        <v>118</v>
      </c>
      <c r="R83" t="b">
        <v>0</v>
      </c>
      <c r="S83">
        <v>-17.457162612153844</v>
      </c>
      <c r="T83">
        <v>22.305152022810994</v>
      </c>
      <c r="U83">
        <v>75.757854956169979</v>
      </c>
      <c r="V83">
        <v>1.4854000000000001</v>
      </c>
      <c r="W83">
        <v>51</v>
      </c>
      <c r="X83">
        <v>51</v>
      </c>
      <c r="Y83">
        <v>81</v>
      </c>
      <c r="Z83">
        <v>82</v>
      </c>
      <c r="AA83">
        <v>10</v>
      </c>
      <c r="AB83" s="30">
        <v>45725</v>
      </c>
      <c r="AC83">
        <v>87</v>
      </c>
      <c r="AD83">
        <v>8696</v>
      </c>
    </row>
    <row r="84" spans="1:30" x14ac:dyDescent="0.2">
      <c r="A84">
        <v>11693828</v>
      </c>
      <c r="B84">
        <v>84</v>
      </c>
      <c r="C84">
        <v>13412</v>
      </c>
      <c r="D84" t="s">
        <v>286</v>
      </c>
      <c r="E84" t="s">
        <v>287</v>
      </c>
      <c r="F84" t="s">
        <v>288</v>
      </c>
      <c r="G84" s="29">
        <v>32863</v>
      </c>
      <c r="H84" t="s">
        <v>113</v>
      </c>
      <c r="I84" t="b">
        <v>0</v>
      </c>
      <c r="J84">
        <v>60</v>
      </c>
      <c r="K84" t="s">
        <v>276</v>
      </c>
      <c r="L84" t="s">
        <v>277</v>
      </c>
      <c r="M84" t="s">
        <v>278</v>
      </c>
      <c r="N84" t="s">
        <v>279</v>
      </c>
      <c r="O84">
        <v>4</v>
      </c>
      <c r="P84" t="s">
        <v>119</v>
      </c>
      <c r="Q84" t="s">
        <v>120</v>
      </c>
      <c r="R84" t="b">
        <v>0</v>
      </c>
      <c r="S84">
        <v>-13.700123905642396</v>
      </c>
      <c r="T84">
        <v>3.1991616005223413</v>
      </c>
      <c r="U84">
        <v>74.214978436319299</v>
      </c>
      <c r="V84">
        <v>1.4272</v>
      </c>
      <c r="W84">
        <v>53</v>
      </c>
      <c r="X84">
        <v>52</v>
      </c>
      <c r="Y84">
        <v>66</v>
      </c>
      <c r="Z84">
        <v>83</v>
      </c>
      <c r="AA84">
        <v>10</v>
      </c>
      <c r="AB84" s="30">
        <v>45725</v>
      </c>
      <c r="AC84">
        <v>87</v>
      </c>
      <c r="AD84">
        <v>8696</v>
      </c>
    </row>
    <row r="85" spans="1:30" x14ac:dyDescent="0.2">
      <c r="A85">
        <v>11693813</v>
      </c>
      <c r="B85">
        <v>85</v>
      </c>
      <c r="C85">
        <v>17550</v>
      </c>
      <c r="D85" t="s">
        <v>316</v>
      </c>
      <c r="E85" t="s">
        <v>317</v>
      </c>
      <c r="F85" t="s">
        <v>318</v>
      </c>
      <c r="G85" s="29">
        <v>32925</v>
      </c>
      <c r="H85" t="s">
        <v>113</v>
      </c>
      <c r="I85" t="b">
        <v>0</v>
      </c>
      <c r="J85">
        <v>207</v>
      </c>
      <c r="K85" t="s">
        <v>267</v>
      </c>
      <c r="L85" t="s">
        <v>268</v>
      </c>
      <c r="M85" t="s">
        <v>269</v>
      </c>
      <c r="N85" t="s">
        <v>270</v>
      </c>
      <c r="O85">
        <v>1</v>
      </c>
      <c r="P85" t="s">
        <v>271</v>
      </c>
      <c r="Q85" t="s">
        <v>272</v>
      </c>
      <c r="R85" t="b">
        <v>0</v>
      </c>
      <c r="S85">
        <v>-13.63739957762909</v>
      </c>
      <c r="T85">
        <v>10.68851309918653</v>
      </c>
      <c r="U85">
        <v>73.005742637381587</v>
      </c>
      <c r="V85">
        <v>1.4039999999999999</v>
      </c>
      <c r="W85">
        <v>59</v>
      </c>
      <c r="X85">
        <v>52</v>
      </c>
      <c r="Y85">
        <v>75</v>
      </c>
      <c r="Z85">
        <v>84</v>
      </c>
      <c r="AA85">
        <v>10</v>
      </c>
      <c r="AB85" s="30">
        <v>45725</v>
      </c>
      <c r="AC85">
        <v>87</v>
      </c>
      <c r="AD85">
        <v>8696</v>
      </c>
    </row>
    <row r="86" spans="1:30" x14ac:dyDescent="0.2">
      <c r="A86">
        <v>11693811</v>
      </c>
      <c r="B86">
        <v>86</v>
      </c>
      <c r="C86">
        <v>15470</v>
      </c>
      <c r="D86" t="s">
        <v>324</v>
      </c>
      <c r="E86" t="s">
        <v>325</v>
      </c>
      <c r="F86" t="s">
        <v>326</v>
      </c>
      <c r="G86" s="29">
        <v>34774</v>
      </c>
      <c r="H86" t="s">
        <v>113</v>
      </c>
      <c r="I86" t="b">
        <v>0</v>
      </c>
      <c r="J86">
        <v>237</v>
      </c>
      <c r="K86" t="s">
        <v>114</v>
      </c>
      <c r="L86" t="s">
        <v>115</v>
      </c>
      <c r="M86" t="s">
        <v>116</v>
      </c>
      <c r="N86" t="s">
        <v>115</v>
      </c>
      <c r="O86">
        <v>6</v>
      </c>
      <c r="P86" t="s">
        <v>117</v>
      </c>
      <c r="Q86" t="s">
        <v>118</v>
      </c>
      <c r="R86" t="b">
        <v>0</v>
      </c>
      <c r="S86">
        <v>-13.317913187689145</v>
      </c>
      <c r="T86">
        <v>13.063367158878579</v>
      </c>
      <c r="U86">
        <v>72.317351900202993</v>
      </c>
      <c r="V86">
        <v>1.3907</v>
      </c>
      <c r="W86">
        <v>53</v>
      </c>
      <c r="X86">
        <v>52</v>
      </c>
      <c r="Y86">
        <v>80</v>
      </c>
      <c r="Z86">
        <v>85</v>
      </c>
      <c r="AA86">
        <v>10</v>
      </c>
      <c r="AB86" s="30">
        <v>45725</v>
      </c>
      <c r="AC86">
        <v>87</v>
      </c>
      <c r="AD86">
        <v>8696</v>
      </c>
    </row>
    <row r="87" spans="1:30" x14ac:dyDescent="0.2">
      <c r="A87">
        <v>11693810</v>
      </c>
      <c r="B87">
        <v>87</v>
      </c>
      <c r="C87">
        <v>28984</v>
      </c>
      <c r="D87" t="s">
        <v>535</v>
      </c>
      <c r="E87" t="s">
        <v>536</v>
      </c>
      <c r="F87" t="s">
        <v>432</v>
      </c>
      <c r="G87" s="29">
        <v>37232</v>
      </c>
      <c r="H87" t="s">
        <v>113</v>
      </c>
      <c r="I87" t="b">
        <v>0</v>
      </c>
      <c r="J87">
        <v>210</v>
      </c>
      <c r="K87" t="s">
        <v>379</v>
      </c>
      <c r="L87" t="s">
        <v>380</v>
      </c>
      <c r="M87" t="s">
        <v>381</v>
      </c>
      <c r="N87" t="s">
        <v>380</v>
      </c>
      <c r="O87">
        <v>4</v>
      </c>
      <c r="P87" t="s">
        <v>119</v>
      </c>
      <c r="Q87" t="s">
        <v>120</v>
      </c>
      <c r="R87" t="b">
        <v>0</v>
      </c>
      <c r="S87">
        <v>-7.3932157998845831</v>
      </c>
      <c r="T87">
        <v>14.169722773768225</v>
      </c>
      <c r="U87">
        <v>53.837483043144843</v>
      </c>
      <c r="V87">
        <v>1.3459000000000001</v>
      </c>
      <c r="W87">
        <v>23</v>
      </c>
      <c r="X87">
        <v>40</v>
      </c>
      <c r="Y87">
        <v>101</v>
      </c>
      <c r="Z87">
        <v>86</v>
      </c>
      <c r="AA87">
        <v>10</v>
      </c>
      <c r="AB87" s="30">
        <v>45725</v>
      </c>
      <c r="AC87">
        <v>87</v>
      </c>
      <c r="AD87">
        <v>8696</v>
      </c>
    </row>
    <row r="88" spans="1:30" x14ac:dyDescent="0.2">
      <c r="A88">
        <v>11693809</v>
      </c>
      <c r="B88">
        <v>88</v>
      </c>
      <c r="C88">
        <v>17723</v>
      </c>
      <c r="D88" t="s">
        <v>160</v>
      </c>
      <c r="E88" t="s">
        <v>537</v>
      </c>
      <c r="F88" t="s">
        <v>538</v>
      </c>
      <c r="G88" s="29">
        <v>32602</v>
      </c>
      <c r="H88" t="s">
        <v>113</v>
      </c>
      <c r="I88" t="b">
        <v>0</v>
      </c>
      <c r="J88">
        <v>237</v>
      </c>
      <c r="K88" t="s">
        <v>114</v>
      </c>
      <c r="L88" t="s">
        <v>115</v>
      </c>
      <c r="M88" t="s">
        <v>116</v>
      </c>
      <c r="N88" t="s">
        <v>115</v>
      </c>
      <c r="O88">
        <v>6</v>
      </c>
      <c r="P88" t="s">
        <v>117</v>
      </c>
      <c r="Q88" t="s">
        <v>118</v>
      </c>
      <c r="R88" t="b">
        <v>0</v>
      </c>
      <c r="S88">
        <v>-7.8988875821266191</v>
      </c>
      <c r="T88">
        <v>19.699793872847295</v>
      </c>
      <c r="U88">
        <v>69.725218949812287</v>
      </c>
      <c r="V88">
        <v>1.3409</v>
      </c>
      <c r="W88">
        <v>58</v>
      </c>
      <c r="X88">
        <v>52</v>
      </c>
      <c r="Y88">
        <v>111</v>
      </c>
      <c r="Z88">
        <v>87</v>
      </c>
      <c r="AA88">
        <v>10</v>
      </c>
      <c r="AB88" s="30">
        <v>45725</v>
      </c>
      <c r="AC88">
        <v>87</v>
      </c>
      <c r="AD88">
        <v>8696</v>
      </c>
    </row>
    <row r="89" spans="1:30" x14ac:dyDescent="0.2">
      <c r="A89">
        <v>11693820</v>
      </c>
      <c r="B89">
        <v>77</v>
      </c>
      <c r="C89">
        <v>23841</v>
      </c>
      <c r="D89" t="s">
        <v>273</v>
      </c>
      <c r="E89" t="s">
        <v>523</v>
      </c>
      <c r="F89" t="s">
        <v>524</v>
      </c>
      <c r="G89" s="29">
        <v>36344</v>
      </c>
      <c r="H89" t="s">
        <v>113</v>
      </c>
      <c r="I89" t="b">
        <v>0</v>
      </c>
      <c r="J89">
        <v>60</v>
      </c>
      <c r="K89" t="s">
        <v>276</v>
      </c>
      <c r="L89" t="s">
        <v>277</v>
      </c>
      <c r="M89" t="s">
        <v>278</v>
      </c>
      <c r="N89" t="s">
        <v>279</v>
      </c>
      <c r="O89">
        <v>4</v>
      </c>
      <c r="P89" t="s">
        <v>119</v>
      </c>
      <c r="Q89" t="s">
        <v>120</v>
      </c>
      <c r="R89" t="b">
        <v>0</v>
      </c>
      <c r="S89">
        <v>-6.6727570423565936</v>
      </c>
      <c r="T89">
        <v>28.511499997141001</v>
      </c>
      <c r="U89">
        <v>72.8479588280575</v>
      </c>
      <c r="V89">
        <v>1.55</v>
      </c>
      <c r="W89">
        <v>47</v>
      </c>
      <c r="X89">
        <v>47</v>
      </c>
      <c r="Y89">
        <v>94</v>
      </c>
      <c r="Z89">
        <v>88</v>
      </c>
      <c r="AA89">
        <v>10</v>
      </c>
      <c r="AB89" s="30">
        <v>45725</v>
      </c>
      <c r="AC89">
        <v>87</v>
      </c>
      <c r="AD89">
        <v>8696</v>
      </c>
    </row>
    <row r="90" spans="1:30" x14ac:dyDescent="0.2">
      <c r="A90">
        <v>11693806</v>
      </c>
      <c r="B90">
        <v>91</v>
      </c>
      <c r="C90">
        <v>19396</v>
      </c>
      <c r="D90" t="s">
        <v>312</v>
      </c>
      <c r="E90" t="s">
        <v>313</v>
      </c>
      <c r="F90" t="s">
        <v>314</v>
      </c>
      <c r="G90" s="29">
        <v>34485</v>
      </c>
      <c r="H90" t="s">
        <v>113</v>
      </c>
      <c r="I90" t="b">
        <v>0</v>
      </c>
      <c r="J90">
        <v>237</v>
      </c>
      <c r="K90" t="s">
        <v>114</v>
      </c>
      <c r="L90" t="s">
        <v>115</v>
      </c>
      <c r="M90" t="s">
        <v>116</v>
      </c>
      <c r="N90" t="s">
        <v>115</v>
      </c>
      <c r="O90">
        <v>6</v>
      </c>
      <c r="P90" t="s">
        <v>117</v>
      </c>
      <c r="Q90" t="s">
        <v>118</v>
      </c>
      <c r="R90" t="b">
        <v>0</v>
      </c>
      <c r="S90">
        <v>-11.372088412439986</v>
      </c>
      <c r="T90">
        <v>19.321388660342606</v>
      </c>
      <c r="U90">
        <v>67.995430457427688</v>
      </c>
      <c r="V90">
        <v>1.3076000000000001</v>
      </c>
      <c r="W90">
        <v>52</v>
      </c>
      <c r="X90">
        <v>52</v>
      </c>
      <c r="Y90">
        <v>85</v>
      </c>
      <c r="Z90">
        <v>89</v>
      </c>
      <c r="AA90">
        <v>10</v>
      </c>
      <c r="AB90" s="30">
        <v>45725</v>
      </c>
      <c r="AC90">
        <v>87</v>
      </c>
      <c r="AD90">
        <v>8696</v>
      </c>
    </row>
    <row r="91" spans="1:30" x14ac:dyDescent="0.2">
      <c r="A91">
        <v>11693807</v>
      </c>
      <c r="B91">
        <v>90</v>
      </c>
      <c r="C91">
        <v>15676</v>
      </c>
      <c r="D91" t="s">
        <v>542</v>
      </c>
      <c r="E91" t="s">
        <v>543</v>
      </c>
      <c r="F91" t="s">
        <v>544</v>
      </c>
      <c r="G91" s="29">
        <v>33755</v>
      </c>
      <c r="H91" t="s">
        <v>113</v>
      </c>
      <c r="I91" t="b">
        <v>0</v>
      </c>
      <c r="J91">
        <v>60</v>
      </c>
      <c r="K91" t="s">
        <v>276</v>
      </c>
      <c r="L91" t="s">
        <v>277</v>
      </c>
      <c r="M91" t="s">
        <v>278</v>
      </c>
      <c r="N91" t="s">
        <v>279</v>
      </c>
      <c r="O91">
        <v>4</v>
      </c>
      <c r="P91" t="s">
        <v>119</v>
      </c>
      <c r="Q91" t="s">
        <v>120</v>
      </c>
      <c r="R91" t="b">
        <v>0</v>
      </c>
      <c r="S91">
        <v>-8.8236028744591302</v>
      </c>
      <c r="T91">
        <v>13.569429183812584</v>
      </c>
      <c r="U91">
        <v>68.544437914040643</v>
      </c>
      <c r="V91">
        <v>1.3182</v>
      </c>
      <c r="W91">
        <v>55</v>
      </c>
      <c r="X91">
        <v>52</v>
      </c>
      <c r="Y91">
        <v>93</v>
      </c>
      <c r="Z91">
        <v>90</v>
      </c>
      <c r="AA91">
        <v>10</v>
      </c>
      <c r="AB91" s="30">
        <v>45725</v>
      </c>
      <c r="AC91">
        <v>87</v>
      </c>
      <c r="AD91">
        <v>8696</v>
      </c>
    </row>
    <row r="92" spans="1:30" x14ac:dyDescent="0.2">
      <c r="A92">
        <v>11693804</v>
      </c>
      <c r="B92">
        <v>93</v>
      </c>
      <c r="C92">
        <v>25157</v>
      </c>
      <c r="D92" t="s">
        <v>229</v>
      </c>
      <c r="E92" t="s">
        <v>329</v>
      </c>
      <c r="F92" t="s">
        <v>330</v>
      </c>
      <c r="G92" s="29">
        <v>34864</v>
      </c>
      <c r="H92" t="s">
        <v>113</v>
      </c>
      <c r="I92" t="b">
        <v>0</v>
      </c>
      <c r="J92">
        <v>237</v>
      </c>
      <c r="K92" t="s">
        <v>114</v>
      </c>
      <c r="L92" t="s">
        <v>115</v>
      </c>
      <c r="M92" t="s">
        <v>116</v>
      </c>
      <c r="N92" t="s">
        <v>115</v>
      </c>
      <c r="O92">
        <v>6</v>
      </c>
      <c r="P92" t="s">
        <v>117</v>
      </c>
      <c r="Q92" t="s">
        <v>118</v>
      </c>
      <c r="R92" t="b">
        <v>0</v>
      </c>
      <c r="S92">
        <v>-13.464560896981496</v>
      </c>
      <c r="T92">
        <v>16.113330585305775</v>
      </c>
      <c r="U92">
        <v>67.136623452974121</v>
      </c>
      <c r="V92">
        <v>1.2910999999999999</v>
      </c>
      <c r="W92">
        <v>52</v>
      </c>
      <c r="X92">
        <v>52</v>
      </c>
      <c r="Y92">
        <v>89</v>
      </c>
      <c r="Z92">
        <v>91</v>
      </c>
      <c r="AA92">
        <v>10</v>
      </c>
      <c r="AB92" s="30">
        <v>45725</v>
      </c>
      <c r="AC92">
        <v>87</v>
      </c>
      <c r="AD92">
        <v>8696</v>
      </c>
    </row>
    <row r="93" spans="1:30" x14ac:dyDescent="0.2">
      <c r="A93">
        <v>11693805</v>
      </c>
      <c r="B93">
        <v>92</v>
      </c>
      <c r="C93">
        <v>32330</v>
      </c>
      <c r="D93" t="s">
        <v>319</v>
      </c>
      <c r="E93" t="s">
        <v>545</v>
      </c>
      <c r="F93" t="s">
        <v>546</v>
      </c>
      <c r="G93" s="29">
        <v>37930</v>
      </c>
      <c r="H93" t="s">
        <v>113</v>
      </c>
      <c r="I93" t="b">
        <v>1</v>
      </c>
      <c r="J93">
        <v>237</v>
      </c>
      <c r="K93" t="s">
        <v>114</v>
      </c>
      <c r="L93" t="s">
        <v>115</v>
      </c>
      <c r="M93" t="s">
        <v>116</v>
      </c>
      <c r="N93" t="s">
        <v>115</v>
      </c>
      <c r="O93">
        <v>6</v>
      </c>
      <c r="P93" t="s">
        <v>117</v>
      </c>
      <c r="Q93" t="s">
        <v>118</v>
      </c>
      <c r="R93" t="b">
        <v>0</v>
      </c>
      <c r="S93">
        <v>-4.6656831402204073</v>
      </c>
      <c r="T93">
        <v>6.8194485997554164</v>
      </c>
      <c r="U93">
        <v>52.048844328509603</v>
      </c>
      <c r="V93">
        <v>1.3011999999999999</v>
      </c>
      <c r="W93">
        <v>12</v>
      </c>
      <c r="X93">
        <v>40</v>
      </c>
      <c r="Y93">
        <v>87</v>
      </c>
      <c r="Z93">
        <v>92</v>
      </c>
      <c r="AA93">
        <v>10</v>
      </c>
      <c r="AB93" s="30">
        <v>45725</v>
      </c>
      <c r="AC93">
        <v>87</v>
      </c>
      <c r="AD93">
        <v>8696</v>
      </c>
    </row>
    <row r="94" spans="1:30" x14ac:dyDescent="0.2">
      <c r="A94">
        <v>11693803</v>
      </c>
      <c r="B94">
        <v>94</v>
      </c>
      <c r="C94">
        <v>13764</v>
      </c>
      <c r="D94" t="s">
        <v>547</v>
      </c>
      <c r="E94" t="s">
        <v>548</v>
      </c>
      <c r="F94" t="s">
        <v>549</v>
      </c>
      <c r="G94" s="29">
        <v>31733</v>
      </c>
      <c r="H94" t="s">
        <v>113</v>
      </c>
      <c r="I94" t="b">
        <v>0</v>
      </c>
      <c r="J94">
        <v>253</v>
      </c>
      <c r="K94" t="s">
        <v>145</v>
      </c>
      <c r="L94" t="s">
        <v>76</v>
      </c>
      <c r="M94" t="s">
        <v>76</v>
      </c>
      <c r="N94" t="s">
        <v>146</v>
      </c>
      <c r="O94">
        <v>4</v>
      </c>
      <c r="P94" t="s">
        <v>119</v>
      </c>
      <c r="Q94" t="s">
        <v>120</v>
      </c>
      <c r="R94" t="b">
        <v>0</v>
      </c>
      <c r="S94">
        <v>-5.1223100015093763</v>
      </c>
      <c r="T94">
        <v>10.645892390426688</v>
      </c>
      <c r="U94">
        <v>66.876740758637254</v>
      </c>
      <c r="V94">
        <v>1.2861</v>
      </c>
      <c r="W94">
        <v>57</v>
      </c>
      <c r="X94">
        <v>52</v>
      </c>
      <c r="Y94">
        <v>99</v>
      </c>
      <c r="Z94">
        <v>93</v>
      </c>
      <c r="AA94">
        <v>10</v>
      </c>
      <c r="AB94" s="30">
        <v>45725</v>
      </c>
      <c r="AC94">
        <v>87</v>
      </c>
      <c r="AD94">
        <v>8696</v>
      </c>
    </row>
    <row r="95" spans="1:30" x14ac:dyDescent="0.2">
      <c r="A95">
        <v>11693802</v>
      </c>
      <c r="B95">
        <v>95</v>
      </c>
      <c r="C95">
        <v>27194</v>
      </c>
      <c r="D95" t="s">
        <v>550</v>
      </c>
      <c r="E95" t="s">
        <v>551</v>
      </c>
      <c r="F95" t="s">
        <v>552</v>
      </c>
      <c r="G95" s="29">
        <v>35648</v>
      </c>
      <c r="H95" t="s">
        <v>113</v>
      </c>
      <c r="I95" t="b">
        <v>0</v>
      </c>
      <c r="J95">
        <v>253</v>
      </c>
      <c r="K95" t="s">
        <v>145</v>
      </c>
      <c r="L95" t="s">
        <v>76</v>
      </c>
      <c r="M95" t="s">
        <v>76</v>
      </c>
      <c r="N95" t="s">
        <v>146</v>
      </c>
      <c r="O95">
        <v>4</v>
      </c>
      <c r="P95" t="s">
        <v>119</v>
      </c>
      <c r="Q95" t="s">
        <v>120</v>
      </c>
      <c r="R95" t="b">
        <v>0</v>
      </c>
      <c r="S95">
        <v>-9.7801910843959021</v>
      </c>
      <c r="T95">
        <v>16.226244685948558</v>
      </c>
      <c r="U95">
        <v>65.49939905616182</v>
      </c>
      <c r="V95">
        <v>1.2596000000000001</v>
      </c>
      <c r="W95">
        <v>54</v>
      </c>
      <c r="X95">
        <v>52</v>
      </c>
      <c r="Y95">
        <v>108</v>
      </c>
      <c r="Z95">
        <v>94</v>
      </c>
      <c r="AA95">
        <v>10</v>
      </c>
      <c r="AB95" s="30">
        <v>45725</v>
      </c>
      <c r="AC95">
        <v>87</v>
      </c>
      <c r="AD95">
        <v>8696</v>
      </c>
    </row>
    <row r="96" spans="1:30" x14ac:dyDescent="0.2">
      <c r="A96">
        <v>11693800</v>
      </c>
      <c r="B96">
        <v>97</v>
      </c>
      <c r="C96">
        <v>12965</v>
      </c>
      <c r="D96" t="s">
        <v>163</v>
      </c>
      <c r="E96" t="s">
        <v>164</v>
      </c>
      <c r="F96" t="s">
        <v>37</v>
      </c>
      <c r="G96" s="29">
        <v>32490</v>
      </c>
      <c r="H96" t="s">
        <v>113</v>
      </c>
      <c r="I96" t="b">
        <v>0</v>
      </c>
      <c r="J96">
        <v>237</v>
      </c>
      <c r="K96" t="s">
        <v>114</v>
      </c>
      <c r="L96" t="s">
        <v>115</v>
      </c>
      <c r="M96" t="s">
        <v>116</v>
      </c>
      <c r="N96" t="s">
        <v>115</v>
      </c>
      <c r="O96">
        <v>6</v>
      </c>
      <c r="P96" t="s">
        <v>117</v>
      </c>
      <c r="Q96" t="s">
        <v>118</v>
      </c>
      <c r="R96" t="b">
        <v>0</v>
      </c>
      <c r="S96">
        <v>-19.49726411448119</v>
      </c>
      <c r="T96">
        <v>7.6787368001402445</v>
      </c>
      <c r="U96">
        <v>56.264683471482591</v>
      </c>
      <c r="V96">
        <v>1.2503</v>
      </c>
      <c r="W96">
        <v>45</v>
      </c>
      <c r="X96">
        <v>45</v>
      </c>
      <c r="Y96">
        <v>74</v>
      </c>
      <c r="Z96">
        <v>95</v>
      </c>
      <c r="AA96">
        <v>10</v>
      </c>
      <c r="AB96" s="30">
        <v>45725</v>
      </c>
      <c r="AC96">
        <v>87</v>
      </c>
      <c r="AD96">
        <v>8696</v>
      </c>
    </row>
    <row r="97" spans="1:30" x14ac:dyDescent="0.2">
      <c r="A97">
        <v>11693798</v>
      </c>
      <c r="B97">
        <v>99</v>
      </c>
      <c r="C97">
        <v>20730</v>
      </c>
      <c r="D97" t="s">
        <v>248</v>
      </c>
      <c r="E97" t="s">
        <v>249</v>
      </c>
      <c r="F97" t="s">
        <v>250</v>
      </c>
      <c r="G97" s="29">
        <v>33849</v>
      </c>
      <c r="H97" t="s">
        <v>113</v>
      </c>
      <c r="I97" t="b">
        <v>0</v>
      </c>
      <c r="J97">
        <v>75</v>
      </c>
      <c r="K97" t="s">
        <v>251</v>
      </c>
      <c r="L97" t="s">
        <v>252</v>
      </c>
      <c r="M97" t="s">
        <v>253</v>
      </c>
      <c r="N97" t="s">
        <v>252</v>
      </c>
      <c r="O97">
        <v>4</v>
      </c>
      <c r="P97" t="s">
        <v>119</v>
      </c>
      <c r="Q97" t="s">
        <v>120</v>
      </c>
      <c r="R97" t="b">
        <v>0</v>
      </c>
      <c r="S97">
        <v>-12.569033102004726</v>
      </c>
      <c r="T97">
        <v>5.4448453796864857</v>
      </c>
      <c r="U97">
        <v>64.396455329293801</v>
      </c>
      <c r="V97">
        <v>1.2383999999999999</v>
      </c>
      <c r="W97">
        <v>53</v>
      </c>
      <c r="X97">
        <v>52</v>
      </c>
      <c r="Y97">
        <v>78</v>
      </c>
      <c r="Z97">
        <v>96</v>
      </c>
      <c r="AA97">
        <v>10</v>
      </c>
      <c r="AB97" s="30">
        <v>45725</v>
      </c>
      <c r="AC97">
        <v>87</v>
      </c>
      <c r="AD97">
        <v>8696</v>
      </c>
    </row>
    <row r="98" spans="1:30" x14ac:dyDescent="0.2">
      <c r="A98">
        <v>11693799</v>
      </c>
      <c r="B98">
        <v>98</v>
      </c>
      <c r="C98">
        <v>16652</v>
      </c>
      <c r="D98" t="s">
        <v>553</v>
      </c>
      <c r="E98" t="s">
        <v>554</v>
      </c>
      <c r="F98" t="s">
        <v>555</v>
      </c>
      <c r="G98" s="29">
        <v>34837</v>
      </c>
      <c r="H98" t="s">
        <v>113</v>
      </c>
      <c r="I98" t="b">
        <v>0</v>
      </c>
      <c r="J98">
        <v>75</v>
      </c>
      <c r="K98" t="s">
        <v>251</v>
      </c>
      <c r="L98" t="s">
        <v>252</v>
      </c>
      <c r="M98" t="s">
        <v>253</v>
      </c>
      <c r="N98" t="s">
        <v>252</v>
      </c>
      <c r="O98">
        <v>4</v>
      </c>
      <c r="P98" t="s">
        <v>119</v>
      </c>
      <c r="Q98" t="s">
        <v>120</v>
      </c>
      <c r="R98" t="b">
        <v>0</v>
      </c>
      <c r="S98">
        <v>-12.719869159564187</v>
      </c>
      <c r="T98">
        <v>2.8149857546452814</v>
      </c>
      <c r="U98">
        <v>64.975204677777072</v>
      </c>
      <c r="V98">
        <v>1.2495000000000001</v>
      </c>
      <c r="W98">
        <v>59</v>
      </c>
      <c r="X98">
        <v>52</v>
      </c>
      <c r="Y98">
        <v>76</v>
      </c>
      <c r="Z98">
        <v>97</v>
      </c>
      <c r="AA98">
        <v>10</v>
      </c>
      <c r="AB98" s="30">
        <v>45725</v>
      </c>
      <c r="AC98">
        <v>87</v>
      </c>
      <c r="AD98">
        <v>8696</v>
      </c>
    </row>
    <row r="99" spans="1:30" x14ac:dyDescent="0.2">
      <c r="A99">
        <v>11693801</v>
      </c>
      <c r="B99">
        <v>96</v>
      </c>
      <c r="C99">
        <v>21891</v>
      </c>
      <c r="D99" t="s">
        <v>174</v>
      </c>
      <c r="E99" t="s">
        <v>175</v>
      </c>
      <c r="F99" t="s">
        <v>72</v>
      </c>
      <c r="G99" s="29">
        <v>33983</v>
      </c>
      <c r="H99" t="s">
        <v>113</v>
      </c>
      <c r="I99" t="b">
        <v>0</v>
      </c>
      <c r="J99">
        <v>237</v>
      </c>
      <c r="K99" t="s">
        <v>114</v>
      </c>
      <c r="L99" t="s">
        <v>115</v>
      </c>
      <c r="M99" t="s">
        <v>116</v>
      </c>
      <c r="N99" t="s">
        <v>115</v>
      </c>
      <c r="O99">
        <v>6</v>
      </c>
      <c r="P99" t="s">
        <v>117</v>
      </c>
      <c r="Q99" t="s">
        <v>118</v>
      </c>
      <c r="R99" t="b">
        <v>0</v>
      </c>
      <c r="S99">
        <v>-18.102332000694815</v>
      </c>
      <c r="T99">
        <v>3.8049568353546008</v>
      </c>
      <c r="U99">
        <v>52.586150584441299</v>
      </c>
      <c r="V99">
        <v>1.2521</v>
      </c>
      <c r="W99">
        <v>42</v>
      </c>
      <c r="X99">
        <v>42</v>
      </c>
      <c r="Y99">
        <v>71</v>
      </c>
      <c r="Z99">
        <v>98</v>
      </c>
      <c r="AA99">
        <v>10</v>
      </c>
      <c r="AB99" s="30">
        <v>45725</v>
      </c>
      <c r="AC99">
        <v>87</v>
      </c>
      <c r="AD99">
        <v>8696</v>
      </c>
    </row>
    <row r="100" spans="1:30" x14ac:dyDescent="0.2">
      <c r="A100">
        <v>11693812</v>
      </c>
      <c r="B100">
        <v>100</v>
      </c>
      <c r="C100">
        <v>24550</v>
      </c>
      <c r="D100" t="s">
        <v>556</v>
      </c>
      <c r="E100" t="s">
        <v>557</v>
      </c>
      <c r="F100" t="s">
        <v>404</v>
      </c>
      <c r="G100" s="29">
        <v>35171</v>
      </c>
      <c r="H100" t="s">
        <v>113</v>
      </c>
      <c r="I100" t="b">
        <v>0</v>
      </c>
      <c r="J100">
        <v>237</v>
      </c>
      <c r="K100" t="s">
        <v>114</v>
      </c>
      <c r="L100" t="s">
        <v>115</v>
      </c>
      <c r="M100" t="s">
        <v>116</v>
      </c>
      <c r="N100" t="s">
        <v>115</v>
      </c>
      <c r="O100">
        <v>6</v>
      </c>
      <c r="P100" t="s">
        <v>117</v>
      </c>
      <c r="Q100" t="s">
        <v>118</v>
      </c>
      <c r="R100" t="b">
        <v>0</v>
      </c>
      <c r="S100">
        <v>-9.9705560264624982</v>
      </c>
      <c r="T100">
        <v>9.8902438191337243</v>
      </c>
      <c r="U100">
        <v>63.730982584866005</v>
      </c>
      <c r="V100">
        <v>1.2256</v>
      </c>
      <c r="W100">
        <v>54</v>
      </c>
      <c r="X100">
        <v>52</v>
      </c>
      <c r="Y100">
        <v>92</v>
      </c>
      <c r="Z100">
        <v>99</v>
      </c>
      <c r="AA100">
        <v>10</v>
      </c>
      <c r="AB100" s="30">
        <v>45725</v>
      </c>
      <c r="AC100">
        <v>87</v>
      </c>
      <c r="AD100">
        <v>8696</v>
      </c>
    </row>
    <row r="101" spans="1:30" x14ac:dyDescent="0.2">
      <c r="A101">
        <v>11693808</v>
      </c>
      <c r="B101">
        <v>89</v>
      </c>
      <c r="C101">
        <v>7677</v>
      </c>
      <c r="D101" t="s">
        <v>539</v>
      </c>
      <c r="E101" t="s">
        <v>540</v>
      </c>
      <c r="F101" t="s">
        <v>541</v>
      </c>
      <c r="G101" s="29">
        <v>30085</v>
      </c>
      <c r="H101" t="s">
        <v>113</v>
      </c>
      <c r="I101" t="b">
        <v>0</v>
      </c>
      <c r="J101">
        <v>207</v>
      </c>
      <c r="K101" t="s">
        <v>267</v>
      </c>
      <c r="L101" t="s">
        <v>268</v>
      </c>
      <c r="M101" t="s">
        <v>269</v>
      </c>
      <c r="N101" t="s">
        <v>270</v>
      </c>
      <c r="O101">
        <v>1</v>
      </c>
      <c r="P101" t="s">
        <v>271</v>
      </c>
      <c r="Q101" t="s">
        <v>272</v>
      </c>
      <c r="R101" t="b">
        <v>0</v>
      </c>
      <c r="S101">
        <v>-3.9804915561726872</v>
      </c>
      <c r="T101">
        <v>18.865102939492957</v>
      </c>
      <c r="U101">
        <v>68.919310639925854</v>
      </c>
      <c r="V101">
        <v>1.3253999999999999</v>
      </c>
      <c r="W101">
        <v>60</v>
      </c>
      <c r="X101">
        <v>52</v>
      </c>
      <c r="Y101">
        <v>124</v>
      </c>
      <c r="Z101">
        <v>103</v>
      </c>
      <c r="AA101">
        <v>10</v>
      </c>
      <c r="AB101" s="30">
        <v>45725</v>
      </c>
      <c r="AC101">
        <v>87</v>
      </c>
      <c r="AD101">
        <v>8696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3BDB2-E32B-4958-A8B4-9ADC70F17639}">
  <sheetPr codeName="Sheet9"/>
  <dimension ref="A1:A4"/>
  <sheetViews>
    <sheetView workbookViewId="0">
      <selection sqref="A1:XFD1048576"/>
    </sheetView>
  </sheetViews>
  <sheetFormatPr defaultRowHeight="12.75" x14ac:dyDescent="0.2"/>
  <cols>
    <col min="1" max="1" width="13.140625" customWidth="1"/>
  </cols>
  <sheetData>
    <row r="1" spans="1:1" ht="15" x14ac:dyDescent="0.25">
      <c r="A1" s="46" t="str" cm="1">
        <f t="array" aca="1" ref="A1" ca="1">LEFT(CELL("filename"),FIND("[",CELL("filename"))-1)</f>
        <v>C:\pga\</v>
      </c>
    </row>
    <row r="4" spans="1:1" ht="17.25" x14ac:dyDescent="0.3">
      <c r="A4" s="45"/>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C8EEC8B3AAB7B468738BC80754BEADA" ma:contentTypeVersion="19" ma:contentTypeDescription="Create a new document." ma:contentTypeScope="" ma:versionID="5614f600f7d3440504f54022eabf8347">
  <xsd:schema xmlns:xsd="http://www.w3.org/2001/XMLSchema" xmlns:xs="http://www.w3.org/2001/XMLSchema" xmlns:p="http://schemas.microsoft.com/office/2006/metadata/properties" xmlns:ns1="http://schemas.microsoft.com/sharepoint/v3" xmlns:ns3="982f01af-4d07-425c-8fa5-3f0095db24b1" xmlns:ns4="5fd5ea90-b119-47df-baf9-72dae140e9be" targetNamespace="http://schemas.microsoft.com/office/2006/metadata/properties" ma:root="true" ma:fieldsID="c9a12ef4a14b00ace21d30e680e59b84" ns1:_="" ns3:_="" ns4:_="">
    <xsd:import namespace="http://schemas.microsoft.com/sharepoint/v3"/>
    <xsd:import namespace="982f01af-4d07-425c-8fa5-3f0095db24b1"/>
    <xsd:import namespace="5fd5ea90-b119-47df-baf9-72dae140e9be"/>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3:LastSharedByUser" minOccurs="0"/>
                <xsd:element ref="ns3:LastSharedByTime" minOccurs="0"/>
                <xsd:element ref="ns4:MediaServiceAutoKeyPoints" minOccurs="0"/>
                <xsd:element ref="ns4:MediaServiceKeyPoints" minOccurs="0"/>
                <xsd:element ref="ns4:MediaServiceOCR" minOccurs="0"/>
                <xsd:element ref="ns4:MediaServiceGenerationTime" minOccurs="0"/>
                <xsd:element ref="ns4:MediaServiceEventHashCode" minOccurs="0"/>
                <xsd:element ref="ns4:MediaServiceDateTaken" minOccurs="0"/>
                <xsd:element ref="ns4:MediaLengthInSeconds" minOccurs="0"/>
                <xsd:element ref="ns4:MediaServiceAutoTags" minOccurs="0"/>
                <xsd:element ref="ns4:_activity" minOccurs="0"/>
                <xsd:element ref="ns1:_ip_UnifiedCompliancePolicyProperties" minOccurs="0"/>
                <xsd:element ref="ns1:_ip_UnifiedCompliancePolicyUIAction"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Unified Compliance Policy Properties" ma:hidden="true" ma:internalName="_ip_UnifiedCompliancePolicyProperties">
      <xsd:simpleType>
        <xsd:restriction base="dms:Note"/>
      </xsd:simpleType>
    </xsd:element>
    <xsd:element name="_ip_UnifiedCompliancePolicyUIAction" ma:index="2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82f01af-4d07-425c-8fa5-3f0095db24b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3" nillable="true" ma:displayName="Last Shared By User" ma:description="" ma:hidden="true" ma:internalName="LastSharedByUser" ma:readOnly="true">
      <xsd:simpleType>
        <xsd:restriction base="dms:Note"/>
      </xsd:simpleType>
    </xsd:element>
    <xsd:element name="LastSharedByTime" ma:index="14" nillable="true" ma:displayName="Last Shared By Time" ma:description="" ma:hidden="true"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fd5ea90-b119-47df-baf9-72dae140e9be"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MediaServiceAutoTags" ma:index="22" nillable="true" ma:displayName="Tags" ma:internalName="MediaServiceAutoTags" ma:readOnly="true">
      <xsd:simpleType>
        <xsd:restriction base="dms:Text"/>
      </xsd:simpleType>
    </xsd:element>
    <xsd:element name="_activity" ma:index="23" nillable="true" ma:displayName="_activity" ma:hidden="true" ma:internalName="_activity">
      <xsd:simpleType>
        <xsd:restriction base="dms:Note"/>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activity xmlns="5fd5ea90-b119-47df-baf9-72dae140e9be" xsi:nil="true"/>
  </documentManagement>
</p:properties>
</file>

<file path=customXml/item4.xml>�� 
</file>

<file path=customXml/itemProps1.xml><?xml version="1.0" encoding="utf-8"?>
<ds:datastoreItem xmlns:ds="http://schemas.openxmlformats.org/officeDocument/2006/customXml" ds:itemID="{312617B2-6C25-4CC3-98C5-89E6F7C04E2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82f01af-4d07-425c-8fa5-3f0095db24b1"/>
    <ds:schemaRef ds:uri="5fd5ea90-b119-47df-baf9-72dae140e9b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84F2CE2-8682-4B06-879E-EB534F2F1472}">
  <ds:schemaRefs>
    <ds:schemaRef ds:uri="http://schemas.microsoft.com/sharepoint/v3/contenttype/forms"/>
  </ds:schemaRefs>
</ds:datastoreItem>
</file>

<file path=customXml/itemProps3.xml><?xml version="1.0" encoding="utf-8"?>
<ds:datastoreItem xmlns:ds="http://schemas.openxmlformats.org/officeDocument/2006/customXml" ds:itemID="{2EA05996-E1CD-4F5E-A686-756E14993D11}">
  <ds:schemaRefs>
    <ds:schemaRef ds:uri="http://schemas.microsoft.com/office/2006/metadata/properties"/>
    <ds:schemaRef ds:uri="http://schemas.microsoft.com/office/2006/documentManagement/types"/>
    <ds:schemaRef ds:uri="http://purl.org/dc/terms/"/>
    <ds:schemaRef ds:uri="http://purl.org/dc/elements/1.1/"/>
    <ds:schemaRef ds:uri="982f01af-4d07-425c-8fa5-3f0095db24b1"/>
    <ds:schemaRef ds:uri="http://schemas.microsoft.com/sharepoint/v3"/>
    <ds:schemaRef ds:uri="http://schemas.openxmlformats.org/package/2006/metadata/core-properties"/>
    <ds:schemaRef ds:uri="5fd5ea90-b119-47df-baf9-72dae140e9be"/>
    <ds:schemaRef ds:uri="http://schemas.microsoft.com/office/infopath/2007/PartnerControls"/>
    <ds:schemaRef ds:uri="http://www.w3.org/XML/1998/namespace"/>
    <ds:schemaRef ds:uri="http://purl.org/dc/dcmitype/"/>
  </ds:schemaRefs>
</ds:datastoreItem>
</file>

<file path=customXml/itemProps4.xml><?xml version="1.0" encoding="utf-8"?>
<ds:datastoreItem xmlns:ds="http://schemas.openxmlformats.org/officeDocument/2006/customXml" ds:itemID="{71F0B629-4CC1-47DA-A66A-CFFC7032F9C0}">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Picks</vt:lpstr>
      <vt:lpstr>Micro</vt:lpstr>
      <vt:lpstr>Scores</vt:lpstr>
      <vt:lpstr>Field</vt:lpstr>
      <vt:lpstr>ESPNPicks</vt:lpstr>
      <vt:lpstr>ESPNMicro</vt:lpstr>
      <vt:lpstr>ESPNScores</vt:lpstr>
      <vt:lpstr>ESPNField</vt:lpstr>
      <vt:lpstr>Picks30</vt:lpstr>
      <vt:lpstr>Micro30</vt:lpstr>
      <vt:lpstr>Final 30</vt:lpstr>
      <vt:lpstr>Top 40</vt:lpstr>
      <vt:lpstr>OWGR</vt:lpstr>
      <vt:lpstr>filePath</vt:lpstr>
      <vt:lpstr>FilePath</vt:lpstr>
    </vt:vector>
  </TitlesOfParts>
  <Manager/>
  <Company>Olde Tyme Barbers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Joe Magnetico Golf</dc:subject>
  <dc:creator>Preferred Customer</dc:creator>
  <cp:keywords/>
  <dc:description/>
  <cp:lastModifiedBy>Matt Desai</cp:lastModifiedBy>
  <cp:revision/>
  <dcterms:created xsi:type="dcterms:W3CDTF">2006-03-31T13:12:28Z</dcterms:created>
  <dcterms:modified xsi:type="dcterms:W3CDTF">2025-03-17T04:02:08Z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0x0101001C8EEC8B3AAB7B468738BC80754BEADA</vt:lpwstr>
  </property>
</Properties>
</file>