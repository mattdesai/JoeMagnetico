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E4C6E79A-ADB5-4293-A995-F72392FCD5EB}" xr6:coauthVersionLast="47" xr6:coauthVersionMax="47" xr10:uidLastSave="{00000000-0000-0000-0000-000000000000}"/>
  <bookViews>
    <workbookView xWindow="-108" yWindow="-108" windowWidth="23256" windowHeight="12456" tabRatio="601" firstSheet="2" activeTab="6" xr2:uid="{00000000-000D-0000-FFFF-FFFF00000000}"/>
  </bookViews>
  <sheets>
    <sheet name="ESPNPicks" sheetId="35" r:id="rId1"/>
    <sheet name="ESPNMicro" sheetId="37" r:id="rId2"/>
    <sheet name="Snapshots" sheetId="41" r:id="rId3"/>
    <sheet name="SnapshotsMicro" sheetId="42" r:id="rId4"/>
    <sheet name="ESPNScores" sheetId="39" r:id="rId5"/>
    <sheet name="ESPNField" sheetId="38" r:id="rId6"/>
    <sheet name="Status" sheetId="45" r:id="rId7"/>
    <sheet name="Picks30" sheetId="30" r:id="rId8"/>
    <sheet name="Micro30" sheetId="40" r:id="rId9"/>
    <sheet name="Final 30" sheetId="29" r:id="rId10"/>
    <sheet name="Top 40" sheetId="25" r:id="rId11"/>
    <sheet name="OWGR" sheetId="28" r:id="rId12"/>
    <sheet name="filePath" sheetId="32" r:id="rId13"/>
  </sheets>
  <functionGroups builtInGroupCount="19"/>
  <definedNames>
    <definedName name="_xleta.NOW" hidden="1" xlm="1">#NAME?</definedName>
    <definedName name="ExternalData_1" localSheetId="11" hidden="1">OWGR!$A$1:$AD$101</definedName>
    <definedName name="ExternalData_2" localSheetId="5" hidden="1">ESPNField!$A$1:$A$31</definedName>
    <definedName name="ExternalData_2" localSheetId="4" hidden="1">ESPNScores!$A$1:$B$31</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3" i="30" l="1"/>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S3" i="35"/>
  <c r="S2" i="35" s="1" a="1"/>
  <c r="C10" i="25" a="1"/>
  <c r="C10" i="25" s="1"/>
  <c r="C9" i="25" a="1"/>
  <c r="C9" i="25" s="1"/>
  <c r="C42" i="25" s="1"/>
  <c r="C8" i="25" a="1"/>
  <c r="C8" i="25" s="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7" i="25" a="1"/>
  <c r="C7" i="25" s="1"/>
  <c r="C6" i="25" a="1"/>
  <c r="C6" i="25" s="1"/>
  <c r="C5" i="25" a="1"/>
  <c r="C5" i="25" s="1"/>
  <c r="C4" i="25" a="1"/>
  <c r="C4" i="25" s="1"/>
  <c r="C3" i="25" a="1"/>
  <c r="C3" i="25" s="1"/>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35" i="35"/>
  <c r="B35" i="35"/>
  <c r="C34" i="35"/>
  <c r="B34" i="35"/>
  <c r="C41" i="37"/>
  <c r="B41" i="37"/>
  <c r="C40" i="37"/>
  <c r="B40" i="37"/>
  <c r="C33" i="35"/>
  <c r="B33"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0" i="35"/>
  <c r="AA50" i="35"/>
  <c r="Z50" i="35"/>
  <c r="Y50" i="35"/>
  <c r="X50" i="35"/>
  <c r="W50" i="35"/>
  <c r="V50" i="35"/>
  <c r="U50" i="35"/>
  <c r="T50" i="35"/>
  <c r="S50" i="35"/>
  <c r="R50" i="35"/>
  <c r="Q50" i="35"/>
  <c r="P50" i="35"/>
  <c r="O50" i="35"/>
  <c r="N50" i="35"/>
  <c r="I50" i="35"/>
  <c r="G50"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2" i="35"/>
  <c r="C31" i="35"/>
  <c r="C30" i="35"/>
  <c r="C29" i="35"/>
  <c r="C28" i="35"/>
  <c r="B32" i="35"/>
  <c r="B31" i="35"/>
  <c r="B30" i="35"/>
  <c r="B29" i="35"/>
  <c r="B28"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0" i="35"/>
  <c r="K50" i="35"/>
  <c r="J50" i="35"/>
  <c r="H50" i="35"/>
  <c r="F50"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Q38" i="40" l="1"/>
  <c r="AI51" i="40" s="1"/>
  <c r="K2" i="35"/>
  <c r="H51" i="35" s="1"/>
  <c r="O2" i="37"/>
  <c r="J55" i="37" s="1"/>
  <c r="Q28" i="35"/>
  <c r="Z51" i="35" s="1"/>
  <c r="Q41" i="37"/>
  <c r="AI55" i="37" s="1"/>
  <c r="S2" i="35"/>
  <c r="L51" i="35" s="1"/>
  <c r="G15" i="35"/>
  <c r="N51" i="35" s="1"/>
  <c r="G2" i="35"/>
  <c r="F51" i="35" s="1"/>
  <c r="U2" i="37"/>
  <c r="M55" i="37" s="1"/>
  <c r="G15" i="37"/>
  <c r="N55" i="37" s="1"/>
  <c r="U28" i="37"/>
  <c r="AC55" i="37" s="1"/>
  <c r="O15" i="37"/>
  <c r="R55" i="37" s="1"/>
  <c r="M15" i="37"/>
  <c r="Q55" i="37" s="1"/>
  <c r="Q2" i="37"/>
  <c r="K55" i="37" s="1"/>
  <c r="S28" i="37"/>
  <c r="AB55" i="37" s="1"/>
  <c r="U2" i="35"/>
  <c r="M51" i="35" s="1"/>
  <c r="U51" i="35"/>
  <c r="G2" i="37"/>
  <c r="F55" i="37" s="1"/>
  <c r="U15" i="37"/>
  <c r="U55" i="37" s="1"/>
  <c r="G28" i="37"/>
  <c r="V55" i="37" s="1"/>
  <c r="M28" i="37"/>
  <c r="Y55" i="37" s="1"/>
  <c r="M15" i="35"/>
  <c r="Q51" i="35" s="1"/>
  <c r="O28" i="37"/>
  <c r="Z55" i="37" s="1"/>
  <c r="O2" i="35"/>
  <c r="J51" i="35" s="1"/>
  <c r="Q28" i="37"/>
  <c r="AA55" i="37" s="1"/>
  <c r="Q2" i="35"/>
  <c r="K51" i="35" s="1"/>
  <c r="S28" i="35"/>
  <c r="AA51" i="35" s="1"/>
  <c r="S15" i="35"/>
  <c r="T51" i="35" s="1"/>
  <c r="I28" i="35"/>
  <c r="V51" i="35" s="1"/>
  <c r="I2" i="37"/>
  <c r="G55" i="37" s="1"/>
  <c r="S15" i="37"/>
  <c r="T55" i="37" s="1"/>
  <c r="I28" i="37"/>
  <c r="W55" i="37" s="1"/>
  <c r="G41" i="37"/>
  <c r="AD55" i="37" s="1"/>
  <c r="M28" i="35"/>
  <c r="X51" i="35" s="1"/>
  <c r="M2" i="35"/>
  <c r="I51" i="35" s="1"/>
  <c r="O28" i="35"/>
  <c r="Y51" i="35" s="1"/>
  <c r="M41" i="37"/>
  <c r="AG55" i="37" s="1"/>
  <c r="K15" i="35"/>
  <c r="P51" i="35" s="1"/>
  <c r="K15" i="37"/>
  <c r="P55" i="37" s="1"/>
  <c r="I15" i="35"/>
  <c r="O51" i="35" s="1"/>
  <c r="S2" i="37"/>
  <c r="L55" i="37" s="1"/>
  <c r="I2" i="35"/>
  <c r="G51" i="35" s="1"/>
  <c r="Q15" i="35"/>
  <c r="S51" i="35" s="1"/>
  <c r="K28" i="35"/>
  <c r="W51" i="35" s="1"/>
  <c r="K2" i="37"/>
  <c r="H55" i="37" s="1"/>
  <c r="Q15" i="37"/>
  <c r="S55" i="37" s="1"/>
  <c r="K28" i="37"/>
  <c r="X55" i="37" s="1"/>
  <c r="I41" i="37"/>
  <c r="AE55" i="37" s="1"/>
  <c r="K41" i="37"/>
  <c r="AF55" i="37" s="1"/>
  <c r="O15" i="35"/>
  <c r="R51"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B3" i="40" l="1" a="1"/>
  <c r="B3" i="40" s="1"/>
  <c r="B3" i="35"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D6" i="40" l="1"/>
  <c r="AA7" i="42"/>
  <c r="AA6" i="42"/>
  <c r="AA5" i="42"/>
  <c r="AA4" i="42"/>
  <c r="AA3" i="42"/>
  <c r="D6" i="35"/>
  <c r="B3" i="30" a="1"/>
  <c r="D4" i="40"/>
  <c r="D5" i="40"/>
  <c r="D7" i="40"/>
  <c r="B3" i="35"/>
  <c r="D4" i="35"/>
  <c r="D5" i="35"/>
  <c r="C45" i="29"/>
  <c r="B45" i="29" s="1"/>
  <c r="C43" i="29"/>
  <c r="B43" i="29" s="1"/>
  <c r="C41" i="29"/>
  <c r="B41" i="29" s="1"/>
  <c r="C42" i="29"/>
  <c r="B42" i="29" s="1"/>
  <c r="C44" i="29"/>
  <c r="B44" i="29" s="1"/>
  <c r="C47" i="29"/>
  <c r="B47" i="29" s="1"/>
  <c r="C46" i="29"/>
  <c r="B46" i="29" s="1"/>
  <c r="C40" i="29"/>
  <c r="B40" i="29" s="1"/>
  <c r="B43" i="25"/>
  <c r="AA7" i="41" l="1"/>
  <c r="AA6" i="41"/>
  <c r="AA5" i="41"/>
  <c r="AA4" i="41"/>
  <c r="AA3" i="41"/>
  <c r="D3" i="40"/>
  <c r="AA2" i="42"/>
  <c r="B3" i="30"/>
  <c r="D3" i="35"/>
  <c r="G65" i="37"/>
  <c r="D7" i="30"/>
  <c r="D6" i="30"/>
  <c r="D5" i="30"/>
  <c r="D4" i="30"/>
  <c r="G62"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D3" i="30" l="1"/>
  <c r="AA2" i="41"/>
  <c r="B42" i="25"/>
  <c r="B38" i="25"/>
  <c r="B41" i="25"/>
  <c r="B40" i="25"/>
  <c r="B39" i="25"/>
  <c r="B37" i="25"/>
  <c r="B36" i="25"/>
  <c r="C16" i="25"/>
  <c r="G63" i="37" l="1"/>
  <c r="G59" i="37"/>
  <c r="G60" i="37"/>
  <c r="G61" i="37"/>
  <c r="G62" i="37"/>
  <c r="G64" i="37"/>
  <c r="G59" i="35"/>
  <c r="G56" i="35"/>
  <c r="G58" i="35"/>
  <c r="G60" i="35"/>
  <c r="G55" i="35"/>
  <c r="G57" i="35"/>
  <c r="G61" i="35"/>
  <c r="B35" i="25"/>
  <c r="G58" i="37" l="1"/>
  <c r="G54" i="35"/>
  <c r="I15" i="37" l="1" a="1"/>
  <c r="I15" i="37" s="1"/>
  <c r="O55" i="37" s="1"/>
  <c r="B3" i="37" s="1" a="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<sst xmlns="http://schemas.openxmlformats.org/spreadsheetml/2006/main" count="2163" uniqueCount="492">
  <si>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</si>
  <si>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</si>
  <si>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</si>
  <si>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</si>
  <si>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</si>
  <si>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</si>
  <si>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</si>
  <si>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</si>
  <si>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</si>
  <si>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</si>
  <si>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</si>
  <si>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</si>
  <si>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</si>
  <si>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</si>
  <si>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</si>
  <si>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</si>
  <si>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</si>
  <si>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</si>
  <si>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</si>
  <si>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</si>
  <si>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</si>
  <si>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</si>
  <si>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</si>
  <si>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</si>
  <si>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</si>
  <si>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</si>
  <si>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</si>
  <si>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</si>
  <si>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</si>
  <si>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</si>
  <si>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</si>
  <si>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</si>
  <si>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</si>
  <si>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</si>
  <si>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</si>
  <si>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</si>
  <si>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</si>
  <si>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</si>
  <si>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</si>
  <si>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</si>
  <si>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</si>
  <si>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</si>
  <si>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</si>
  <si>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</si>
  <si>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</si>
  <si>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</si>
  <si>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</si>
  <si>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</si>
  <si>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Tyrrell Hatton</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</si>
  <si>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</si>
  <si>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</si>
  <si>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</si>
  <si>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</si>
  <si>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</si>
  <si>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</si>
  <si>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</si>
  <si>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</si>
  <si>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</si>
  <si>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</si>
  <si>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</si>
  <si>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</si>
  <si>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</si>
  <si>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</si>
  <si>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</si>
  <si>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</si>
  <si>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</si>
  <si>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</si>
  <si>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</si>
  <si>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</si>
  <si>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</si>
  <si>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</si>
  <si>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</si>
  <si>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</si>
  <si>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</si>
  <si>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</si>
  <si>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</si>
  <si>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</si>
  <si>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</si>
  <si>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</si>
  <si>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</si>
  <si>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</si>
  <si>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</si>
  <si>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</si>
  <si>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</si>
  <si>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</si>
  <si>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</si>
  <si>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</si>
  <si>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</si>
  <si>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</si>
  <si>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</si>
  <si>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</si>
  <si>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</si>
  <si>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</si>
  <si>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</si>
  <si>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</si>
  <si>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</si>
  <si>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</si>
  <si>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</si>
  <si>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</si>
  <si>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</si>
  <si>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</si>
  <si>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</si>
  <si>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</si>
  <si>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</si>
  <si>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</si>
  <si>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</si>
  <si>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</si>
  <si>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</si>
  <si>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</si>
  <si>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</si>
  <si>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</si>
  <si>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</si>
  <si>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</si>
  <si>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</si>
  <si>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</si>
  <si>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</si>
  <si>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</si>
  <si>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</si>
  <si>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</si>
  <si>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</si>
  <si>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</si>
  <si>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</si>
  <si>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Australia</t>
  </si>
  <si>
    <t>AUS</t>
  </si>
  <si>
    <t>AU</t>
  </si>
  <si>
    <t>Australasia</t>
  </si>
  <si>
    <t>ANZ</t>
  </si>
  <si>
    <t>Max</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</si>
  <si>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</si>
  <si>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</si>
  <si>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</si>
  <si>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</si>
  <si>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</si>
  <si>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</si>
  <si>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</si>
  <si>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</si>
  <si>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</si>
  <si>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</si>
  <si>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</si>
  <si>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</si>
  <si>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</si>
  <si>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</si>
  <si>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</si>
  <si>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</si>
  <si>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</si>
  <si>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</si>
  <si>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</si>
  <si>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</si>
  <si>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Tommy</t>
  </si>
  <si>
    <t>Fleetwood</t>
  </si>
  <si>
    <t>Sungjae</t>
  </si>
  <si>
    <t>Im</t>
  </si>
  <si>
    <t>Korea; Republic of</t>
  </si>
  <si>
    <t>KOR</t>
  </si>
  <si>
    <t>KR</t>
  </si>
  <si>
    <t>Asia</t>
  </si>
  <si>
    <t>Asa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</si>
  <si>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</si>
  <si>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</si>
  <si>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</si>
  <si>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</si>
  <si>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</si>
  <si>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</si>
  <si>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</si>
  <si>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</si>
  <si>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</si>
  <si>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</si>
  <si>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</si>
  <si>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</si>
  <si>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</si>
  <si>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</si>
  <si>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</si>
  <si>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</si>
  <si>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</si>
  <si>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</si>
  <si>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</si>
  <si>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</si>
  <si>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</si>
  <si>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</si>
  <si>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</si>
  <si>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</si>
  <si>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</si>
  <si>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</si>
  <si>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</si>
  <si>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</si>
  <si>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</si>
  <si>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</si>
  <si>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</si>
  <si>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</si>
  <si>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</si>
  <si>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</si>
  <si>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</si>
  <si>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</si>
  <si>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</si>
  <si>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</si>
  <si>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</si>
  <si>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</si>
  <si>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</si>
  <si>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</si>
  <si>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South America</t>
  </si>
  <si>
    <t>SAm</t>
  </si>
  <si>
    <t>Hoge</t>
  </si>
  <si>
    <t>Ryan Fox</t>
  </si>
  <si>
    <t>Billy Horschel</t>
  </si>
  <si>
    <t>Nick</t>
  </si>
  <si>
    <t>Taylor</t>
  </si>
  <si>
    <t>Min Woo</t>
  </si>
  <si>
    <t>Lee</t>
  </si>
  <si>
    <t>Min Woo Lee</t>
  </si>
  <si>
    <t>Davis</t>
  </si>
  <si>
    <t>Cameron Davis</t>
  </si>
  <si>
    <t>Lucas</t>
  </si>
  <si>
    <t>J.T.</t>
  </si>
  <si>
    <t>Poston</t>
  </si>
  <si>
    <t>Andrew</t>
  </si>
  <si>
    <t>Alex</t>
  </si>
  <si>
    <t>Noren</t>
  </si>
  <si>
    <t>Alex Noren</t>
  </si>
  <si>
    <t>Sweden</t>
  </si>
  <si>
    <t>SWE</t>
  </si>
  <si>
    <t>SE</t>
  </si>
  <si>
    <t>Aaron</t>
  </si>
  <si>
    <t>Belgium</t>
  </si>
  <si>
    <t>BEL</t>
  </si>
  <si>
    <t>BE</t>
  </si>
  <si>
    <t>Mackenzie</t>
  </si>
  <si>
    <t>Hughes</t>
  </si>
  <si>
    <t>Mackenzie Hughes</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</si>
  <si>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</si>
  <si>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</si>
  <si>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</si>
  <si>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</si>
  <si>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</si>
  <si>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</si>
  <si>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</si>
  <si>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</si>
  <si>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</si>
  <si>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</si>
  <si>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</si>
  <si>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</si>
  <si>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</si>
  <si>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</si>
  <si>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</si>
  <si>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</si>
  <si>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</si>
  <si>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</si>
  <si>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</si>
  <si>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</si>
  <si>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</si>
  <si>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</si>
  <si>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</si>
  <si>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</si>
  <si>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</si>
  <si>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</si>
  <si>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</si>
  <si>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</si>
  <si>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</si>
  <si>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</si>
  <si>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</si>
  <si>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</si>
  <si>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</si>
  <si>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</si>
  <si>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</si>
  <si>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</si>
  <si>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</si>
  <si>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</si>
  <si>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</si>
  <si>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</si>
  <si>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</si>
  <si>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Glover</t>
  </si>
  <si>
    <t>Jake</t>
  </si>
  <si>
    <t>Knapp</t>
  </si>
  <si>
    <t>Jake Knapp</t>
  </si>
  <si>
    <t>Erik</t>
  </si>
  <si>
    <t>van Rooyen</t>
  </si>
  <si>
    <t>Erik van Rooyen</t>
  </si>
  <si>
    <t>Stephan</t>
  </si>
  <si>
    <t>Jaeger</t>
  </si>
  <si>
    <t>Stephan Jaeger</t>
  </si>
  <si>
    <t>Wallace</t>
  </si>
  <si>
    <t>Matt Wallace</t>
  </si>
  <si>
    <t>Pendrith</t>
  </si>
  <si>
    <t>Taylor Pendrith</t>
  </si>
  <si>
    <t>Ben</t>
  </si>
  <si>
    <t>Griffin</t>
  </si>
  <si>
    <t>Ben Griffin</t>
  </si>
  <si>
    <t>Akshay</t>
  </si>
  <si>
    <t>Bhatia</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</si>
  <si>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</si>
  <si>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</si>
  <si>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</si>
  <si>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</si>
  <si>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</si>
  <si>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</si>
  <si>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</si>
  <si>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</si>
  <si>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</si>
  <si>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</si>
  <si>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</si>
  <si>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</si>
  <si>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</si>
  <si>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</si>
  <si>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</si>
  <si>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</si>
  <si>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</si>
  <si>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</si>
  <si>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</si>
  <si>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</si>
  <si>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</si>
  <si>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</si>
  <si>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</si>
  <si>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</si>
  <si>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</si>
  <si>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</si>
  <si>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</si>
  <si>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</si>
  <si>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</si>
  <si>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</si>
  <si>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</si>
  <si>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</si>
  <si>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</si>
  <si>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</si>
  <si>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</si>
  <si>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</si>
  <si>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Patrick Reed</t>
  </si>
  <si>
    <t>Bryson DeChambeau</t>
  </si>
  <si>
    <t>Ludvig Åberg</t>
  </si>
  <si>
    <t>Cruickshank</t>
  </si>
  <si>
    <t>Isaacson</t>
  </si>
  <si>
    <t>Tournament Leaderboard</t>
  </si>
  <si>
    <t>Lindsey</t>
  </si>
  <si>
    <t>Maverick McNealy</t>
  </si>
  <si>
    <t>Chris Gotterup</t>
  </si>
  <si>
    <t>Hideki</t>
  </si>
  <si>
    <t>Thompson</t>
  </si>
  <si>
    <t>Davis Thompson</t>
  </si>
  <si>
    <t>Bryson</t>
  </si>
  <si>
    <t>Dillabaugh</t>
  </si>
  <si>
    <t>GetScores Ended</t>
  </si>
  <si>
    <t>Updated from espn.com</t>
  </si>
  <si>
    <t>Davis Riley</t>
  </si>
  <si>
    <t>Maverick</t>
  </si>
  <si>
    <t>McNealy</t>
  </si>
  <si>
    <t>Thriston</t>
  </si>
  <si>
    <t>Lawrence</t>
  </si>
  <si>
    <t>PLAYER</t>
  </si>
  <si>
    <t>SCORE</t>
  </si>
  <si>
    <t>Taiwan (Chinese Taipei)</t>
  </si>
  <si>
    <t>TPE</t>
  </si>
  <si>
    <t>TW</t>
  </si>
  <si>
    <t>TWN</t>
  </si>
  <si>
    <t>Samuel</t>
  </si>
  <si>
    <t>Stevens</t>
  </si>
  <si>
    <t>Samuel Stevens</t>
  </si>
  <si>
    <t>William Seeger</t>
  </si>
  <si>
    <t>Anne Heal</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</si>
  <si>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</si>
  <si>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</si>
  <si>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</si>
  <si>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</si>
  <si>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</si>
  <si>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</si>
  <si>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</si>
  <si>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</si>
  <si>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</si>
  <si>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</si>
  <si>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</si>
  <si>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</si>
  <si>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</si>
  <si>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</si>
  <si>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</si>
  <si>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</si>
  <si>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</si>
  <si>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</si>
  <si>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</si>
  <si>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</si>
  <si>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</si>
  <si>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</si>
  <si>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</si>
  <si>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</si>
  <si>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</si>
  <si>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</si>
  <si>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</si>
  <si>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</si>
  <si>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</si>
  <si>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</si>
  <si>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</si>
  <si>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</si>
  <si>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</si>
  <si>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</si>
  <si>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</si>
  <si>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</si>
  <si>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</si>
  <si>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McGreevy</t>
  </si>
  <si>
    <t>Max McGreevy</t>
  </si>
  <si>
    <t>Harry</t>
  </si>
  <si>
    <t>Hall</t>
  </si>
  <si>
    <t>Harry Hall</t>
  </si>
  <si>
    <t>Brian Campbell</t>
  </si>
  <si>
    <t>Bud Cauley</t>
  </si>
  <si>
    <t>Jacob Bridgeman</t>
  </si>
  <si>
    <t>Ryan Gerard</t>
  </si>
  <si>
    <t>Jones</t>
  </si>
  <si>
    <t>Anthony Neville</t>
  </si>
  <si>
    <t>End</t>
  </si>
  <si>
    <t>Start</t>
  </si>
  <si>
    <t>Hatton</t>
  </si>
  <si>
    <t>DeChambeau</t>
  </si>
  <si>
    <t>Jacob</t>
  </si>
  <si>
    <t>Bridgeman</t>
  </si>
  <si>
    <t>Ryan</t>
  </si>
  <si>
    <t>Gerard</t>
  </si>
  <si>
    <t>Bud</t>
  </si>
  <si>
    <t>Cauley</t>
  </si>
  <si>
    <t>Reed</t>
  </si>
  <si>
    <t>Fox</t>
  </si>
  <si>
    <t>New Zealand</t>
  </si>
  <si>
    <t>NZL</t>
  </si>
  <si>
    <t>NZ</t>
  </si>
  <si>
    <t>John</t>
  </si>
  <si>
    <t>Keefer</t>
  </si>
  <si>
    <t>John Keefer</t>
  </si>
  <si>
    <t>Kurt</t>
  </si>
  <si>
    <t>Kitayama</t>
  </si>
  <si>
    <t>Riley</t>
  </si>
  <si>
    <t>Matti</t>
  </si>
  <si>
    <t>Schmid</t>
  </si>
  <si>
    <t>Matti Schmid</t>
  </si>
  <si>
    <t>Update frequency</t>
  </si>
  <si>
    <t>Aberg</t>
  </si>
  <si>
    <t>Aldrich</t>
  </si>
  <si>
    <t>Potgieter</t>
  </si>
  <si>
    <t>Aldrich Potgieter</t>
  </si>
  <si>
    <t>Campbell</t>
  </si>
  <si>
    <t>Smith</t>
  </si>
  <si>
    <t>Emiliano</t>
  </si>
  <si>
    <t>Grillo</t>
  </si>
  <si>
    <t>Argentina</t>
  </si>
  <si>
    <t>ARG</t>
  </si>
  <si>
    <t>AR</t>
  </si>
  <si>
    <t>Kristoffer</t>
  </si>
  <si>
    <t>Reitan</t>
  </si>
  <si>
    <t>Kristoffer Reitan</t>
  </si>
  <si>
    <t>Marco Penge</t>
  </si>
  <si>
    <t>Haotong Li</t>
  </si>
  <si>
    <t>11a</t>
  </si>
  <si>
    <t>1p</t>
  </si>
  <si>
    <t>2p</t>
  </si>
  <si>
    <t>12p</t>
  </si>
  <si>
    <t>currenthour</t>
  </si>
  <si>
    <t>07/20 13:48:33  EDT</t>
  </si>
  <si>
    <t>Click here to see how the leaderboard changes throughout the weekend</t>
  </si>
  <si>
    <t>Thu</t>
  </si>
  <si>
    <t>Ludvig Aberg</t>
  </si>
  <si>
    <t>Gotterup</t>
  </si>
  <si>
    <t>Billy</t>
  </si>
  <si>
    <t>Horschel</t>
  </si>
  <si>
    <t>Marco</t>
  </si>
  <si>
    <t>Penge</t>
  </si>
  <si>
    <t>Rickie</t>
  </si>
  <si>
    <t>Fowler</t>
  </si>
  <si>
    <t>Haotong</t>
  </si>
  <si>
    <t>Li</t>
  </si>
  <si>
    <t>China</t>
  </si>
  <si>
    <t>CHN</t>
  </si>
  <si>
    <t>CN</t>
  </si>
  <si>
    <t>Neal</t>
  </si>
  <si>
    <t>Shipley</t>
  </si>
  <si>
    <t>Neal Shipley</t>
  </si>
  <si>
    <t>Nicolai</t>
  </si>
  <si>
    <t>Nicolai Hojgaard</t>
  </si>
  <si>
    <t>Mark</t>
  </si>
  <si>
    <t>Hubbard</t>
  </si>
  <si>
    <t>Mark Hubbard</t>
  </si>
  <si>
    <t>McClure</t>
  </si>
  <si>
    <t>Meissner</t>
  </si>
  <si>
    <t>McClure Meissner</t>
  </si>
  <si>
    <t>Gary</t>
  </si>
  <si>
    <t>Woodland</t>
  </si>
  <si>
    <t>Gary Woodland</t>
  </si>
  <si>
    <t>Last Run</t>
  </si>
  <si>
    <t>Status</t>
  </si>
  <si>
    <t>3p</t>
  </si>
  <si>
    <t>4p</t>
  </si>
  <si>
    <t>5p</t>
  </si>
  <si>
    <t>6p</t>
  </si>
  <si>
    <t>08/21 11:00  EDT</t>
  </si>
  <si>
    <t>Updated 08/21 11:00  EDT</t>
  </si>
  <si>
    <t>--</t>
  </si>
  <si>
    <t>08/21 18:00  EDT</t>
  </si>
  <si>
    <t>Updated 08/21 18:00  EDT</t>
  </si>
  <si>
    <t>08/21 18:02:28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</si>
</sst>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u/>
      <sz val="10"/>
      <color theme="10"/>
      <name val="Arial"/>
      <family val="2"/>
    </font>
  </fonts>
  <fills count="4">
    <fill>
      <patternFill patternType="none"/>
    </fill>
    <fill>
      <patternFill patternType="gray125"/>
    </fill>
    <fill>
      <patternFill patternType="solid">
        <fgColor rgb="FFFDE9D9"/>
        <bgColor rgb="FFFDE9D9"/>
      </patternFill>
    </fill>
    <fill>
      <patternFill patternType="solid">
        <fgColor theme="6" tint="0.79998168889431442"/>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2">
    <xf numFmtId="0" fontId="0" fillId="0" borderId="0"/>
    <xf numFmtId="0" fontId="9" fillId="0" borderId="0"/>
    <xf numFmtId="0" fontId="19" fillId="0" borderId="0" applyNumberFormat="0" applyFill="0" applyBorder="0" applyAlignment="0" applyProtection="0"/>
    <xf numFmtId="0" fontId="7" fillId="0" borderId="0"/>
    <xf numFmtId="0" fontId="6" fillId="0" borderId="0"/>
    <xf numFmtId="0" fontId="27" fillId="0" borderId="0"/>
    <xf numFmtId="0" fontId="6" fillId="0" borderId="0"/>
    <xf numFmtId="0" fontId="6" fillId="0" borderId="0"/>
    <xf numFmtId="0" fontId="4" fillId="0" borderId="0"/>
    <xf numFmtId="0" fontId="3" fillId="0" borderId="0"/>
    <xf numFmtId="0" fontId="2" fillId="0" borderId="0"/>
    <xf numFmtId="0" fontId="1" fillId="0" borderId="0"/>
  </cellStyleXfs>
  <cellXfs count="127">
    <xf numFmtId="0" fontId="0" fillId="0" borderId="0" xfId="0"/>
    <xf numFmtId="0" fontId="10"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1" fillId="0" borderId="0" xfId="0" applyFont="1" applyAlignment="1">
      <alignment horizontal="left" vertical="center" indent="1"/>
    </xf>
    <xf numFmtId="0" fontId="10" fillId="0" borderId="0" xfId="0" applyFont="1"/>
    <xf numFmtId="0" fontId="10" fillId="0" borderId="0" xfId="0" applyFont="1" applyAlignment="1">
      <alignment horizontal="center"/>
    </xf>
    <xf numFmtId="0" fontId="9" fillId="0" borderId="0" xfId="1"/>
    <xf numFmtId="0" fontId="10" fillId="0" borderId="1" xfId="0" applyFont="1" applyBorder="1"/>
    <xf numFmtId="0" fontId="10" fillId="0" borderId="1" xfId="0" applyFont="1" applyBorder="1" applyAlignment="1">
      <alignment horizontal="center" vertical="center"/>
    </xf>
    <xf numFmtId="0" fontId="10" fillId="0" borderId="3" xfId="0" applyFont="1" applyBorder="1" applyAlignment="1">
      <alignment horizontal="center"/>
    </xf>
    <xf numFmtId="0" fontId="10" fillId="0" borderId="2" xfId="0" applyFont="1" applyBorder="1" applyAlignment="1">
      <alignment horizontal="center"/>
    </xf>
    <xf numFmtId="0" fontId="0" fillId="0" borderId="2" xfId="0" applyBorder="1" applyAlignment="1">
      <alignment horizontal="center"/>
    </xf>
    <xf numFmtId="0" fontId="13" fillId="0" borderId="0" xfId="0" applyFont="1"/>
    <xf numFmtId="0" fontId="10" fillId="0" borderId="1" xfId="0" applyFont="1" applyBorder="1" applyAlignment="1">
      <alignment horizontal="center"/>
    </xf>
    <xf numFmtId="0" fontId="11" fillId="0" borderId="0" xfId="0" applyFont="1" applyAlignment="1">
      <alignment horizontal="center"/>
    </xf>
    <xf numFmtId="0" fontId="11" fillId="0" borderId="0" xfId="0" applyFont="1"/>
    <xf numFmtId="0" fontId="10" fillId="0" borderId="1" xfId="0" applyFont="1" applyBorder="1" applyAlignment="1">
      <alignment horizontal="right"/>
    </xf>
    <xf numFmtId="0" fontId="11"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12" fillId="0" borderId="0" xfId="0" applyFont="1"/>
    <xf numFmtId="0" fontId="8" fillId="0" borderId="0" xfId="1" applyFont="1"/>
    <xf numFmtId="0" fontId="16" fillId="0" borderId="4" xfId="0" applyFont="1" applyBorder="1"/>
    <xf numFmtId="0" fontId="16" fillId="0" borderId="5" xfId="0" applyFont="1" applyBorder="1" applyAlignment="1">
      <alignment horizontal="center"/>
    </xf>
    <xf numFmtId="0" fontId="17" fillId="0" borderId="6" xfId="0" applyFont="1" applyBorder="1"/>
    <xf numFmtId="0" fontId="17" fillId="0" borderId="2" xfId="0" applyFont="1" applyBorder="1" applyAlignment="1">
      <alignment horizontal="center"/>
    </xf>
    <xf numFmtId="0" fontId="17" fillId="0" borderId="7" xfId="0" applyFont="1" applyBorder="1"/>
    <xf numFmtId="0" fontId="17" fillId="0" borderId="3" xfId="0" applyFont="1" applyBorder="1" applyAlignment="1">
      <alignment horizontal="center"/>
    </xf>
    <xf numFmtId="0" fontId="11" fillId="0" borderId="0" xfId="0" applyFont="1" applyAlignment="1">
      <alignment horizontal="left" vertical="center"/>
    </xf>
    <xf numFmtId="0" fontId="20" fillId="0" borderId="0" xfId="0" applyFont="1" applyAlignment="1">
      <alignment horizontal="center"/>
    </xf>
    <xf numFmtId="0" fontId="21" fillId="0" borderId="0" xfId="0" applyFont="1" applyAlignment="1">
      <alignment horizontal="center"/>
    </xf>
    <xf numFmtId="0" fontId="15" fillId="0" borderId="0" xfId="0" applyFont="1" applyAlignment="1">
      <alignment horizontal="center"/>
    </xf>
    <xf numFmtId="0" fontId="25" fillId="0" borderId="0" xfId="0" applyFont="1"/>
    <xf numFmtId="0" fontId="26" fillId="0" borderId="0" xfId="0" applyFont="1"/>
    <xf numFmtId="0" fontId="27" fillId="0" borderId="0" xfId="5"/>
    <xf numFmtId="0" fontId="27" fillId="0" borderId="0" xfId="5" applyAlignment="1">
      <alignment horizontal="center"/>
    </xf>
    <xf numFmtId="0" fontId="24" fillId="0" borderId="0" xfId="0" applyFont="1" applyAlignment="1">
      <alignment horizontal="left" indent="1"/>
    </xf>
    <xf numFmtId="0" fontId="16" fillId="0" borderId="4" xfId="0" applyFont="1" applyBorder="1" applyAlignment="1">
      <alignment horizontal="left" indent="1"/>
    </xf>
    <xf numFmtId="0" fontId="16" fillId="0" borderId="12" xfId="0" applyFont="1" applyBorder="1" applyAlignment="1">
      <alignment horizontal="center"/>
    </xf>
    <xf numFmtId="0" fontId="17" fillId="0" borderId="6" xfId="0" applyFont="1" applyBorder="1" applyAlignment="1">
      <alignment horizontal="left" indent="1"/>
    </xf>
    <xf numFmtId="0" fontId="17" fillId="0" borderId="13" xfId="0" applyFont="1" applyBorder="1" applyAlignment="1">
      <alignment horizontal="center"/>
    </xf>
    <xf numFmtId="0" fontId="17" fillId="0" borderId="14" xfId="0" applyFont="1" applyBorder="1" applyAlignment="1">
      <alignment horizontal="center"/>
    </xf>
    <xf numFmtId="0" fontId="19" fillId="0" borderId="0" xfId="2" applyFill="1" applyAlignment="1">
      <alignment horizontal="left" indent="1"/>
    </xf>
    <xf numFmtId="0" fontId="22" fillId="0" borderId="0" xfId="3" applyFont="1"/>
    <xf numFmtId="0" fontId="23" fillId="0" borderId="6" xfId="0" applyFont="1" applyBorder="1" applyAlignment="1">
      <alignment horizontal="left" indent="1"/>
    </xf>
    <xf numFmtId="0" fontId="23" fillId="0" borderId="13" xfId="0" applyFont="1" applyBorder="1" applyAlignment="1">
      <alignment horizontal="center"/>
    </xf>
    <xf numFmtId="0" fontId="11" fillId="0" borderId="2" xfId="0" applyFont="1" applyBorder="1" applyAlignment="1">
      <alignment horizontal="center"/>
    </xf>
    <xf numFmtId="0" fontId="0" fillId="0" borderId="13" xfId="0" applyBorder="1" applyAlignment="1">
      <alignment horizontal="center"/>
    </xf>
    <xf numFmtId="0" fontId="23" fillId="0" borderId="14" xfId="0" applyFont="1" applyBorder="1" applyAlignment="1">
      <alignment horizontal="left" indent="1"/>
    </xf>
    <xf numFmtId="0" fontId="29" fillId="0" borderId="0" xfId="1" applyFont="1"/>
    <xf numFmtId="0" fontId="5" fillId="0" borderId="0" xfId="1" applyFont="1"/>
    <xf numFmtId="0" fontId="30" fillId="0" borderId="2" xfId="0" applyFont="1" applyBorder="1" applyAlignment="1">
      <alignment horizontal="center"/>
    </xf>
    <xf numFmtId="0" fontId="0" fillId="0" borderId="0" xfId="0" applyAlignment="1">
      <alignment horizontal="left" vertical="center"/>
    </xf>
    <xf numFmtId="0" fontId="31" fillId="0" borderId="12" xfId="0" applyFont="1" applyBorder="1" applyAlignment="1">
      <alignment horizontal="center"/>
    </xf>
    <xf numFmtId="0" fontId="32" fillId="0" borderId="2" xfId="0" applyFont="1" applyBorder="1" applyAlignment="1">
      <alignment horizontal="center"/>
    </xf>
    <xf numFmtId="0" fontId="33" fillId="0" borderId="0" xfId="3" applyFont="1"/>
    <xf numFmtId="0" fontId="12" fillId="0" borderId="0" xfId="1" applyFont="1"/>
    <xf numFmtId="0" fontId="11" fillId="0" borderId="0" xfId="0" applyFont="1" applyAlignment="1">
      <alignment horizontal="center" vertical="center"/>
    </xf>
    <xf numFmtId="0" fontId="34" fillId="0" borderId="0" xfId="1" applyFont="1"/>
    <xf numFmtId="0" fontId="15" fillId="0" borderId="13" xfId="0" applyFont="1" applyBorder="1" applyAlignment="1">
      <alignment horizontal="center"/>
    </xf>
    <xf numFmtId="0" fontId="15" fillId="0" borderId="14" xfId="0" applyFont="1" applyBorder="1" applyAlignment="1">
      <alignment horizontal="center"/>
    </xf>
    <xf numFmtId="0" fontId="14" fillId="0" borderId="0" xfId="0" applyFont="1" applyAlignment="1">
      <alignment horizontal="center"/>
    </xf>
    <xf numFmtId="0" fontId="11" fillId="0" borderId="13" xfId="0" applyFont="1" applyBorder="1" applyAlignment="1">
      <alignment horizontal="center"/>
    </xf>
    <xf numFmtId="0" fontId="11" fillId="0" borderId="14" xfId="0" applyFont="1" applyBorder="1" applyAlignment="1">
      <alignment horizontal="center"/>
    </xf>
    <xf numFmtId="0" fontId="11" fillId="0" borderId="0" xfId="5" applyFont="1" applyAlignment="1">
      <alignment horizontal="center"/>
    </xf>
    <xf numFmtId="0" fontId="23" fillId="0" borderId="0" xfId="0" applyFont="1" applyAlignment="1">
      <alignment horizontal="right"/>
    </xf>
    <xf numFmtId="0" fontId="23" fillId="0" borderId="0" xfId="0" applyFont="1"/>
    <xf numFmtId="0" fontId="19" fillId="0" borderId="0" xfId="2" applyFill="1" applyAlignment="1"/>
    <xf numFmtId="22" fontId="28" fillId="0" borderId="0" xfId="0" applyNumberFormat="1" applyFont="1"/>
    <xf numFmtId="0" fontId="0" fillId="0" borderId="3" xfId="0" applyBorder="1" applyAlignment="1">
      <alignment horizontal="center"/>
    </xf>
    <xf numFmtId="0" fontId="35" fillId="0" borderId="2" xfId="0" applyFont="1" applyBorder="1" applyAlignment="1">
      <alignment horizontal="center"/>
    </xf>
    <xf numFmtId="0" fontId="17" fillId="0" borderId="7" xfId="0" applyFont="1" applyBorder="1" applyAlignment="1">
      <alignment horizontal="left" indent="1"/>
    </xf>
    <xf numFmtId="0" fontId="17" fillId="0" borderId="0" xfId="0" applyFont="1" applyAlignment="1">
      <alignment horizontal="left" indent="1"/>
    </xf>
    <xf numFmtId="22" fontId="17" fillId="0" borderId="0" xfId="0" applyNumberFormat="1" applyFont="1" applyAlignment="1">
      <alignment horizontal="left" indent="1"/>
    </xf>
    <xf numFmtId="0" fontId="17" fillId="0" borderId="0" xfId="0" applyFont="1" applyAlignment="1">
      <alignment horizontal="center"/>
    </xf>
    <xf numFmtId="0" fontId="36" fillId="0" borderId="0" xfId="1" applyFont="1"/>
    <xf numFmtId="0" fontId="37" fillId="0" borderId="0" xfId="0" applyFont="1"/>
    <xf numFmtId="0" fontId="37" fillId="0" borderId="6" xfId="0" applyFont="1" applyBorder="1"/>
    <xf numFmtId="0" fontId="36" fillId="0" borderId="6" xfId="1" applyFont="1" applyBorder="1"/>
    <xf numFmtId="0" fontId="0" fillId="0" borderId="6" xfId="0" applyBorder="1" applyAlignment="1">
      <alignment horizontal="center"/>
    </xf>
    <xf numFmtId="0" fontId="10" fillId="0" borderId="14" xfId="0" applyFont="1" applyBorder="1" applyAlignment="1">
      <alignment horizontal="center"/>
    </xf>
    <xf numFmtId="0" fontId="10" fillId="0" borderId="13" xfId="0" applyFont="1" applyBorder="1" applyAlignment="1">
      <alignment horizontal="center"/>
    </xf>
    <xf numFmtId="0" fontId="0" fillId="0" borderId="13" xfId="0" applyBorder="1"/>
    <xf numFmtId="0" fontId="38" fillId="0" borderId="0" xfId="0" applyFont="1"/>
    <xf numFmtId="21" fontId="0" fillId="0" borderId="0" xfId="0" applyNumberFormat="1"/>
    <xf numFmtId="0" fontId="24" fillId="0" borderId="0" xfId="0" applyFont="1" applyAlignment="1">
      <alignment horizontal="left" vertical="top"/>
    </xf>
    <xf numFmtId="0" fontId="0" fillId="0" borderId="0" xfId="0" applyAlignment="1">
      <alignment horizontal="center" vertical="top"/>
    </xf>
    <xf numFmtId="0" fontId="17" fillId="0" borderId="0" xfId="0" applyFont="1" applyAlignment="1">
      <alignment horizontal="left" vertical="top"/>
    </xf>
    <xf numFmtId="0" fontId="13" fillId="0" borderId="0" xfId="0" applyFont="1" applyAlignment="1">
      <alignment vertical="top"/>
    </xf>
    <xf numFmtId="0" fontId="0" fillId="0" borderId="0" xfId="0" applyAlignment="1">
      <alignment horizontal="left" vertical="top"/>
    </xf>
    <xf numFmtId="0" fontId="10"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3" borderId="4" xfId="0" applyFill="1" applyBorder="1"/>
    <xf numFmtId="0" fontId="10" fillId="3" borderId="5" xfId="0" applyFont="1" applyFill="1" applyBorder="1" applyAlignment="1">
      <alignment horizontal="center"/>
    </xf>
    <xf numFmtId="0" fontId="0" fillId="3" borderId="5" xfId="0" applyFill="1" applyBorder="1"/>
    <xf numFmtId="0" fontId="39" fillId="0" borderId="0" xfId="2" applyFont="1" applyAlignment="1">
      <alignment vertical="top"/>
    </xf>
    <xf numFmtId="0" fontId="0" fillId="3" borderId="12" xfId="0" applyFill="1" applyBorder="1"/>
    <xf numFmtId="0" fontId="11" fillId="0" borderId="11" xfId="0" applyFont="1" applyBorder="1"/>
    <xf numFmtId="0" fontId="18" fillId="2" borderId="0" xfId="0" applyFont="1" applyFill="1"/>
    <xf numFmtId="0" fontId="11" fillId="0" borderId="0" xfId="0" applyFont="1" applyAlignment="1">
      <alignment vertical="center"/>
    </xf>
    <xf numFmtId="0" fontId="11"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1" fontId="0" fillId="0" borderId="0" xfId="0" applyNumberFormat="1" applyAlignment="1">
      <alignment horizontal="center"/>
    </xf>
    <xf numFmtId="0" fontId="24" fillId="0" borderId="0" xfId="0" applyFont="1"/>
    <xf numFmtId="0" fontId="10" fillId="3" borderId="15" xfId="0" applyFont="1" applyFill="1" applyBorder="1" applyAlignment="1">
      <alignment horizontal="center"/>
    </xf>
    <xf numFmtId="0" fontId="10" fillId="3" borderId="5" xfId="0" applyFont="1" applyFill="1" applyBorder="1" applyAlignment="1">
      <alignment horizontal="center"/>
    </xf>
    <xf numFmtId="0" fontId="10" fillId="3" borderId="16" xfId="0" applyFont="1" applyFill="1" applyBorder="1" applyAlignment="1">
      <alignment vertical="center"/>
    </xf>
    <xf numFmtId="0" fontId="10" fillId="3" borderId="13" xfId="0" applyFont="1" applyFill="1" applyBorder="1" applyAlignment="1">
      <alignment vertical="center"/>
    </xf>
    <xf numFmtId="0" fontId="10" fillId="3" borderId="14" xfId="0" applyFont="1" applyFill="1" applyBorder="1" applyAlignment="1">
      <alignment vertical="center"/>
    </xf>
    <xf numFmtId="0" fontId="11" fillId="0" borderId="0" xfId="0" quotePrefix="1" applyFont="1"/>
    <xf numFmtId="0" fontId="11" fillId="0" borderId="0" xfId="0" quotePrefix="1" applyFont="1" applyAlignment="1">
      <alignment horizontal="center"/>
    </xf>
    <xf numFmtId="0" fontId="0" fillId="0" borderId="10" xfId="0" applyBorder="1" applyAlignment="1">
      <alignment horizontal="center"/>
    </xf>
    <xf numFmtId="0" fontId="23" fillId="0" borderId="13" xfId="0" applyFont="1" applyBorder="1" applyAlignment="1">
      <alignment horizontal="left" indent="1"/>
    </xf>
  </cellXfs>
  <cellStyles count="12">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75">
    <dxf>
      <numFmt numFmtId="0" formatCode="Genera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font>
    </dxf>
    <dxf>
      <font>
        <color theme="0" tint="-0.34998626667073579"/>
      </font>
    </dxf>
    <dxf>
      <font>
        <color theme="0"/>
      </font>
    </dxf>
    <dxf>
      <font>
        <color theme="0" tint="-0.34998626667073579"/>
      </font>
    </dxf>
    <dxf>
      <font>
        <color theme="6"/>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6"/>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31" tableType="queryTable" totalsRowShown="0">
  <autoFilter ref="A1:B31" xr:uid="{3FA44A03-F476-4E6C-8A27-268CC839B45B}"/>
  <tableColumns count="2">
    <tableColumn id="1" xr3:uid="{F368ED02-A2E2-4EBA-B473-316CA26B63BE}" uniqueName="1" name="PLAYER" queryTableFieldId="1" dataDxfId="174"/>
    <tableColumn id="2" xr3:uid="{5709B8D3-7A00-4A7B-BF33-559A2A507587}" uniqueName="2" name="SCORE" queryTableFieldId="2"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31" tableType="queryTable" totalsRowShown="0">
  <autoFilter ref="A1:A31" xr:uid="{D1FDEAC9-2522-4BD0-AB47-0952C9C5B6F6}"/>
  <tableColumns count="1">
    <tableColumn id="1" xr3:uid="{BF1FB255-BD7A-44D0-89B1-46B9AD10D3D5}" uniqueName="1" name="PLAYER" queryTableFieldId="1" dataDxfId="17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B1:B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72"/>
    <tableColumn id="5" xr3:uid="{40CC773B-28F0-4B07-8B07-E23906AA2DB0}" uniqueName="5" name="rankingsList.player.lastName" queryTableFieldId="5" dataDxfId="171"/>
    <tableColumn id="6" xr3:uid="{121855A6-E668-46C3-BDDE-F1EAD344EAE5}" uniqueName="6" name="rankingsList.player.fullName" queryTableFieldId="6" dataDxfId="170"/>
    <tableColumn id="7" xr3:uid="{0693AAE6-8CE6-4941-8F30-2B24DBE7CAC1}" uniqueName="7" name="rankingsList.player.birthDate" queryTableFieldId="7" dataDxfId="169"/>
    <tableColumn id="8" xr3:uid="{26DB0F46-963B-4B6A-810B-CC0A4A0409F9}" uniqueName="8" name="rankingsList.player.gender" queryTableFieldId="8" dataDxfId="168"/>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67"/>
    <tableColumn id="12" xr3:uid="{D4C3DDA0-8929-44A8-8479-BBBFC7D25C40}" uniqueName="12" name="rankingsList.player.country.iocCode" queryTableFieldId="12" dataDxfId="166"/>
    <tableColumn id="13" xr3:uid="{83D2401C-C058-41E4-B44F-1C04D4D22C88}" uniqueName="13" name="rankingsList.player.country.code2" queryTableFieldId="13" dataDxfId="165"/>
    <tableColumn id="14" xr3:uid="{D8A6D060-21CE-4854-AE03-A602BDF8D6E7}" uniqueName="14" name="rankingsList.player.country.code3" queryTableFieldId="14" dataDxfId="164"/>
    <tableColumn id="15" xr3:uid="{7F2C582D-EDFC-43A5-8A61-222CC9635AE5}" uniqueName="15" name="rankingsList.player.country.region.id" queryTableFieldId="15"/>
    <tableColumn id="16" xr3:uid="{8F5328E2-1F31-43D2-9BBB-FB902530ADB2}" uniqueName="16" name="rankingsList.player.country.region.name" queryTableFieldId="16" dataDxfId="163"/>
    <tableColumn id="17" xr3:uid="{1E269EDC-BE14-4789-8E5B-A9EE2E822376}" uniqueName="17" name="rankingsList.player.country.region.code" queryTableFieldId="17" dataDxfId="162"/>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61"/>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zoomScaleNormal="100" workbookViewId="0">
      <selection sqref="A1:U39"/>
    </sheetView>
  </sheetViews>
  <sheetFormatPr defaultColWidth="8.5546875" defaultRowHeight="13.2" x14ac:dyDescent="0.25"/>
  <cols>
    <col min="1" max="1" width="2.88671875" customWidth="1"/>
    <col min="2" max="2" width="18.33203125" customWidth="1"/>
    <col min="3" max="3" width="5.109375" style="3" customWidth="1"/>
    <col min="4" max="4" width="6" style="3" customWidth="1"/>
    <col min="5" max="5" width="7.109375" style="3" customWidth="1"/>
    <col min="6" max="6" width="19.109375" customWidth="1"/>
    <col min="7" max="7" width="7.6640625" style="2" customWidth="1"/>
    <col min="8" max="8" width="19.5546875" bestFit="1" customWidth="1"/>
    <col min="9" max="9" width="7.6640625" style="2" customWidth="1"/>
    <col min="10" max="10" width="18.88671875" customWidth="1"/>
    <col min="11" max="11" width="7.6640625" style="2" customWidth="1"/>
    <col min="12" max="12" width="19" customWidth="1"/>
    <col min="13" max="13" width="7.6640625" style="2" customWidth="1"/>
    <col min="14" max="14" width="19.33203125" customWidth="1"/>
    <col min="15" max="15" width="7.6640625" style="2" customWidth="1"/>
    <col min="16" max="16" width="19.33203125" customWidth="1"/>
    <col min="17" max="17" width="7.6640625" style="2" customWidth="1"/>
    <col min="18" max="18" width="18.88671875" customWidth="1"/>
    <col min="19" max="19" width="7.6640625" style="2" customWidth="1"/>
    <col min="20" max="20" width="18.88671875" customWidth="1"/>
    <col min="21" max="21" width="7.6640625" style="3" customWidth="1"/>
    <col min="22" max="22" width="19.44140625" customWidth="1"/>
    <col min="23" max="23" width="8.5546875" style="3"/>
  </cols>
  <sheetData>
    <row r="1" spans="1:24" ht="19.8" customHeight="1" x14ac:dyDescent="0.25">
      <c r="A1" s="15"/>
      <c r="B1" s="95" t="s">
        <v>316</v>
      </c>
      <c r="C1" s="97" t="s">
        <v>487</v>
      </c>
      <c r="D1" s="96"/>
      <c r="F1" s="93"/>
      <c r="G1" s="107" t="s">
        <v>451</v>
      </c>
    </row>
    <row r="2" spans="1:24" s="7" customFormat="1" x14ac:dyDescent="0.25">
      <c r="B2" s="47" t="s">
        <v>1</v>
      </c>
      <c r="C2" s="48"/>
      <c r="D2" s="63" t="s">
        <v>267</v>
      </c>
      <c r="E2" s="12"/>
      <c r="F2" s="10" t="s">
        <v>2</v>
      </c>
      <c r="G2" s="11" t="e" cm="1">
        <f t="array" aca="1" ref="G2" ca="1">SUMPRODUCT(SMALL(G3:G12,ROW(INDIRECT("1:5"))))</f>
        <v>#N/A</v>
      </c>
      <c r="H2" s="10" t="s">
        <v>289</v>
      </c>
      <c r="I2" s="11" t="e" cm="1">
        <f t="array" aca="1" ref="I2" ca="1">SUMPRODUCT(SMALL(I3:I12,ROW(INDIRECT("1:5"))))</f>
        <v>#N/A</v>
      </c>
      <c r="J2" s="10" t="s">
        <v>3</v>
      </c>
      <c r="K2" s="11" t="e" cm="1">
        <f t="array" aca="1" ref="K2" ca="1">SUMPRODUCT(SMALL(K3:K12,ROW(INDIRECT("1:5"))))</f>
        <v>#N/A</v>
      </c>
      <c r="L2" s="10" t="s">
        <v>8</v>
      </c>
      <c r="M2" s="11" t="e" cm="1">
        <f t="array" aca="1" ref="M2" ca="1">SUMPRODUCT(SMALL(M3:M12,ROW(INDIRECT("1:5"))))</f>
        <v>#N/A</v>
      </c>
      <c r="N2" s="10" t="s">
        <v>5</v>
      </c>
      <c r="O2" s="11" t="e" cm="1">
        <f t="array" aca="1" ref="O2" ca="1">SUMPRODUCT(SMALL(O3:O12,ROW(INDIRECT("1:5"))))</f>
        <v>#N/A</v>
      </c>
      <c r="P2" s="10" t="s">
        <v>12</v>
      </c>
      <c r="Q2" s="11" t="e" cm="1">
        <f t="array" aca="1" ref="Q2" ca="1">SUMPRODUCT(SMALL(Q3:Q12,ROW(INDIRECT("1:5"))))</f>
        <v>#N/A</v>
      </c>
      <c r="R2" s="10" t="s">
        <v>15</v>
      </c>
      <c r="S2" s="11" t="e" cm="1">
        <f t="array" aca="1" ref="S2" ca="1">SUMPRODUCT(SMALL(S3:S12,ROW(INDIRECT("1:5"))))</f>
        <v>#N/A</v>
      </c>
      <c r="T2" s="10" t="s">
        <v>17</v>
      </c>
      <c r="U2" s="11" t="e" cm="1">
        <f t="array" aca="1" ref="U2" ca="1">SUMPRODUCT(SMALL(U3:U12,ROW(INDIRECT("1:5"))))</f>
        <v>#N/A</v>
      </c>
      <c r="W2" s="10" t="s">
        <v>330</v>
      </c>
      <c r="X2" s="11" t="e">
        <f>SMALL(X3:X12,1)+SMALL(X3:X12,2)+SMALL(X3:X12,3)+SMALL(X3:X12,4)+SMALL(X3:X12,5)</f>
        <v>#N/A</v>
      </c>
    </row>
    <row r="3" spans="1:24" ht="14.4" x14ac:dyDescent="0.3">
      <c r="B3" s="49" t="str" cm="1">
        <f t="array" aca="1" ref="B3:C24" ca="1">TRANSPOSE(_xlfn._xlws.SORT(F50:AA51,2,1,TRUE))</f>
        <v>Joe Magnetico</v>
      </c>
      <c r="C3" s="50" t="e">
        <f ca="1"/>
        <v>#N/A</v>
      </c>
      <c r="D3" s="64">
        <f ca="1">HLOOKUP(B3,$F$50:$AA$52,3,)</f>
        <v>0</v>
      </c>
      <c r="E3" s="13">
        <v>1</v>
      </c>
      <c r="F3" s="9"/>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c r="W3" s="9"/>
      <c r="X3" s="3" t="e">
        <f>VLOOKUP(W3,ESPNScores!$A$2:$B$91,2,FALSE)</f>
        <v>#N/A</v>
      </c>
    </row>
    <row r="4" spans="1:24" ht="14.4" x14ac:dyDescent="0.3">
      <c r="B4" s="49" t="str">
        <f ca="1"/>
        <v>Richard Webster</v>
      </c>
      <c r="C4" s="50" t="e">
        <f ca="1"/>
        <v>#N/A</v>
      </c>
      <c r="D4" s="64">
        <f ca="1">HLOOKUP(B4,$F$50:$AA$52,3,)</f>
        <v>0</v>
      </c>
      <c r="E4" s="13">
        <v>2</v>
      </c>
      <c r="F4" s="9"/>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c r="W4" s="9"/>
      <c r="X4" s="3" t="e">
        <f>VLOOKUP(W4,ESPNScores!$A$2:$B$91,2,FALSE)</f>
        <v>#N/A</v>
      </c>
    </row>
    <row r="5" spans="1:24" ht="14.4" x14ac:dyDescent="0.3">
      <c r="B5" s="49" t="str">
        <f ca="1"/>
        <v>Dean Nardone</v>
      </c>
      <c r="C5" s="50" t="e">
        <f ca="1"/>
        <v>#N/A</v>
      </c>
      <c r="D5" s="64">
        <f ca="1">HLOOKUP(B5,$F$50:$AA$52,3,)</f>
        <v>0</v>
      </c>
      <c r="E5" s="13">
        <v>3</v>
      </c>
      <c r="F5" s="9"/>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c r="W5" s="9"/>
      <c r="X5" s="3" t="e">
        <f>VLOOKUP(W5,ESPNScores!$A$2:$B$91,2,FALSE)</f>
        <v>#N/A</v>
      </c>
    </row>
    <row r="6" spans="1:24" ht="14.4" x14ac:dyDescent="0.3">
      <c r="B6" s="49" t="str">
        <f ca="1"/>
        <v>Charlie Adams</v>
      </c>
      <c r="C6" s="50" t="e">
        <f ca="1"/>
        <v>#N/A</v>
      </c>
      <c r="D6" s="64">
        <f ca="1">HLOOKUP(B6,$F$50:$AA$52,3,)</f>
        <v>0</v>
      </c>
      <c r="E6" s="13">
        <v>4</v>
      </c>
      <c r="F6" s="9"/>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c r="W6" s="9"/>
      <c r="X6" s="3" t="e">
        <f>VLOOKUP(W6,ESPNScores!$A$2:$B$91,2,FALSE)</f>
        <v>#N/A</v>
      </c>
    </row>
    <row r="7" spans="1:24" ht="14.4" x14ac:dyDescent="0.3">
      <c r="B7" s="49" t="str">
        <f ca="1"/>
        <v>Russ Flagg</v>
      </c>
      <c r="C7" s="50" t="e">
        <f ca="1"/>
        <v>#N/A</v>
      </c>
      <c r="D7" s="80"/>
      <c r="E7" s="13">
        <v>5</v>
      </c>
      <c r="F7" s="9"/>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c r="W7" s="9"/>
      <c r="X7" s="3" t="e">
        <f>VLOOKUP(W7,ESPNScores!$A$2:$B$91,2,FALSE)</f>
        <v>#N/A</v>
      </c>
    </row>
    <row r="8" spans="1:24" ht="14.4" x14ac:dyDescent="0.3">
      <c r="B8" s="49" t="str">
        <f ca="1"/>
        <v>Gary Casarsa</v>
      </c>
      <c r="C8" s="50" t="e">
        <f ca="1"/>
        <v>#N/A</v>
      </c>
      <c r="D8" s="80"/>
      <c r="E8" s="13">
        <v>6</v>
      </c>
      <c r="F8" s="9"/>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c r="W8" s="9"/>
      <c r="X8" s="3" t="e">
        <f>VLOOKUP(W8,ESPNScores!$A$2:$B$91,2,FALSE)</f>
        <v>#N/A</v>
      </c>
    </row>
    <row r="9" spans="1:24" ht="14.4" x14ac:dyDescent="0.3">
      <c r="B9" s="49" t="str">
        <f ca="1"/>
        <v>Halley Ganges</v>
      </c>
      <c r="C9" s="50" t="e">
        <f ca="1"/>
        <v>#N/A</v>
      </c>
      <c r="D9" s="80"/>
      <c r="E9" s="13">
        <v>7</v>
      </c>
      <c r="F9" s="9"/>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c r="W9" s="9"/>
      <c r="X9" s="3" t="e">
        <f>VLOOKUP(W9,ESPNScores!$A$2:$B$91,2,FALSE)</f>
        <v>#N/A</v>
      </c>
    </row>
    <row r="10" spans="1:24" ht="14.4" x14ac:dyDescent="0.3">
      <c r="B10" s="49" t="str">
        <f ca="1"/>
        <v>Matt Desai</v>
      </c>
      <c r="C10" s="50" t="e">
        <f ca="1"/>
        <v>#N/A</v>
      </c>
      <c r="D10" s="80"/>
      <c r="E10" s="13">
        <v>8</v>
      </c>
      <c r="F10" s="9"/>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c r="W10" s="9"/>
      <c r="X10" s="3" t="e">
        <f>VLOOKUP(W10,ESPNScores!$A$2:$B$91,2,FALSE)</f>
        <v>#N/A</v>
      </c>
    </row>
    <row r="11" spans="1:24" ht="14.4" x14ac:dyDescent="0.3">
      <c r="B11" s="49" t="str">
        <f ca="1"/>
        <v>Mike Coope</v>
      </c>
      <c r="C11" s="50" t="e">
        <f ca="1"/>
        <v>#N/A</v>
      </c>
      <c r="D11" s="35"/>
      <c r="E11" s="13" t="s">
        <v>9</v>
      </c>
      <c r="F11" s="31"/>
      <c r="G11" s="3" t="e">
        <f>VLOOKUP(F11,ESPNScores!$A$2:$B$91,2,FALSE)</f>
        <v>#N/A</v>
      </c>
      <c r="H11" s="31"/>
      <c r="I11" s="3" t="e">
        <f>VLOOKUP(H11,ESPNScores!$A$2:$B$91,2,FALSE)</f>
        <v>#N/A</v>
      </c>
      <c r="J11" s="31"/>
      <c r="K11" s="3" t="e">
        <f>VLOOKUP(J11,ESPNScores!$A$2:$B$91,2,FALSE)</f>
        <v>#N/A</v>
      </c>
      <c r="L11" s="9"/>
      <c r="M11" s="3" t="e">
        <f>VLOOKUP(L11,ESPNScores!$A$2:$B$91,2,FALSE)</f>
        <v>#N/A</v>
      </c>
      <c r="N11" s="9"/>
      <c r="O11" s="3" t="e">
        <f>VLOOKUP(N11,ESPNScores!$A$2:$B$91,2,FALSE)</f>
        <v>#N/A</v>
      </c>
      <c r="P11" s="59"/>
      <c r="Q11" s="3" t="e">
        <f>VLOOKUP(P11,ESPNScores!$A$2:$B$91,2,FALSE)</f>
        <v>#N/A</v>
      </c>
      <c r="S11" s="3" t="e">
        <f>VLOOKUP(R11,ESPNScores!$A$2:$B$91,2,FALSE)</f>
        <v>#N/A</v>
      </c>
      <c r="T11" s="9"/>
      <c r="U11" s="3" t="e">
        <f>VLOOKUP(T11,ESPNScores!$A$2:$B$91,2,FALSE)</f>
        <v>#N/A</v>
      </c>
      <c r="W11" s="9"/>
      <c r="X11" s="3" t="e">
        <f>VLOOKUP(W11,ESPNScores!$A$2:$B$91,2,FALSE)</f>
        <v>#N/A</v>
      </c>
    </row>
    <row r="12" spans="1:24" ht="14.4" x14ac:dyDescent="0.3">
      <c r="B12" s="49" t="str">
        <f ca="1"/>
        <v>William Seeger</v>
      </c>
      <c r="C12" s="50" t="e">
        <f ca="1"/>
        <v>#N/A</v>
      </c>
      <c r="D12" s="35"/>
      <c r="E12" s="13" t="s">
        <v>10</v>
      </c>
      <c r="F12" s="31"/>
      <c r="G12" s="3" t="e">
        <f>VLOOKUP(F12,ESPNScores!$A$2:$B$91,2,FALSE)</f>
        <v>#N/A</v>
      </c>
      <c r="H12" s="31"/>
      <c r="I12" s="3" t="e">
        <f>VLOOKUP(H12,ESPNScores!$A$2:$B$91,2,FALSE)</f>
        <v>#N/A</v>
      </c>
      <c r="J12" s="31"/>
      <c r="K12" s="3" t="e">
        <f>VLOOKUP(J12,ESPNScores!$A$2:$B$91,2,FALSE)</f>
        <v>#N/A</v>
      </c>
      <c r="L12" s="9"/>
      <c r="M12" s="3" t="e">
        <f>VLOOKUP(L12,ESPNScores!$A$2:$B$91,2,FALSE)</f>
        <v>#N/A</v>
      </c>
      <c r="N12" s="30"/>
      <c r="O12" s="3" t="e">
        <f>VLOOKUP(N12,ESPNScores!$A$2:$B$91,2,FALSE)</f>
        <v>#N/A</v>
      </c>
      <c r="P12" s="9"/>
      <c r="Q12" s="3" t="e">
        <f>VLOOKUP(P12,ESPNScores!$A$2:$B$91,2,FALSE)</f>
        <v>#N/A</v>
      </c>
      <c r="R12" s="18"/>
      <c r="S12" s="3" t="e">
        <f>VLOOKUP(R12,ESPNScores!$A$2:$B$91,2,FALSE)</f>
        <v>#N/A</v>
      </c>
      <c r="T12" s="59"/>
      <c r="U12" s="3" t="e">
        <f>VLOOKUP(T12,ESPNScores!$A$2:$B$91,2,FALSE)</f>
        <v>#N/A</v>
      </c>
      <c r="W12" s="9"/>
      <c r="X12" s="3" t="e">
        <f>VLOOKUP(W12,ESPNScores!$A$2:$B$91,2,FALSE)</f>
        <v>#N/A</v>
      </c>
    </row>
    <row r="13" spans="1:24" ht="14.4" x14ac:dyDescent="0.3">
      <c r="B13" s="49" t="str">
        <f ca="1"/>
        <v>Laurie Seeger</v>
      </c>
      <c r="C13" s="50" t="e">
        <f ca="1"/>
        <v>#N/A</v>
      </c>
      <c r="D13" s="35"/>
      <c r="E13" s="56"/>
      <c r="F13" s="85"/>
      <c r="G13" s="3" t="e">
        <f>VLOOKUP(F13,ESPNScores!$A$2:$B$91,2,FALSE)</f>
        <v>#N/A</v>
      </c>
      <c r="H13" s="85"/>
      <c r="I13" s="3" t="e">
        <f>VLOOKUP(H13,ESPNScores!$A$2:$B$91,2,FALSE)</f>
        <v>#N/A</v>
      </c>
      <c r="J13" s="85"/>
      <c r="K13" s="3" t="e">
        <f>VLOOKUP(J13,ESPNScores!$A$2:$B$91,2,FALSE)</f>
        <v>#N/A</v>
      </c>
      <c r="L13" s="85"/>
      <c r="M13" s="3" t="e">
        <f>VLOOKUP(L13,ESPNScores!$A$2:$B$91,2,FALSE)</f>
        <v>#N/A</v>
      </c>
      <c r="N13" s="86"/>
      <c r="O13" s="3" t="e">
        <f>VLOOKUP(N13,ESPNScores!$A$2:$B$91,2,FALSE)</f>
        <v>#N/A</v>
      </c>
      <c r="P13" s="85"/>
      <c r="Q13" s="3" t="e">
        <f>VLOOKUP(P13,ESPNScores!$A$2:$B$91,2,FALSE)</f>
        <v>#N/A</v>
      </c>
      <c r="R13" s="86"/>
      <c r="S13" s="3" t="e">
        <f>VLOOKUP(R13,ESPNScores!$A$2:$B$91,2,FALSE)</f>
        <v>#N/A</v>
      </c>
      <c r="T13" s="85"/>
      <c r="U13" s="3" t="e">
        <f>VLOOKUP(T13,ESPNScores!$A$2:$B$91,2,FALSE)</f>
        <v>#N/A</v>
      </c>
    </row>
    <row r="14" spans="1:24" s="7" customFormat="1" x14ac:dyDescent="0.25">
      <c r="B14" s="49" t="str">
        <f ca="1"/>
        <v>Ann Heal</v>
      </c>
      <c r="C14" s="50" t="e">
        <f ca="1"/>
        <v>#N/A</v>
      </c>
      <c r="D14" s="35"/>
    </row>
    <row r="15" spans="1:24" x14ac:dyDescent="0.25">
      <c r="B15" s="49" t="str">
        <f ca="1"/>
        <v>Lorraine McGill</v>
      </c>
      <c r="C15" s="50" t="e">
        <f ca="1"/>
        <v>#N/A</v>
      </c>
      <c r="D15" s="35"/>
      <c r="E15" s="12"/>
      <c r="F15" s="10" t="s">
        <v>14</v>
      </c>
      <c r="G15" s="11" t="e" cm="1">
        <f t="array" aca="1" ref="G15" ca="1">SUMPRODUCT(SMALL(G16:G25,ROW(INDIRECT("1:5"))))</f>
        <v>#N/A</v>
      </c>
      <c r="H15" s="10" t="s">
        <v>354</v>
      </c>
      <c r="I15" s="11" t="e" cm="1">
        <f t="array" aca="1" ref="I15" ca="1">SUMPRODUCT(SMALL(I16:I25,ROW(INDIRECT("1:5"))))</f>
        <v>#N/A</v>
      </c>
      <c r="J15" s="10" t="s">
        <v>13</v>
      </c>
      <c r="K15" s="11" t="e" cm="1">
        <f t="array" aca="1" ref="K15" ca="1">SUMPRODUCT(SMALL(K16:K25,ROW(INDIRECT("1:5"))))</f>
        <v>#N/A</v>
      </c>
      <c r="L15" s="10" t="s">
        <v>23</v>
      </c>
      <c r="M15" s="11" t="e" cm="1">
        <f t="array" aca="1" ref="M15" ca="1">SUMPRODUCT(SMALL(M16:M25,ROW(INDIRECT("1:5"))))</f>
        <v>#N/A</v>
      </c>
      <c r="N15" s="10" t="s">
        <v>4</v>
      </c>
      <c r="O15" s="11" t="e" cm="1">
        <f t="array" aca="1" ref="O15" ca="1">SUMPRODUCT(SMALL(O16:O25,ROW(INDIRECT("1:5"))))</f>
        <v>#N/A</v>
      </c>
      <c r="P15" s="10" t="s">
        <v>22</v>
      </c>
      <c r="Q15" s="11" t="e" cm="1">
        <f t="array" aca="1" ref="Q15" ca="1">SUMPRODUCT(SMALL(Q16:Q25,ROW(INDIRECT("1:5"))))</f>
        <v>#N/A</v>
      </c>
      <c r="R15" s="10" t="s">
        <v>16</v>
      </c>
      <c r="S15" s="11" t="e" cm="1">
        <f t="array" aca="1" ref="S15" ca="1">SUMPRODUCT(SMALL(S16:S25,ROW(INDIRECT("1:5"))))</f>
        <v>#N/A</v>
      </c>
      <c r="T15" s="10"/>
      <c r="U15" s="11"/>
    </row>
    <row r="16" spans="1:24" ht="14.4" x14ac:dyDescent="0.3">
      <c r="B16" s="49" t="str">
        <f ca="1"/>
        <v>Steve McFadden</v>
      </c>
      <c r="C16" s="50"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row>
    <row r="17" spans="2:23" ht="14.4" x14ac:dyDescent="0.3">
      <c r="B17" s="49" t="str">
        <f ca="1"/>
        <v>Chris Callahan</v>
      </c>
      <c r="C17" s="50"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row>
    <row r="18" spans="2:23" ht="14.4" x14ac:dyDescent="0.3">
      <c r="B18" s="49" t="str">
        <f ca="1"/>
        <v>Sean Christian</v>
      </c>
      <c r="C18" s="50"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row>
    <row r="19" spans="2:23" ht="14.4" x14ac:dyDescent="0.3">
      <c r="B19" s="49" t="str">
        <f ca="1"/>
        <v>Mark Brenman</v>
      </c>
      <c r="C19" s="50"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row>
    <row r="20" spans="2:23" ht="14.4" x14ac:dyDescent="0.3">
      <c r="B20" s="49" t="str">
        <f ca="1"/>
        <v>Ken Webster</v>
      </c>
      <c r="C20" s="50" t="e">
        <f ca="1"/>
        <v>#N/A</v>
      </c>
      <c r="D20" s="35"/>
      <c r="E20" s="13">
        <v>5</v>
      </c>
      <c r="G20" s="3" t="e">
        <f>VLOOKUP(F20,ESPNScores!$A$2:$B$91,2,FALSE)</f>
        <v>#N/A</v>
      </c>
      <c r="H20" s="31"/>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row>
    <row r="21" spans="2:23" ht="14.4" x14ac:dyDescent="0.3">
      <c r="B21" s="49" t="str">
        <f ca="1"/>
        <v>Matt Myers</v>
      </c>
      <c r="C21" s="50"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row>
    <row r="22" spans="2:23" ht="14.4" x14ac:dyDescent="0.3">
      <c r="B22" s="49" t="str">
        <f ca="1"/>
        <v>Damon Chapman</v>
      </c>
      <c r="C22" s="50"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row>
    <row r="23" spans="2:23" ht="14.4" x14ac:dyDescent="0.3">
      <c r="B23" s="49" t="str">
        <f ca="1"/>
        <v>Chris Marinis</v>
      </c>
      <c r="C23" s="50"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row>
    <row r="24" spans="2:23" ht="14.4" x14ac:dyDescent="0.3">
      <c r="B24" s="49" t="str">
        <f ca="1"/>
        <v>Anthony Neville</v>
      </c>
      <c r="C24" s="50"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59"/>
      <c r="Q24" s="3" t="e">
        <f>VLOOKUP(P24,ESPNScores!$A$2:$B$91,2,FALSE)</f>
        <v>#N/A</v>
      </c>
      <c r="S24" s="3" t="e">
        <f>VLOOKUP(R24,ESPNScores!$A$2:$B$91,2,FALSE)</f>
        <v>#N/A</v>
      </c>
    </row>
    <row r="25" spans="2:23" ht="14.4" x14ac:dyDescent="0.3">
      <c r="B25" s="36"/>
      <c r="C25" s="51"/>
      <c r="D25" s="37"/>
      <c r="E25" s="13" t="s">
        <v>10</v>
      </c>
      <c r="F25" s="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9"/>
      <c r="S25" s="3" t="e">
        <f>VLOOKUP(R25,ESPNScores!$A$2:$B$91,2,FALSE)</f>
        <v>#N/A</v>
      </c>
    </row>
    <row r="26" spans="2:23" s="7" customFormat="1" ht="14.4" x14ac:dyDescent="0.3">
      <c r="B26" s="18"/>
      <c r="C26" s="17"/>
      <c r="D26" s="17"/>
      <c r="E26" s="56"/>
      <c r="F26" s="85"/>
      <c r="G26" s="3" t="e">
        <f>VLOOKUP(F26,ESPNScores!$A$2:$B$91,2,FALSE)</f>
        <v>#N/A</v>
      </c>
      <c r="H26" s="85"/>
      <c r="I26" s="3" t="e">
        <f>VLOOKUP(H26,ESPNScores!$A$2:$B$91,2,FALSE)</f>
        <v>#N/A</v>
      </c>
      <c r="J26" s="85"/>
      <c r="K26" s="3" t="e">
        <f>VLOOKUP(J26,ESPNScores!$A$2:$B$91,2,FALSE)</f>
        <v>#N/A</v>
      </c>
      <c r="L26" s="85"/>
      <c r="M26" s="3" t="e">
        <f>VLOOKUP(L26,ESPNScores!$A$2:$B$91,2,FALSE)</f>
        <v>#N/A</v>
      </c>
      <c r="N26" s="85"/>
      <c r="O26" s="3" t="e">
        <f>VLOOKUP(N26,ESPNScores!$A$2:$B$91,2,FALSE)</f>
        <v>#N/A</v>
      </c>
      <c r="P26" s="85"/>
      <c r="Q26" s="3" t="e">
        <f>VLOOKUP(P26,ESPNScores!$A$2:$B$91,2,FALSE)</f>
        <v>#N/A</v>
      </c>
      <c r="R26" s="85"/>
      <c r="S26" s="3" t="e">
        <f>VLOOKUP(R26,ESPNScores!$A$2:$B$91,2,FALSE)</f>
        <v>#N/A</v>
      </c>
      <c r="T26"/>
      <c r="U26" s="3"/>
      <c r="V26"/>
      <c r="W26"/>
    </row>
    <row r="27" spans="2:23" x14ac:dyDescent="0.25">
      <c r="B27" s="52" t="s">
        <v>329</v>
      </c>
      <c r="C27" s="17"/>
      <c r="D27" s="17"/>
      <c r="E27" s="89"/>
      <c r="W27"/>
    </row>
    <row r="28" spans="2:23" ht="14.4" x14ac:dyDescent="0.3">
      <c r="B28" s="82" t="str">
        <f>ESPNScores!A2</f>
        <v>Russell Henley</v>
      </c>
      <c r="C28" s="84">
        <f>ESPNScores!B2</f>
        <v>-9</v>
      </c>
      <c r="E28" s="90"/>
      <c r="F28" s="10" t="s">
        <v>19</v>
      </c>
      <c r="G28" s="11" t="e" cm="1">
        <f t="array" aca="1" ref="G28" ca="1">SUMPRODUCT(SMALL(G29:G38,ROW(INDIRECT("1:5"))))</f>
        <v>#N/A</v>
      </c>
      <c r="H28" s="10" t="s">
        <v>18</v>
      </c>
      <c r="I28" s="11" t="e" cm="1">
        <f t="array" aca="1" ref="I28" ca="1">SUMPRODUCT(SMALL(I29:I38,ROW(INDIRECT("1:5"))))</f>
        <v>#N/A</v>
      </c>
      <c r="J28" s="10" t="s">
        <v>20</v>
      </c>
      <c r="K28" s="11" t="e" cm="1">
        <f t="array" aca="1" ref="K28" ca="1">SUMPRODUCT(SMALL(K29:K38,ROW(INDIRECT("1:5"))))</f>
        <v>#N/A</v>
      </c>
      <c r="L28" s="10" t="s">
        <v>7</v>
      </c>
      <c r="M28" s="11" t="e" cm="1">
        <f t="array" aca="1" ref="M28" ca="1">SUMPRODUCT(SMALL(M29:M38,ROW(INDIRECT("1:5"))))</f>
        <v>#N/A</v>
      </c>
      <c r="N28" s="10" t="s">
        <v>11</v>
      </c>
      <c r="O28" s="11" t="e" cm="1">
        <f t="array" aca="1" ref="O28" ca="1">SUMPRODUCT(SMALL(O29:O38,ROW(INDIRECT("1:5"))))</f>
        <v>#N/A</v>
      </c>
      <c r="P28" s="10" t="s">
        <v>21</v>
      </c>
      <c r="Q28" s="11" t="e" cm="1">
        <f t="array" aca="1" ref="Q28" ca="1">SUMPRODUCT(SMALL(Q29:Q38,ROW(INDIRECT("1:5"))))</f>
        <v>#N/A</v>
      </c>
      <c r="R28" s="10" t="s">
        <v>403</v>
      </c>
      <c r="S28" s="11" t="e" cm="1">
        <f t="array" aca="1" ref="S28" ca="1">SUMPRODUCT(SMALL(S29:S38,ROW(INDIRECT("1:5"))))</f>
        <v>#N/A</v>
      </c>
      <c r="T28" s="10"/>
      <c r="U28" s="11"/>
      <c r="V28" s="9"/>
    </row>
    <row r="29" spans="2:23" ht="14.4" x14ac:dyDescent="0.3">
      <c r="B29" s="82" t="str">
        <f>ESPNScores!A3</f>
        <v>Scottie Scheffler</v>
      </c>
      <c r="C29" s="84">
        <f>ESPNScores!B3</f>
        <v>-7</v>
      </c>
      <c r="E29" s="91">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V29" s="9"/>
    </row>
    <row r="30" spans="2:23" ht="14.4" x14ac:dyDescent="0.3">
      <c r="B30" s="82" t="str">
        <f>ESPNScores!A4</f>
        <v>Collin Morikawa</v>
      </c>
      <c r="C30" s="84">
        <f>ESPNScores!B4</f>
        <v>-6</v>
      </c>
      <c r="E30" s="91">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V30" s="9"/>
    </row>
    <row r="31" spans="2:23" ht="14.4" x14ac:dyDescent="0.3">
      <c r="B31" s="82" t="str">
        <f>ESPNScores!A5</f>
        <v>Patrick Cantlay</v>
      </c>
      <c r="C31" s="84">
        <f>ESPNScores!B5</f>
        <v>-6</v>
      </c>
      <c r="E31" s="91">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V31" s="31"/>
    </row>
    <row r="32" spans="2:23" ht="14.4" x14ac:dyDescent="0.3">
      <c r="B32" s="82" t="str">
        <f>ESPNScores!A6</f>
        <v>Justin Thomas</v>
      </c>
      <c r="C32" s="84">
        <f>ESPNScores!B6</f>
        <v>-6</v>
      </c>
      <c r="E32" s="91">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V32" s="9"/>
    </row>
    <row r="33" spans="2:23" ht="14.4" x14ac:dyDescent="0.3">
      <c r="B33" s="82" t="str">
        <f>ESPNScores!A7</f>
        <v>Robert MacIntyre</v>
      </c>
      <c r="C33" s="84">
        <f>ESPNScores!B7</f>
        <v>-6</v>
      </c>
      <c r="E33" s="91">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V33" s="9"/>
    </row>
    <row r="34" spans="2:23" ht="14.4" x14ac:dyDescent="0.3">
      <c r="B34" s="82" t="str">
        <f>ESPNScores!A8</f>
        <v>Tommy Fleetwood</v>
      </c>
      <c r="C34" s="84">
        <f>ESPNScores!B8</f>
        <v>-6</v>
      </c>
      <c r="E34" s="91">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V34" s="9"/>
    </row>
    <row r="35" spans="2:23" ht="14.4" x14ac:dyDescent="0.3">
      <c r="B35" s="82" t="str">
        <f>ESPNScores!A9</f>
        <v>Akshay Bhatia</v>
      </c>
      <c r="C35" s="84">
        <f>ESPNScores!B9</f>
        <v>-4</v>
      </c>
      <c r="E35" s="91">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V35" s="9"/>
    </row>
    <row r="36" spans="2:23" ht="14.4" x14ac:dyDescent="0.3">
      <c r="E36" s="91">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V36" s="9"/>
    </row>
    <row r="37" spans="2:23" ht="14.4" x14ac:dyDescent="0.3">
      <c r="B37" s="52" t="s">
        <v>339</v>
      </c>
      <c r="E37" s="91" t="s">
        <v>9</v>
      </c>
      <c r="F37" s="59"/>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row>
    <row r="38" spans="2:23" ht="14.4" x14ac:dyDescent="0.3">
      <c r="B38" s="83" t="s">
        <v>486</v>
      </c>
      <c r="E38" s="91" t="s">
        <v>10</v>
      </c>
      <c r="F38" s="9"/>
      <c r="G38" s="3" t="e">
        <f>VLOOKUP(F38,ESPNScores!$A$2:$B$91,2,FALSE)</f>
        <v>#N/A</v>
      </c>
      <c r="H38" s="9"/>
      <c r="I38" s="3" t="e">
        <f>VLOOKUP(H38,ESPNScores!$A$2:$B$91,2,FALSE)</f>
        <v>#N/A</v>
      </c>
      <c r="J38" s="9"/>
      <c r="K38" s="3" t="e">
        <f>VLOOKUP(J38,ESPNScores!$A$2:$B$91,2,FALSE)</f>
        <v>#N/A</v>
      </c>
      <c r="L38" s="9"/>
      <c r="M38" s="3" t="e">
        <f>VLOOKUP(L38,ESPNScores!$A$2:$B$91,2,FALSE)</f>
        <v>#N/A</v>
      </c>
      <c r="N38" s="59"/>
      <c r="O38" s="3" t="e">
        <f>VLOOKUP(N38,ESPNScores!$A$2:$B$91,2,FALSE)</f>
        <v>#N/A</v>
      </c>
      <c r="P38" s="9"/>
      <c r="Q38" s="3" t="e">
        <f>VLOOKUP(P38,ESPNScores!$A$2:$B$91,2,FALSE)</f>
        <v>#N/A</v>
      </c>
      <c r="R38" s="9"/>
      <c r="S38" s="3" t="e">
        <f>VLOOKUP(R38,ESPNScores!$A$2:$B$91,2,FALSE)</f>
        <v>#N/A</v>
      </c>
      <c r="V38" s="7"/>
      <c r="W38" s="1"/>
    </row>
    <row r="39" spans="2:23" ht="14.4" x14ac:dyDescent="0.3">
      <c r="E39" s="56"/>
      <c r="F39" s="85"/>
      <c r="G39" s="3" t="e">
        <f>VLOOKUP(F39,ESPNScores!$A$2:$B$91,2,FALSE)</f>
        <v>#N/A</v>
      </c>
      <c r="H39" s="85"/>
      <c r="I39" s="3" t="e">
        <f>VLOOKUP(H39,ESPNScores!$A$2:$B$91,2,FALSE)</f>
        <v>#N/A</v>
      </c>
      <c r="J39" s="85"/>
      <c r="K39" s="3" t="e">
        <f>VLOOKUP(J39,ESPNScores!$A$2:$B$91,2,FALSE)</f>
        <v>#N/A</v>
      </c>
      <c r="L39" s="85"/>
      <c r="M39" s="3" t="e">
        <f>VLOOKUP(L39,ESPNScores!$A$2:$B$91,2,FALSE)</f>
        <v>#N/A</v>
      </c>
      <c r="N39" s="85"/>
      <c r="O39" s="3" t="e">
        <f>VLOOKUP(N39,ESPNScores!$A$2:$B$91,2,FALSE)</f>
        <v>#N/A</v>
      </c>
      <c r="P39" s="85"/>
      <c r="Q39" s="3" t="e">
        <f>VLOOKUP(P39,ESPNScores!$A$2:$B$91,2,FALSE)</f>
        <v>#N/A</v>
      </c>
      <c r="R39" s="85"/>
      <c r="S39" s="3" t="e">
        <f>VLOOKUP(R39,ESPNScores!$A$2:$B$91,2,FALSE)</f>
        <v>#N/A</v>
      </c>
      <c r="V39" s="9"/>
    </row>
    <row r="40" spans="2:23" ht="14.4" x14ac:dyDescent="0.3">
      <c r="E40" s="8"/>
      <c r="F40" s="31"/>
      <c r="G40" s="17"/>
      <c r="H40" s="9"/>
      <c r="I40" s="3"/>
      <c r="J40" s="9"/>
      <c r="K40" s="3"/>
      <c r="L40" s="9"/>
      <c r="M40" s="3"/>
      <c r="N40" s="9"/>
      <c r="O40" s="3"/>
      <c r="P40" s="9"/>
      <c r="Q40" s="3"/>
      <c r="R40" s="9"/>
      <c r="S40" s="3"/>
      <c r="V40" s="9"/>
    </row>
    <row r="41" spans="2:23" ht="14.4" x14ac:dyDescent="0.3">
      <c r="E41" s="8"/>
      <c r="F41" s="31"/>
      <c r="G41" s="17"/>
      <c r="H41" s="9"/>
      <c r="I41" s="3"/>
      <c r="J41" s="9"/>
      <c r="K41" s="3"/>
      <c r="L41" s="9"/>
      <c r="M41" s="3"/>
      <c r="N41" s="9"/>
      <c r="O41" s="3"/>
      <c r="P41" s="9"/>
      <c r="Q41" s="3"/>
      <c r="R41" s="9"/>
      <c r="S41" s="3"/>
      <c r="V41" s="9"/>
    </row>
    <row r="42" spans="2:23" ht="14.4" x14ac:dyDescent="0.3">
      <c r="E42" s="8"/>
      <c r="F42" s="31"/>
      <c r="G42" s="17"/>
      <c r="H42" s="9"/>
      <c r="I42" s="3"/>
      <c r="J42" s="9"/>
      <c r="K42" s="3"/>
      <c r="L42" s="9"/>
      <c r="M42" s="3"/>
      <c r="N42" s="9"/>
      <c r="O42" s="3"/>
      <c r="P42" s="9"/>
      <c r="Q42" s="3"/>
      <c r="R42" s="9"/>
      <c r="S42" s="3"/>
      <c r="V42" s="9"/>
    </row>
    <row r="43" spans="2:23" ht="14.4" x14ac:dyDescent="0.3">
      <c r="E43" s="8"/>
      <c r="F43" s="31"/>
      <c r="G43" s="17"/>
      <c r="H43" s="9"/>
      <c r="I43" s="3"/>
      <c r="J43" s="31"/>
      <c r="K43" s="3"/>
      <c r="L43" s="31"/>
      <c r="M43" s="3"/>
      <c r="N43" s="31"/>
      <c r="O43" s="3"/>
      <c r="Q43" s="3"/>
      <c r="R43" s="9"/>
      <c r="S43" s="3"/>
      <c r="V43" s="31"/>
    </row>
    <row r="44" spans="2:23" ht="14.4" x14ac:dyDescent="0.3">
      <c r="E44" s="8"/>
      <c r="F44" s="31"/>
      <c r="G44" s="17"/>
      <c r="H44" s="9"/>
      <c r="I44" s="3"/>
      <c r="J44" s="9"/>
      <c r="K44" s="3"/>
      <c r="L44" s="9"/>
      <c r="M44" s="3"/>
      <c r="N44" s="9"/>
      <c r="O44" s="3"/>
      <c r="P44" s="9"/>
      <c r="Q44" s="3"/>
      <c r="R44" s="9"/>
      <c r="S44" s="3"/>
      <c r="V44" s="9"/>
    </row>
    <row r="45" spans="2:23" ht="14.4" x14ac:dyDescent="0.3">
      <c r="E45" s="8"/>
      <c r="F45" s="31"/>
      <c r="G45" s="17"/>
      <c r="H45" s="9"/>
      <c r="I45" s="3"/>
      <c r="J45" s="9"/>
      <c r="K45" s="3"/>
      <c r="L45" s="9"/>
      <c r="M45" s="3"/>
      <c r="N45" s="9"/>
      <c r="O45" s="3"/>
      <c r="P45" s="9"/>
      <c r="Q45" s="3"/>
      <c r="R45" s="9"/>
      <c r="S45" s="3"/>
      <c r="V45" s="9"/>
    </row>
    <row r="46" spans="2:23" ht="14.4" x14ac:dyDescent="0.3">
      <c r="E46" s="8"/>
      <c r="F46" s="18"/>
      <c r="G46" s="17"/>
      <c r="H46" s="9"/>
      <c r="I46" s="3"/>
      <c r="J46" s="9"/>
      <c r="K46" s="3"/>
      <c r="M46" s="3"/>
      <c r="N46" s="9"/>
      <c r="O46" s="3"/>
      <c r="Q46" s="3"/>
      <c r="R46" s="9"/>
      <c r="S46" s="3"/>
    </row>
    <row r="47" spans="2:23" ht="14.4" x14ac:dyDescent="0.3">
      <c r="E47" s="8"/>
      <c r="F47" s="31"/>
      <c r="G47" s="17"/>
      <c r="H47" s="9"/>
      <c r="I47" s="3"/>
      <c r="J47" s="9"/>
      <c r="K47" s="3"/>
      <c r="L47" s="9"/>
      <c r="M47" s="3"/>
      <c r="N47" s="9"/>
      <c r="O47" s="3"/>
      <c r="P47" s="9"/>
      <c r="Q47" s="3"/>
      <c r="R47" s="30"/>
      <c r="S47" s="3"/>
      <c r="V47" s="9"/>
    </row>
    <row r="48" spans="2:23" ht="14.4" x14ac:dyDescent="0.3">
      <c r="E48" s="8"/>
      <c r="F48" s="31"/>
      <c r="G48" s="17"/>
      <c r="H48" s="9"/>
      <c r="I48" s="3"/>
      <c r="J48" s="9"/>
      <c r="K48" s="3"/>
      <c r="L48" s="9"/>
      <c r="M48" s="3"/>
      <c r="N48" s="9"/>
      <c r="O48" s="3"/>
      <c r="P48" s="9"/>
      <c r="Q48" s="3"/>
      <c r="R48" s="9"/>
      <c r="S48" s="3"/>
      <c r="V48" s="9"/>
    </row>
    <row r="49" spans="2:27" x14ac:dyDescent="0.25">
      <c r="E49"/>
      <c r="G49" s="3"/>
      <c r="I49" s="3"/>
      <c r="K49" s="3"/>
      <c r="M49" s="3"/>
      <c r="O49" s="3"/>
      <c r="Q49" s="3"/>
      <c r="S49" s="3"/>
    </row>
    <row r="50" spans="2:27" x14ac:dyDescent="0.25">
      <c r="B50" t="s">
        <v>450</v>
      </c>
      <c r="E50"/>
      <c r="F50" t="str">
        <f>F2</f>
        <v>Joe Magnetico</v>
      </c>
      <c r="G50" t="str">
        <f>H2</f>
        <v>Richard Webster</v>
      </c>
      <c r="H50" t="str">
        <f>J2</f>
        <v>Dean Nardone</v>
      </c>
      <c r="I50" t="str">
        <f>L2</f>
        <v>Charlie Adams</v>
      </c>
      <c r="J50" t="str">
        <f>N2</f>
        <v>Russ Flagg</v>
      </c>
      <c r="K50" t="str">
        <f>P2</f>
        <v>Gary Casarsa</v>
      </c>
      <c r="L50" t="str">
        <f>R2</f>
        <v>Halley Ganges</v>
      </c>
      <c r="M50" t="str">
        <f>T2</f>
        <v>Matt Desai</v>
      </c>
      <c r="N50" t="str">
        <f>F15</f>
        <v>Mike Coope</v>
      </c>
      <c r="O50" t="str">
        <f>H15</f>
        <v>William Seeger</v>
      </c>
      <c r="P50" t="str">
        <f>J15</f>
        <v>Laurie Seeger</v>
      </c>
      <c r="Q50" t="str">
        <f>L15</f>
        <v>Ann Heal</v>
      </c>
      <c r="R50" t="str">
        <f>N15</f>
        <v>Lorraine McGill</v>
      </c>
      <c r="S50" t="str">
        <f>P15</f>
        <v>Steve McFadden</v>
      </c>
      <c r="T50" t="str">
        <f>R15</f>
        <v>Chris Callahan</v>
      </c>
      <c r="U50" t="str">
        <f>F28</f>
        <v>Sean Christian</v>
      </c>
      <c r="V50" t="str">
        <f>H28</f>
        <v>Mark Brenman</v>
      </c>
      <c r="W50" t="str">
        <f>J28</f>
        <v>Ken Webster</v>
      </c>
      <c r="X50" s="3" t="str">
        <f>L28</f>
        <v>Matt Myers</v>
      </c>
      <c r="Y50" t="str">
        <f>N28</f>
        <v>Damon Chapman</v>
      </c>
      <c r="Z50" t="str">
        <f>P28</f>
        <v>Chris Marinis</v>
      </c>
      <c r="AA50" t="str">
        <f>R28</f>
        <v>Anthony Neville</v>
      </c>
    </row>
    <row r="51" spans="2:27" x14ac:dyDescent="0.25">
      <c r="B51" t="s">
        <v>338</v>
      </c>
      <c r="E51" t="s">
        <v>66</v>
      </c>
      <c r="F51" s="3" t="e">
        <f ca="1">G2</f>
        <v>#N/A</v>
      </c>
      <c r="G51" s="3" t="e">
        <f ca="1">I2</f>
        <v>#N/A</v>
      </c>
      <c r="H51" s="3" t="e">
        <f ca="1">K2</f>
        <v>#N/A</v>
      </c>
      <c r="I51" s="3" t="e">
        <f ca="1">M2</f>
        <v>#N/A</v>
      </c>
      <c r="J51" s="3" t="e">
        <f ca="1">O2</f>
        <v>#N/A</v>
      </c>
      <c r="K51" s="3" t="e">
        <f ca="1">Q2</f>
        <v>#N/A</v>
      </c>
      <c r="L51" s="3" t="e">
        <f ca="1">S2</f>
        <v>#N/A</v>
      </c>
      <c r="M51" s="3" t="e">
        <f ca="1">U2</f>
        <v>#N/A</v>
      </c>
      <c r="N51" s="3" t="e">
        <f ca="1">G15</f>
        <v>#N/A</v>
      </c>
      <c r="O51" s="3" t="e">
        <f ca="1">I15</f>
        <v>#N/A</v>
      </c>
      <c r="P51" s="3" t="e">
        <f ca="1">K15</f>
        <v>#N/A</v>
      </c>
      <c r="Q51" s="3" t="e">
        <f ca="1">M15</f>
        <v>#N/A</v>
      </c>
      <c r="R51" s="3" t="e">
        <f ca="1">O15</f>
        <v>#N/A</v>
      </c>
      <c r="S51" s="3" t="e">
        <f ca="1">Q15</f>
        <v>#N/A</v>
      </c>
      <c r="T51" s="3" t="e">
        <f ca="1">S15</f>
        <v>#N/A</v>
      </c>
      <c r="U51" s="3" t="e">
        <f ca="1">G28</f>
        <v>#N/A</v>
      </c>
      <c r="V51" s="3" t="e">
        <f ca="1">I28</f>
        <v>#N/A</v>
      </c>
      <c r="W51" s="3" t="e">
        <f ca="1">K28</f>
        <v>#N/A</v>
      </c>
      <c r="X51" s="3" t="e">
        <f ca="1">M28</f>
        <v>#N/A</v>
      </c>
      <c r="Y51" s="3" t="e">
        <f ca="1">O28</f>
        <v>#N/A</v>
      </c>
      <c r="Z51" s="3" t="e">
        <f ca="1">Q28</f>
        <v>#N/A</v>
      </c>
      <c r="AA51" s="3" t="e">
        <f ca="1">S28</f>
        <v>#N/A</v>
      </c>
    </row>
    <row r="52" spans="2:27" x14ac:dyDescent="0.25">
      <c r="E52" s="18" t="s">
        <v>317</v>
      </c>
      <c r="F52" s="3"/>
      <c r="G52" s="3"/>
      <c r="H52" s="3"/>
      <c r="I52" s="3"/>
      <c r="J52" s="3"/>
      <c r="K52" s="3"/>
      <c r="L52" s="3"/>
      <c r="M52" s="3"/>
      <c r="N52" s="3"/>
      <c r="O52" s="3"/>
      <c r="P52" s="3"/>
      <c r="Q52" s="3"/>
      <c r="R52" s="3"/>
      <c r="S52" s="3"/>
      <c r="T52" s="3"/>
      <c r="V52" s="3"/>
      <c r="X52" s="3"/>
      <c r="Y52" s="3"/>
      <c r="Z52" s="3"/>
      <c r="AA52" s="3"/>
    </row>
    <row r="53" spans="2:27" x14ac:dyDescent="0.25">
      <c r="E53" s="18"/>
      <c r="F53" s="3"/>
      <c r="G53" s="3"/>
      <c r="H53" s="3"/>
      <c r="I53" s="3"/>
      <c r="J53" s="3"/>
      <c r="K53" s="3"/>
      <c r="L53" s="3"/>
      <c r="M53" s="3"/>
      <c r="N53" s="3"/>
      <c r="O53" s="3"/>
      <c r="P53" s="3"/>
      <c r="Q53" s="3"/>
      <c r="R53" s="3"/>
      <c r="S53" s="3"/>
      <c r="T53" s="3"/>
      <c r="V53" s="3"/>
      <c r="X53" s="3"/>
      <c r="Y53" s="3"/>
      <c r="Z53" s="3"/>
      <c r="AA53" s="3"/>
    </row>
    <row r="54" spans="2:27" x14ac:dyDescent="0.25">
      <c r="B54" t="s">
        <v>405</v>
      </c>
      <c r="E54"/>
      <c r="F54" s="7" t="s">
        <v>24</v>
      </c>
      <c r="G54" s="19">
        <f>SMALL(G55:G62,1)+SMALL(G55:G62,2)+SMALL(G55:G62,3)+SMALL(G55:G62,4)+SMALL(G55:G62,5)</f>
        <v>-29</v>
      </c>
      <c r="I54" s="3"/>
      <c r="K54" s="3"/>
      <c r="M54" s="3"/>
      <c r="O54" s="3"/>
      <c r="Q54" s="3"/>
      <c r="S54" s="3"/>
    </row>
    <row r="55" spans="2:27" x14ac:dyDescent="0.25">
      <c r="B55" s="28">
        <v>45858.1875</v>
      </c>
      <c r="E55"/>
      <c r="G55">
        <f>'Top 40'!B36</f>
        <v>-9</v>
      </c>
      <c r="I55"/>
      <c r="M55" s="3"/>
      <c r="O55" s="3"/>
      <c r="Q55" s="3"/>
      <c r="S55" s="3"/>
    </row>
    <row r="56" spans="2:27" x14ac:dyDescent="0.25">
      <c r="E56"/>
      <c r="G56">
        <f>'Top 40'!B37</f>
        <v>-6</v>
      </c>
      <c r="I56"/>
      <c r="M56" s="3"/>
      <c r="O56" s="3"/>
      <c r="Q56" s="3"/>
      <c r="S56" s="3"/>
    </row>
    <row r="57" spans="2:27" x14ac:dyDescent="0.25">
      <c r="B57" t="s">
        <v>404</v>
      </c>
      <c r="G57">
        <f>'Top 40'!B38</f>
        <v>-2</v>
      </c>
      <c r="I57"/>
    </row>
    <row r="58" spans="2:27" x14ac:dyDescent="0.25">
      <c r="B58" s="28">
        <v>45858.574305555558</v>
      </c>
      <c r="G58">
        <f>'Top 40'!B39</f>
        <v>-4</v>
      </c>
      <c r="I58"/>
      <c r="K58"/>
    </row>
    <row r="59" spans="2:27" x14ac:dyDescent="0.25">
      <c r="G59">
        <f>'Top 40'!B40</f>
        <v>-6</v>
      </c>
      <c r="I59"/>
      <c r="K59"/>
    </row>
    <row r="60" spans="2:27" x14ac:dyDescent="0.25">
      <c r="B60" s="18" t="s">
        <v>428</v>
      </c>
      <c r="G60">
        <f>'Top 40'!B41</f>
        <v>-3</v>
      </c>
      <c r="I60"/>
      <c r="K60"/>
    </row>
    <row r="61" spans="2:27" x14ac:dyDescent="0.25">
      <c r="B61" s="94">
        <v>1.0416666666666667E-3</v>
      </c>
      <c r="G61">
        <f>'Top 40'!B42</f>
        <v>-4</v>
      </c>
      <c r="I61"/>
      <c r="K61"/>
    </row>
    <row r="62" spans="2:27" x14ac:dyDescent="0.25">
      <c r="G62" s="21">
        <f>'Top 40'!B43</f>
        <v>-3</v>
      </c>
      <c r="I62"/>
      <c r="K62"/>
    </row>
    <row r="63" spans="2:27" x14ac:dyDescent="0.25">
      <c r="F63" s="20"/>
      <c r="G63" s="18"/>
      <c r="I63"/>
      <c r="K63"/>
    </row>
    <row r="64" spans="2:27" x14ac:dyDescent="0.25">
      <c r="B64" s="18" t="s">
        <v>449</v>
      </c>
      <c r="F64" s="20"/>
      <c r="G64"/>
      <c r="I64"/>
      <c r="K64"/>
    </row>
    <row r="65" spans="2:11" x14ac:dyDescent="0.25">
      <c r="B65" s="102">
        <v>13</v>
      </c>
      <c r="G65"/>
      <c r="I65"/>
      <c r="K65"/>
    </row>
    <row r="66" spans="2:11" x14ac:dyDescent="0.25">
      <c r="G66"/>
      <c r="I66"/>
      <c r="K66"/>
    </row>
    <row r="67" spans="2:11" x14ac:dyDescent="0.25">
      <c r="G67"/>
      <c r="I67"/>
      <c r="K67"/>
    </row>
    <row r="68" spans="2:11" x14ac:dyDescent="0.25">
      <c r="G68"/>
      <c r="I68"/>
      <c r="K68"/>
    </row>
    <row r="69" spans="2:11" x14ac:dyDescent="0.25">
      <c r="G69"/>
      <c r="I69"/>
      <c r="K69"/>
    </row>
    <row r="70" spans="2:11" x14ac:dyDescent="0.25">
      <c r="G70"/>
      <c r="I70"/>
      <c r="K70"/>
    </row>
    <row r="71" spans="2:11" x14ac:dyDescent="0.25">
      <c r="G71"/>
      <c r="I71"/>
      <c r="K71"/>
    </row>
    <row r="72" spans="2:11" x14ac:dyDescent="0.25">
      <c r="G72"/>
      <c r="I72"/>
      <c r="K72"/>
    </row>
    <row r="73" spans="2:11" x14ac:dyDescent="0.25">
      <c r="G73"/>
      <c r="I73"/>
      <c r="K73"/>
    </row>
    <row r="74" spans="2:11" x14ac:dyDescent="0.25">
      <c r="G74"/>
      <c r="I74"/>
      <c r="K74"/>
    </row>
    <row r="75" spans="2:11" x14ac:dyDescent="0.25">
      <c r="G75"/>
      <c r="I75"/>
    </row>
    <row r="76" spans="2:11" x14ac:dyDescent="0.25">
      <c r="G76"/>
      <c r="I76"/>
    </row>
    <row r="77" spans="2:11" x14ac:dyDescent="0.25">
      <c r="G77"/>
      <c r="I77"/>
    </row>
    <row r="78" spans="2:11" x14ac:dyDescent="0.25">
      <c r="G78"/>
      <c r="I78"/>
    </row>
    <row r="79" spans="2:11" x14ac:dyDescent="0.25">
      <c r="G79"/>
      <c r="I79"/>
    </row>
    <row r="80" spans="2:11" x14ac:dyDescent="0.25">
      <c r="G80"/>
      <c r="I80"/>
    </row>
    <row r="81" spans="7:9" x14ac:dyDescent="0.25">
      <c r="G81"/>
      <c r="I81"/>
    </row>
    <row r="82" spans="7:9" x14ac:dyDescent="0.25">
      <c r="G82"/>
      <c r="I82"/>
    </row>
    <row r="83" spans="7:9" x14ac:dyDescent="0.25">
      <c r="G83"/>
      <c r="I83"/>
    </row>
  </sheetData>
  <dataConsolidate/>
  <conditionalFormatting sqref="F2:S2 U2 O15:U15 F15:M15 F28:U28 F3:U13 F16:U26 F30:F38 H30:H38 G30:G39 F29:H29 J29:J38 I29:I39 L29:L38 K29:K39 N29:N38 M29:M39 P29:P38 O29:O39 R29:R38 Q29:Q39 T29:U38 S29:S39">
    <cfRule type="cellIs" dxfId="160" priority="12" operator="equal">
      <formula>50</formula>
    </cfRule>
  </conditionalFormatting>
  <conditionalFormatting sqref="H3:H13 J3:J13 L3:L13 N3:N13 P3:P13 T3:T13 R3:R13 F3:F13 F16:F26 H16:H26 L16:L26 N16:N26 P16:P26 R16:R26 J16:J26 H29:H39 J29:J39 L29:L39 N29:N39 P29:P39 R29:R39 F29:F39">
    <cfRule type="expression" dxfId="159" priority="11">
      <formula>G3=50</formula>
    </cfRule>
  </conditionalFormatting>
  <conditionalFormatting sqref="W2:X3 W11:W12 W4:W9 X4:X12">
    <cfRule type="cellIs" dxfId="158" priority="10" operator="equal">
      <formula>50</formula>
    </cfRule>
  </conditionalFormatting>
  <conditionalFormatting sqref="W3:W9 W11:W12">
    <cfRule type="expression" dxfId="157" priority="9">
      <formula>X3=50</formula>
    </cfRule>
  </conditionalFormatting>
  <conditionalFormatting sqref="W10">
    <cfRule type="cellIs" dxfId="156" priority="8" operator="equal">
      <formula>50</formula>
    </cfRule>
  </conditionalFormatting>
  <conditionalFormatting sqref="W10">
    <cfRule type="expression" dxfId="155" priority="7">
      <formula>X10=50</formula>
    </cfRule>
  </conditionalFormatting>
  <conditionalFormatting sqref="F39 H39 J39 L39 N39 P39 R39 T39:U39">
    <cfRule type="cellIs" dxfId="154" priority="5" operator="equal">
      <formula>50</formula>
    </cfRule>
  </conditionalFormatting>
  <conditionalFormatting sqref="G13 G26 I13 K13 M13 Q13 S13 U13 O13 I26 K26 M26 O26 Q26 S26 G39 I39 K39 M39 O39 Q39 S39">
    <cfRule type="expression" dxfId="153" priority="2">
      <formula>F13=""</formula>
    </cfRule>
  </conditionalFormatting>
  <conditionalFormatting sqref="D2:D6">
    <cfRule type="expression" dxfId="152" priority="1">
      <formula>WEEKDAY(TODAY()) =1</formula>
    </cfRule>
  </conditionalFormatting>
  <hyperlinks>
    <hyperlink ref="B27" r:id="rId1" xr:uid="{28A3F6BE-F8DC-4EC6-983E-2A541DE08E5C}"/>
    <hyperlink ref="B37" r:id="rId2" xr:uid="{5B9387ED-7B3E-467C-B1C0-3F9D3003683F}"/>
    <hyperlink ref="G1" r:id="rId3" display="NEW!  Click here to see how the leaderboard has changed!" xr:uid="{F496232E-8974-4BAF-B7EA-6C35AD48BAF8}"/>
  </hyperlinks>
  <pageMargins left="0.7" right="0.7" top="0.75" bottom="0.75" header="0.3" footer="0.3"/>
  <pageSetup orientation="portrait" r:id="rId4"/>
  <webPublishItems count="1">
    <webPublishItem id="25654" divId="JoeMagneticoMicro_25654" sourceType="range" sourceRef="A1:U39"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P17 N4 P4 L4 N17 V40 P30 T17 R30 R17 H17 L17 T4 J17 F30 H30 N30 L30 J30 F17 T30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T36 V34 P36 R36 T23 R23 P23 N23 L23 W10 H23 F23 F36 H36 J36 L36 N36 R10 T10 J23</xm:sqref>
        </x14:dataValidation>
        <x14:dataValidation type="list" allowBlank="1" showInputMessage="1" showErrorMessage="1" xr:uid="{12D3274A-7112-4A60-AFDA-251475C6120B}">
          <x14:formula1>
            <xm:f>'Top 40'!$C$9:$G$9</xm:f>
          </x14:formula1>
          <xm:sqref>F9 R9 J9 L9 N9 T45 F22 T9 R35 T22 P35 R22 P9 P22 J22 L22 N22 F35 H22 H35 L35 N35 J35 V33 T35 P45 F45 H45 L45 N45 J45 R45 V45 H9 W9</xm:sqref>
        </x14:dataValidation>
        <x14:dataValidation type="list" allowBlank="1" showInputMessage="1" showErrorMessage="1" xr:uid="{605C3671-1CE6-4838-BC2E-BBD0D69C632E}">
          <x14:formula1>
            <xm:f>'Top 40'!$C$8:$G$8</xm:f>
          </x14:formula1>
          <xm:sqref>F8 H8 J8 L8 N8 T44 P8 R34 T21 T8 R21 P21 N21 P34 H21 L21 F21 F34 J21 L34 H34 N34 J34 V32 T34 R44 P44 F44 L44 H44 N44 J44 V44 R8 W8</xm:sqref>
        </x14:dataValidation>
        <x14:dataValidation type="list" allowBlank="1" showInputMessage="1" showErrorMessage="1" xr:uid="{619BCC47-652F-43C9-93B4-A7752CFA186F}">
          <x14:formula1>
            <xm:f>'Top 40'!$C$7:$G$7</xm:f>
          </x14:formula1>
          <xm:sqref>F7 H7 J7 L7 P20 P7 N33 T7 P33 N7 T20 V43 N20 L20 J20 F33 R33 F20 L33 H33 R20 H20 J33 T33 V31 N43 F43 L43 H43 J43 R43 P43 T43 R7 W7</xm:sqref>
        </x14:dataValidation>
        <x14:dataValidation type="list" allowBlank="1" showInputMessage="1" showErrorMessage="1" xr:uid="{C05221AF-6963-49D1-B669-59831D7536BC}">
          <x14:formula1>
            <xm:f>'Top 40'!$C$6:$G$6</xm:f>
          </x14:formula1>
          <xm:sqref>F6 H6 J6 N6 L6 T42 P32 P19 R32 T19 P6 L19 R19 L32 J19 H19 F19 F32 H32 J32 N32 N19 T6 V30 T32 R42 L42 F42 H42 J42 N42 P42 V42 R6 W6</xm:sqref>
        </x14:dataValidation>
        <x14:dataValidation type="list" allowBlank="1" showInputMessage="1" showErrorMessage="1" xr:uid="{67AC5EEA-49D1-40D5-8C88-C40205610EF4}">
          <x14:formula1>
            <xm:f>'Top 40'!$C$5:$G$5</xm:f>
          </x14:formula1>
          <xm:sqref>J18 F18 H31 J31 N31 L5 F5 H5 J5 N5 V41 F31 L31 T18 P31 R18 P18 N18 L18 H18 T5 R31 P5 T31 V29 H41 J41 N41 R41 F41 L41 P41 T41 R5 W5</xm:sqref>
        </x14:dataValidation>
        <x14:dataValidation type="list" allowBlank="1" showInputMessage="1" showErrorMessage="1" xr:uid="{903B624A-620F-441F-9B56-C4B22BF37CC6}">
          <x14:formula1>
            <xm:f>'Top 40'!$C$3:$G$3</xm:f>
          </x14:formula1>
          <xm:sqref>F3 R29 H3 J3 N16 H16 T16 N29 J29 P3 P29 J16 R16 L29 L16 P16 H29 F16 F29 L3 V39 T3 N3 W3 T29 R3</xm:sqref>
        </x14:dataValidation>
        <x14:dataValidation type="list" allowBlank="1" showInputMessage="1" showErrorMessage="1" xr:uid="{21087C3D-5DF3-4CE7-8E33-5BADB65ACAB3}">
          <x14:formula1>
            <xm:f>ESPNField!$A$2:$A$76</xm:f>
          </x14:formula1>
          <xm:sqref>F24:F26 F11:F13 J24:J26 L11:L13 N11:N13 P11:P13 L37:L39 F37:F39 P37:P39 R37:R39 T24:T26 R24:R26 L24:L26 N24:N26 H11:H13 T11:T13 H24:H26 J11:J13 R11:R13 H37:H39 J37:J39 P24:P26 N37:N39 T37:T39 V35:V36 V47:V48 T47:T48 R47:R48 P47:P48 N47:N48 L47:L48 J47:J48 H47:H48 F47:F48 W11:W12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election sqref="A1:U52"/>
    </sheetView>
  </sheetViews>
  <sheetFormatPr defaultColWidth="8.5546875" defaultRowHeight="13.2" x14ac:dyDescent="0.25"/>
  <cols>
    <col min="1" max="1" width="2.88671875" customWidth="1"/>
    <col min="2" max="2" width="15.6640625" customWidth="1"/>
    <col min="3" max="3" width="5.109375" style="3" customWidth="1"/>
    <col min="4" max="4" width="5.33203125" style="3" customWidth="1"/>
    <col min="5" max="5" width="6.6640625" style="3" customWidth="1"/>
    <col min="6" max="6" width="19.109375" customWidth="1"/>
    <col min="7" max="7" width="8.5546875" style="2" customWidth="1"/>
    <col min="8" max="8" width="19.5546875" bestFit="1" customWidth="1"/>
    <col min="9" max="9" width="8.5546875" style="2"/>
    <col min="10" max="10" width="19.5546875" customWidth="1"/>
    <col min="11" max="11" width="8.5546875" style="2"/>
    <col min="12" max="12" width="20.44140625" customWidth="1"/>
    <col min="13" max="13" width="8.5546875" style="2"/>
    <col min="14" max="14" width="18.33203125" customWidth="1"/>
    <col min="15" max="15" width="8.5546875" style="2"/>
    <col min="16" max="16" width="19.44140625" customWidth="1"/>
    <col min="17" max="17" width="8.5546875" style="2"/>
    <col min="18" max="18" width="20.33203125" customWidth="1"/>
    <col min="19" max="19" width="8.5546875" style="2"/>
    <col min="20" max="20" width="19.33203125" customWidth="1"/>
    <col min="21" max="21" width="8.5546875" style="3"/>
    <col min="22" max="22" width="19.44140625" customWidth="1"/>
    <col min="23" max="23" width="8.5546875" style="3"/>
  </cols>
  <sheetData>
    <row r="1" spans="1:35" s="101" customFormat="1" ht="20.399999999999999" customHeight="1" x14ac:dyDescent="0.25">
      <c r="A1" s="98"/>
      <c r="B1" s="95" t="s">
        <v>316</v>
      </c>
      <c r="C1" s="99" t="s">
        <v>487</v>
      </c>
      <c r="D1" s="96"/>
      <c r="E1" s="100"/>
      <c r="G1" s="96"/>
      <c r="I1" s="96"/>
      <c r="K1" s="96"/>
      <c r="M1" s="96"/>
      <c r="O1" s="96"/>
      <c r="Q1" s="96"/>
      <c r="S1" s="96"/>
      <c r="U1" s="96"/>
      <c r="W1" s="96"/>
    </row>
    <row r="2" spans="1:35" s="7" customFormat="1" x14ac:dyDescent="0.25">
      <c r="B2" s="47" t="s">
        <v>1</v>
      </c>
      <c r="C2" s="48"/>
      <c r="D2" s="63" t="s">
        <v>267</v>
      </c>
      <c r="E2" s="12"/>
      <c r="F2" s="10" t="s">
        <v>290</v>
      </c>
      <c r="G2" s="11" t="e" cm="1">
        <f t="array" aca="1" ref="G2" ca="1">SUMPRODUCT(SMALL(G3:G12,ROW(INDIRECT("1:5"))))</f>
        <v>#N/A</v>
      </c>
      <c r="H2" s="10" t="s">
        <v>291</v>
      </c>
      <c r="I2" s="11" t="e" cm="1">
        <f t="array" aca="1" ref="I2" ca="1">SUMPRODUCT(SMALL(I3:I12,ROW(INDIRECT("1:5"))))</f>
        <v>#N/A</v>
      </c>
      <c r="J2" s="10" t="s">
        <v>292</v>
      </c>
      <c r="K2" s="11" t="e" cm="1">
        <f t="array" aca="1" ref="K2" ca="1">SUMPRODUCT(SMALL(K3:K12,ROW(INDIRECT("1:5"))))</f>
        <v>#N/A</v>
      </c>
      <c r="L2" s="10" t="s">
        <v>293</v>
      </c>
      <c r="M2" s="11" t="e" cm="1">
        <f t="array" aca="1" ref="M2" ca="1">SUMPRODUCT(SMALL(M3:M12,ROW(INDIRECT("1:5"))))</f>
        <v>#N/A</v>
      </c>
      <c r="N2" s="10" t="s">
        <v>294</v>
      </c>
      <c r="O2" s="11" t="e" cm="1">
        <f t="array" aca="1" ref="O2" ca="1">SUMPRODUCT(SMALL(O3:O12,ROW(INDIRECT("1:5"))))</f>
        <v>#N/A</v>
      </c>
      <c r="P2" s="10" t="s">
        <v>295</v>
      </c>
      <c r="Q2" s="11" t="e" cm="1">
        <f t="array" aca="1" ref="Q2" ca="1">SUMPRODUCT(SMALL(Q3:Q12,ROW(INDIRECT("1:5"))))</f>
        <v>#N/A</v>
      </c>
      <c r="R2" s="10" t="s">
        <v>296</v>
      </c>
      <c r="S2" s="11" t="e" cm="1">
        <f t="array" aca="1" ref="S2" ca="1">SUMPRODUCT(SMALL(S3:S12,ROW(INDIRECT("1:5"))))</f>
        <v>#N/A</v>
      </c>
      <c r="T2" s="10" t="s">
        <v>297</v>
      </c>
      <c r="U2" s="11" t="e" cm="1">
        <f t="array" aca="1" ref="U2" ca="1">SUMPRODUCT(SMALL(U3:U12,ROW(INDIRECT("1:5"))))</f>
        <v>#N/A</v>
      </c>
    </row>
    <row r="3" spans="1:35" ht="14.4" x14ac:dyDescent="0.3">
      <c r="B3" s="49" t="str" cm="1">
        <f t="array" aca="1" ref="B3:C32" ca="1">TRANSPOSE(_xlfn._xlws.SORT(F54:AI55,2,1,TRUE))</f>
        <v>Webster</v>
      </c>
      <c r="C3" s="50" t="e">
        <f ca="1"/>
        <v>#N/A</v>
      </c>
      <c r="D3" s="64">
        <f ca="1">HLOOKUP(B3,$F$54:$AI$56,3,)</f>
        <v>0</v>
      </c>
      <c r="E3" s="13">
        <v>1</v>
      </c>
      <c r="G3" s="3" t="e">
        <f>VLOOKUP(F3,ESPNScores!$A$2:$B$91,2,FALSE)</f>
        <v>#N/A</v>
      </c>
      <c r="H3" s="9"/>
      <c r="I3" s="3" t="e">
        <f>VLOOKUP(H3,ESPNScores!$A$2:$B$91,2,FALSE)</f>
        <v>#N/A</v>
      </c>
      <c r="J3" s="9"/>
      <c r="K3" s="3" t="e">
        <f>VLOOKUP(J3,ESPNScores!$A$2:$B$91,2,FALSE)</f>
        <v>#N/A</v>
      </c>
      <c r="L3" s="9"/>
      <c r="M3" s="3" t="e">
        <f>VLOOKUP(L3,ESPNScores!$A$2:$B$91,2,FALSE)</f>
        <v>#N/A</v>
      </c>
      <c r="O3" s="3" t="e">
        <f>VLOOKUP(N3,ESPNScores!$A$2:$B$91,2,FALSE)</f>
        <v>#N/A</v>
      </c>
      <c r="P3" s="9"/>
      <c r="Q3" s="3" t="e">
        <f>VLOOKUP(P3,ESPNScores!$A$2:$B$91,2,FALSE)</f>
        <v>#N/A</v>
      </c>
      <c r="S3" s="3" t="e">
        <f>VLOOKUP(R3,ESPNScores!$A$2:$B$91,2,FALSE)</f>
        <v>#N/A</v>
      </c>
      <c r="T3" s="9"/>
      <c r="U3" s="3" t="e">
        <f>VLOOKUP(T3,ESPNScores!$A$2:$B$91,2,FALSE)</f>
        <v>#N/A</v>
      </c>
    </row>
    <row r="4" spans="1:35" ht="14.4" x14ac:dyDescent="0.3">
      <c r="B4" s="49" t="str">
        <f ca="1"/>
        <v>Mattson</v>
      </c>
      <c r="C4" s="50" t="e">
        <f ca="1"/>
        <v>#N/A</v>
      </c>
      <c r="D4" s="64">
        <f ca="1">HLOOKUP(B4,$F$54:$AI$56,3,)</f>
        <v>0</v>
      </c>
      <c r="E4" s="13">
        <v>2</v>
      </c>
      <c r="G4" s="3" t="e">
        <f>VLOOKUP(F4,ESPNScores!$A$2:$B$91,2,FALSE)</f>
        <v>#N/A</v>
      </c>
      <c r="H4" s="31"/>
      <c r="I4" s="3" t="e">
        <f>VLOOKUP(H4,ESPNScores!$A$2:$B$91,2,FALSE)</f>
        <v>#N/A</v>
      </c>
      <c r="J4" s="9"/>
      <c r="K4" s="3" t="e">
        <f>VLOOKUP(J4,ESPNScores!$A$2:$B$91,2,FALSE)</f>
        <v>#N/A</v>
      </c>
      <c r="L4" s="9"/>
      <c r="M4" s="3" t="e">
        <f>VLOOKUP(L4,ESPNScores!$A$2:$B$91,2,FALSE)</f>
        <v>#N/A</v>
      </c>
      <c r="N4" s="9"/>
      <c r="O4" s="3" t="e">
        <f>VLOOKUP(N4,ESPNScores!$A$2:$B$91,2,FALSE)</f>
        <v>#N/A</v>
      </c>
      <c r="P4" s="9"/>
      <c r="Q4" s="3" t="e">
        <f>VLOOKUP(P4,ESPNScores!$A$2:$B$91,2,FALSE)</f>
        <v>#N/A</v>
      </c>
      <c r="S4" s="3" t="e">
        <f>VLOOKUP(R4,ESPNScores!$A$2:$B$91,2,FALSE)</f>
        <v>#N/A</v>
      </c>
      <c r="T4" s="9"/>
      <c r="U4" s="3" t="e">
        <f>VLOOKUP(T4,ESPNScores!$A$2:$B$91,2,FALSE)</f>
        <v>#N/A</v>
      </c>
    </row>
    <row r="5" spans="1:35" ht="14.4" x14ac:dyDescent="0.3">
      <c r="B5" s="49" t="str">
        <f ca="1"/>
        <v>Holiday</v>
      </c>
      <c r="C5" s="50" t="e">
        <f ca="1"/>
        <v>#N/A</v>
      </c>
      <c r="D5" s="64">
        <f ca="1">HLOOKUP(B5,$F$54:$AI$56,3,)</f>
        <v>0</v>
      </c>
      <c r="E5" s="13">
        <v>3</v>
      </c>
      <c r="G5" s="3" t="e">
        <f>VLOOKUP(F5,ESPNScores!$A$2:$B$91,2,FALSE)</f>
        <v>#N/A</v>
      </c>
      <c r="H5" s="31"/>
      <c r="I5" s="3" t="e">
        <f>VLOOKUP(H5,ESPNScores!$A$2:$B$91,2,FALSE)</f>
        <v>#N/A</v>
      </c>
      <c r="J5" s="9"/>
      <c r="K5" s="3" t="e">
        <f>VLOOKUP(J5,ESPNScores!$A$2:$B$91,2,FALSE)</f>
        <v>#N/A</v>
      </c>
      <c r="L5" s="9"/>
      <c r="M5" s="3" t="e">
        <f>VLOOKUP(L5,ESPNScores!$A$2:$B$91,2,FALSE)</f>
        <v>#N/A</v>
      </c>
      <c r="N5" s="9"/>
      <c r="O5" s="3" t="e">
        <f>VLOOKUP(N5,ESPNScores!$A$2:$B$91,2,FALSE)</f>
        <v>#N/A</v>
      </c>
      <c r="P5" s="9"/>
      <c r="Q5" s="3" t="e">
        <f>VLOOKUP(P5,ESPNScores!$A$2:$B$91,2,FALSE)</f>
        <v>#N/A</v>
      </c>
      <c r="S5" s="3" t="e">
        <f>VLOOKUP(R5,ESPNScores!$A$2:$B$91,2,FALSE)</f>
        <v>#N/A</v>
      </c>
      <c r="T5" s="9"/>
      <c r="U5" s="3" t="e">
        <f>VLOOKUP(T5,ESPNScores!$A$2:$B$91,2,FALSE)</f>
        <v>#N/A</v>
      </c>
    </row>
    <row r="6" spans="1:35" ht="14.4" x14ac:dyDescent="0.3">
      <c r="B6" s="49" t="str">
        <f ca="1"/>
        <v>Donasky</v>
      </c>
      <c r="C6" s="50" t="e">
        <f ca="1"/>
        <v>#N/A</v>
      </c>
      <c r="D6" s="64">
        <f ca="1">HLOOKUP(B6,$F$54:$AI$56,3,)</f>
        <v>0</v>
      </c>
      <c r="E6" s="13">
        <v>4</v>
      </c>
      <c r="G6" s="3" t="e">
        <f>VLOOKUP(F6,ESPNScores!$A$2:$B$91,2,FALSE)</f>
        <v>#N/A</v>
      </c>
      <c r="H6" s="31"/>
      <c r="I6" s="3" t="e">
        <f>VLOOKUP(H6,ESPNScores!$A$2:$B$91,2,FALSE)</f>
        <v>#N/A</v>
      </c>
      <c r="J6" s="9"/>
      <c r="K6" s="3" t="e">
        <f>VLOOKUP(J6,ESPNScores!$A$2:$B$91,2,FALSE)</f>
        <v>#N/A</v>
      </c>
      <c r="L6" s="9"/>
      <c r="M6" s="3" t="e">
        <f>VLOOKUP(L6,ESPNScores!$A$2:$B$91,2,FALSE)</f>
        <v>#N/A</v>
      </c>
      <c r="N6" s="9"/>
      <c r="O6" s="3" t="e">
        <f>VLOOKUP(N6,ESPNScores!$A$2:$B$91,2,FALSE)</f>
        <v>#N/A</v>
      </c>
      <c r="P6" s="9"/>
      <c r="Q6" s="3" t="e">
        <f>VLOOKUP(P6,ESPNScores!$A$2:$B$91,2,FALSE)</f>
        <v>#N/A</v>
      </c>
      <c r="S6" s="3" t="e">
        <f>VLOOKUP(R6,ESPNScores!$A$2:$B$91,2,FALSE)</f>
        <v>#N/A</v>
      </c>
      <c r="T6" s="9"/>
      <c r="U6" s="3" t="e">
        <f>VLOOKUP(T6,ESPNScores!$A$2:$B$91,2,FALSE)</f>
        <v>#N/A</v>
      </c>
    </row>
    <row r="7" spans="1:35" ht="14.4" x14ac:dyDescent="0.3">
      <c r="B7" s="49" t="str">
        <f ca="1"/>
        <v>Allen</v>
      </c>
      <c r="C7" s="50" t="e">
        <f ca="1"/>
        <v>#N/A</v>
      </c>
      <c r="D7" s="64"/>
      <c r="E7" s="13">
        <v>5</v>
      </c>
      <c r="G7" s="3" t="e">
        <f>VLOOKUP(F7,ESPNScores!$A$2:$B$91,2,FALSE)</f>
        <v>#N/A</v>
      </c>
      <c r="H7" s="31"/>
      <c r="I7" s="3" t="e">
        <f>VLOOKUP(H7,ESPNScores!$A$2:$B$91,2,FALSE)</f>
        <v>#N/A</v>
      </c>
      <c r="J7" s="9"/>
      <c r="K7" s="3" t="e">
        <f>VLOOKUP(J7,ESPNScores!$A$2:$B$91,2,FALSE)</f>
        <v>#N/A</v>
      </c>
      <c r="L7" s="31"/>
      <c r="M7" s="3" t="e">
        <f>VLOOKUP(L7,ESPNScores!$A$2:$B$91,2,FALSE)</f>
        <v>#N/A</v>
      </c>
      <c r="N7" s="31"/>
      <c r="O7" s="3" t="e">
        <f>VLOOKUP(N7,ESPNScores!$A$2:$B$91,2,FALSE)</f>
        <v>#N/A</v>
      </c>
      <c r="P7" s="9"/>
      <c r="Q7" s="3" t="e">
        <f>VLOOKUP(P7,ESPNScores!$A$2:$B$91,2,FALSE)</f>
        <v>#N/A</v>
      </c>
      <c r="S7" s="3" t="e">
        <f>VLOOKUP(R7,ESPNScores!$A$2:$B$91,2,FALSE)</f>
        <v>#N/A</v>
      </c>
      <c r="T7" s="9"/>
      <c r="U7" s="3" t="e">
        <f>VLOOKUP(T7,ESPNScores!$A$2:$B$91,2,FALSE)</f>
        <v>#N/A</v>
      </c>
    </row>
    <row r="8" spans="1:35" ht="14.4" x14ac:dyDescent="0.3">
      <c r="B8" s="49" t="str">
        <f ca="1"/>
        <v>L Hill</v>
      </c>
      <c r="C8" s="50" t="e">
        <f ca="1"/>
        <v>#N/A</v>
      </c>
      <c r="D8" s="61"/>
      <c r="E8" s="13">
        <v>6</v>
      </c>
      <c r="G8" s="3" t="e">
        <f>VLOOKUP(F8,ESPNScores!$A$2:$B$91,2,FALSE)</f>
        <v>#N/A</v>
      </c>
      <c r="H8" s="31"/>
      <c r="I8" s="3" t="e">
        <f>VLOOKUP(H8,ESPNScores!$A$2:$B$91,2,FALSE)</f>
        <v>#N/A</v>
      </c>
      <c r="J8" s="9"/>
      <c r="K8" s="3" t="e">
        <f>VLOOKUP(J8,ESPNScores!$A$2:$B$91,2,FALSE)</f>
        <v>#N/A</v>
      </c>
      <c r="L8" s="9"/>
      <c r="M8" s="3" t="e">
        <f>VLOOKUP(L8,ESPNScores!$A$2:$B$91,2,FALSE)</f>
        <v>#N/A</v>
      </c>
      <c r="N8" s="9"/>
      <c r="O8" s="3" t="e">
        <f>VLOOKUP(N8,ESPNScores!$A$2:$B$91,2,FALSE)</f>
        <v>#N/A</v>
      </c>
      <c r="P8" s="9"/>
      <c r="Q8" s="3" t="e">
        <f>VLOOKUP(P8,ESPNScores!$A$2:$B$91,2,FALSE)</f>
        <v>#N/A</v>
      </c>
      <c r="S8" s="3" t="e">
        <f>VLOOKUP(R8,ESPNScores!$A$2:$B$91,2,FALSE)</f>
        <v>#N/A</v>
      </c>
      <c r="T8" s="9"/>
      <c r="U8" s="3" t="e">
        <f>VLOOKUP(T8,ESPNScores!$A$2:$B$91,2,FALSE)</f>
        <v>#N/A</v>
      </c>
    </row>
    <row r="9" spans="1:35" ht="14.4" x14ac:dyDescent="0.3">
      <c r="B9" s="49" t="str">
        <f ca="1"/>
        <v>Armstrong</v>
      </c>
      <c r="C9" s="50" t="e">
        <f ca="1"/>
        <v>#N/A</v>
      </c>
      <c r="D9" s="61"/>
      <c r="E9" s="13">
        <v>7</v>
      </c>
      <c r="G9" s="3" t="e">
        <f>VLOOKUP(F9,ESPNScores!$A$2:$B$91,2,FALSE)</f>
        <v>#N/A</v>
      </c>
      <c r="H9" s="9"/>
      <c r="I9" s="3" t="e">
        <f>VLOOKUP(H9,ESPNScores!$A$2:$B$91,2,FALSE)</f>
        <v>#N/A</v>
      </c>
      <c r="J9" s="9"/>
      <c r="K9" s="3" t="e">
        <f>VLOOKUP(J9,ESPNScores!$A$2:$B$91,2,FALSE)</f>
        <v>#N/A</v>
      </c>
      <c r="L9" s="9"/>
      <c r="M9" s="3" t="e">
        <f>VLOOKUP(L9,ESPNScores!$A$2:$B$91,2,FALSE)</f>
        <v>#N/A</v>
      </c>
      <c r="N9" s="9"/>
      <c r="O9" s="3" t="e">
        <f>VLOOKUP(N9,ESPNScores!$A$2:$B$91,2,FALSE)</f>
        <v>#N/A</v>
      </c>
      <c r="P9" s="9"/>
      <c r="Q9" s="3" t="e">
        <f>VLOOKUP(P9,ESPNScores!$A$2:$B$91,2,FALSE)</f>
        <v>#N/A</v>
      </c>
      <c r="S9" s="3" t="e">
        <f>VLOOKUP(R9,ESPNScores!$A$2:$B$91,2,FALSE)</f>
        <v>#N/A</v>
      </c>
      <c r="T9" s="9"/>
      <c r="U9" s="3" t="e">
        <f>VLOOKUP(T9,ESPNScores!$A$2:$B$91,2,FALSE)</f>
        <v>#N/A</v>
      </c>
    </row>
    <row r="10" spans="1:35" ht="14.4" x14ac:dyDescent="0.3">
      <c r="B10" s="49" t="str">
        <f ca="1"/>
        <v>Horvath</v>
      </c>
      <c r="C10" s="50" t="e">
        <f ca="1"/>
        <v>#N/A</v>
      </c>
      <c r="D10" s="61"/>
      <c r="E10" s="13">
        <v>8</v>
      </c>
      <c r="G10" s="3" t="e">
        <f>VLOOKUP(F10,ESPNScores!$A$2:$B$91,2,FALSE)</f>
        <v>#N/A</v>
      </c>
      <c r="H10" s="9"/>
      <c r="I10" s="3" t="e">
        <f>VLOOKUP(H10,ESPNScores!$A$2:$B$91,2,FALSE)</f>
        <v>#N/A</v>
      </c>
      <c r="J10" s="9"/>
      <c r="K10" s="3" t="e">
        <f>VLOOKUP(J10,ESPNScores!$A$2:$B$91,2,FALSE)</f>
        <v>#N/A</v>
      </c>
      <c r="L10" s="9"/>
      <c r="M10" s="3" t="e">
        <f>VLOOKUP(L10,ESPNScores!$A$2:$B$91,2,FALSE)</f>
        <v>#N/A</v>
      </c>
      <c r="N10" s="9"/>
      <c r="O10" s="3" t="e">
        <f>VLOOKUP(N10,ESPNScores!$A$2:$B$91,2,FALSE)</f>
        <v>#N/A</v>
      </c>
      <c r="P10" s="9"/>
      <c r="Q10" s="3" t="e">
        <f>VLOOKUP(P10,ESPNScores!$A$2:$B$91,2,FALSE)</f>
        <v>#N/A</v>
      </c>
      <c r="R10" s="9"/>
      <c r="S10" s="3" t="e">
        <f>VLOOKUP(R10,ESPNScores!$A$2:$B$91,2,FALSE)</f>
        <v>#N/A</v>
      </c>
      <c r="T10" s="9"/>
      <c r="U10" s="3" t="e">
        <f>VLOOKUP(T10,ESPNScores!$A$2:$B$91,2,FALSE)</f>
        <v>#N/A</v>
      </c>
    </row>
    <row r="11" spans="1:35" ht="14.4" x14ac:dyDescent="0.3">
      <c r="B11" s="49" t="str">
        <f ca="1"/>
        <v>Chernick</v>
      </c>
      <c r="C11" s="50" t="e">
        <f ca="1"/>
        <v>#N/A</v>
      </c>
      <c r="D11" s="35"/>
      <c r="E11" s="13" t="s">
        <v>9</v>
      </c>
      <c r="G11" s="3" t="e">
        <f>VLOOKUP(F11,ESPNScores!$A$2:$B$91,2,FALSE)</f>
        <v>#N/A</v>
      </c>
      <c r="H11" s="59"/>
      <c r="I11" s="3" t="e">
        <f>VLOOKUP(H11,ESPNScores!$A$2:$B$91,2,FALSE)</f>
        <v>#N/A</v>
      </c>
      <c r="J11" s="31"/>
      <c r="K11" s="3" t="e">
        <f>VLOOKUP(J11,ESPNScores!$A$2:$B$91,2,FALSE)</f>
        <v>#N/A</v>
      </c>
      <c r="L11" s="9"/>
      <c r="M11" s="3" t="e">
        <f>VLOOKUP(L11,ESPNScores!$A$2:$B$91,2,FALSE)</f>
        <v>#N/A</v>
      </c>
      <c r="N11" s="9"/>
      <c r="O11" s="3" t="e">
        <f>VLOOKUP(N11,ESPNScores!$A$2:$B$91,2,FALSE)</f>
        <v>#N/A</v>
      </c>
      <c r="P11" s="9"/>
      <c r="Q11" s="3" t="e">
        <f>VLOOKUP(P11,ESPNScores!$A$2:$B$91,2,FALSE)</f>
        <v>#N/A</v>
      </c>
      <c r="S11" s="3" t="e">
        <f>VLOOKUP(R11,ESPNScores!$A$2:$B$91,2,FALSE)</f>
        <v>#N/A</v>
      </c>
      <c r="T11" s="9"/>
      <c r="U11" s="3" t="e">
        <f>VLOOKUP(T11,ESPNScores!$A$2:$B$91,2,FALSE)</f>
        <v>#N/A</v>
      </c>
    </row>
    <row r="12" spans="1:35" ht="14.4" x14ac:dyDescent="0.3">
      <c r="B12" s="49" t="str">
        <f ca="1"/>
        <v>Rush</v>
      </c>
      <c r="C12" s="50" t="e">
        <f ca="1"/>
        <v>#N/A</v>
      </c>
      <c r="D12" s="35"/>
      <c r="E12" s="13" t="s">
        <v>10</v>
      </c>
      <c r="G12" s="3" t="e">
        <f>VLOOKUP(F12,ESPNScores!$A$2:$B$91,2,FALSE)</f>
        <v>#N/A</v>
      </c>
      <c r="H12" s="59"/>
      <c r="I12" s="3" t="e">
        <f>VLOOKUP(H12,ESPNScores!$A$2:$B$91,2,FALSE)</f>
        <v>#N/A</v>
      </c>
      <c r="J12" s="31"/>
      <c r="K12" s="3" t="e">
        <f>VLOOKUP(J12,ESPNScores!$A$2:$B$91,2,FALSE)</f>
        <v>#N/A</v>
      </c>
      <c r="L12" s="9"/>
      <c r="M12" s="3" t="e">
        <f>VLOOKUP(L12,ESPNScores!$A$2:$B$91,2,FALSE)</f>
        <v>#N/A</v>
      </c>
      <c r="N12" s="18"/>
      <c r="O12" s="3" t="e">
        <f>VLOOKUP(N12,ESPNScores!$A$2:$B$91,2,FALSE)</f>
        <v>#N/A</v>
      </c>
      <c r="P12" s="9"/>
      <c r="Q12" s="3" t="e">
        <f>VLOOKUP(P12,ESPNScores!$A$2:$B$91,2,FALSE)</f>
        <v>#N/A</v>
      </c>
      <c r="R12" s="18"/>
      <c r="S12" s="3" t="e">
        <f>VLOOKUP(R12,ESPNScores!$A$2:$B$91,2,FALSE)</f>
        <v>#N/A</v>
      </c>
      <c r="T12" s="9"/>
      <c r="U12" s="3" t="e">
        <f>VLOOKUP(T12,ESPNScores!$A$2:$B$91,2,FALSE)</f>
        <v>#N/A</v>
      </c>
    </row>
    <row r="13" spans="1:35" ht="14.4" x14ac:dyDescent="0.3">
      <c r="B13" s="49" t="str">
        <f ca="1"/>
        <v>Tsutsumi</v>
      </c>
      <c r="C13" s="50" t="e">
        <f ca="1"/>
        <v>#N/A</v>
      </c>
      <c r="D13" s="35"/>
      <c r="F13" s="87"/>
      <c r="G13" s="3" t="e">
        <f>VLOOKUP(F13,ESPNScores!$A$2:$B$91,2,FALSE)</f>
        <v>#N/A</v>
      </c>
      <c r="H13" s="85"/>
      <c r="I13" s="3" t="e">
        <f>VLOOKUP(H13,ESPNScores!$A$2:$B$91,2,FALSE)</f>
        <v>#N/A</v>
      </c>
      <c r="J13" s="85"/>
      <c r="K13" s="3" t="e">
        <f>VLOOKUP(J13,ESPNScores!$A$2:$B$91,2,FALSE)</f>
        <v>#N/A</v>
      </c>
      <c r="L13" s="85"/>
      <c r="M13" s="3" t="e">
        <f>VLOOKUP(L13,ESPNScores!$A$2:$B$91,2,FALSE)</f>
        <v>#N/A</v>
      </c>
      <c r="N13" s="86"/>
      <c r="O13" s="3" t="e">
        <f>VLOOKUP(N13,ESPNScores!$A$2:$B$91,2,FALSE)</f>
        <v>#N/A</v>
      </c>
      <c r="P13" s="85"/>
      <c r="Q13" s="3" t="e">
        <f>VLOOKUP(P13,ESPNScores!$A$2:$B$91,2,FALSE)</f>
        <v>#N/A</v>
      </c>
      <c r="R13" s="86"/>
      <c r="S13" s="3" t="e">
        <f>VLOOKUP(R13,ESPNScores!$A$2:$B$91,2,FALSE)</f>
        <v>#N/A</v>
      </c>
      <c r="T13" s="85"/>
      <c r="U13" s="3" t="e">
        <f>VLOOKUP(T13,ESPNScores!$A$2:$B$91,2,FALSE)</f>
        <v>#N/A</v>
      </c>
    </row>
    <row r="14" spans="1:35" s="7" customFormat="1" ht="14.4" x14ac:dyDescent="0.3">
      <c r="B14" s="49" t="str">
        <f ca="1"/>
        <v>Bernau</v>
      </c>
      <c r="C14" s="50" t="e">
        <f ca="1"/>
        <v>#N/A</v>
      </c>
      <c r="D14" s="35"/>
      <c r="E14" s="14"/>
      <c r="F14" s="53"/>
      <c r="G14" s="53"/>
      <c r="H14"/>
      <c r="I14" s="3"/>
      <c r="J14" s="53"/>
      <c r="K14" s="53"/>
      <c r="L14" s="53"/>
      <c r="M14" s="53"/>
      <c r="N14"/>
      <c r="O14" s="2"/>
      <c r="P14"/>
      <c r="Q14" s="2"/>
      <c r="R14"/>
      <c r="S14" s="3"/>
      <c r="T14"/>
      <c r="U14" s="3"/>
      <c r="V14"/>
      <c r="W14" s="3"/>
      <c r="X14"/>
      <c r="Y14"/>
      <c r="Z14"/>
      <c r="AA14"/>
      <c r="AB14"/>
      <c r="AC14"/>
      <c r="AD14"/>
      <c r="AE14"/>
      <c r="AF14"/>
      <c r="AG14"/>
      <c r="AH14"/>
      <c r="AI14"/>
    </row>
    <row r="15" spans="1:35" x14ac:dyDescent="0.25">
      <c r="B15" s="49" t="str">
        <f ca="1"/>
        <v>Dillabaugh</v>
      </c>
      <c r="C15" s="50" t="e">
        <f ca="1"/>
        <v>#N/A</v>
      </c>
      <c r="D15" s="35"/>
      <c r="E15" s="12"/>
      <c r="F15" s="10" t="s">
        <v>298</v>
      </c>
      <c r="G15" s="11" t="e" cm="1">
        <f t="array" aca="1" ref="G15" ca="1">SUMPRODUCT(SMALL(G16:G25,ROW(INDIRECT("1:5"))))</f>
        <v>#N/A</v>
      </c>
      <c r="H15" s="10" t="s">
        <v>299</v>
      </c>
      <c r="I15" s="11" t="e" cm="1">
        <f t="array" aca="1" ref="I15" ca="1">SUMPRODUCT(SMALL(I16:I25,ROW(INDIRECT("1:5"))))</f>
        <v>#N/A</v>
      </c>
      <c r="J15" s="10" t="s">
        <v>300</v>
      </c>
      <c r="K15" s="11" t="e" cm="1">
        <f t="array" aca="1" ref="K15" ca="1">SUMPRODUCT(SMALL(K16:K25,ROW(INDIRECT("1:5"))))</f>
        <v>#N/A</v>
      </c>
      <c r="L15" s="10" t="s">
        <v>301</v>
      </c>
      <c r="M15" s="11" t="e" cm="1">
        <f t="array" aca="1" ref="M15" ca="1">SUMPRODUCT(SMALL(M16:M25,ROW(INDIRECT("1:5"))))</f>
        <v>#N/A</v>
      </c>
      <c r="N15" s="10" t="s">
        <v>337</v>
      </c>
      <c r="O15" s="11" t="e" cm="1">
        <f t="array" aca="1" ref="O15" ca="1">SUMPRODUCT(SMALL(O16:O25,ROW(INDIRECT("1:5"))))</f>
        <v>#N/A</v>
      </c>
      <c r="P15" s="10" t="s">
        <v>302</v>
      </c>
      <c r="Q15" s="11" t="e" cm="1">
        <f t="array" aca="1" ref="Q15" ca="1">SUMPRODUCT(SMALL(Q16:Q25,ROW(INDIRECT("1:5"))))</f>
        <v>#N/A</v>
      </c>
      <c r="R15" s="10" t="s">
        <v>303</v>
      </c>
      <c r="S15" s="11" t="e" cm="1">
        <f t="array" aca="1" ref="S15" ca="1">SUMPRODUCT(SMALL(S16:S25,ROW(INDIRECT("1:5"))))</f>
        <v>#N/A</v>
      </c>
      <c r="T15" s="10" t="s">
        <v>304</v>
      </c>
      <c r="U15" s="11" t="e" cm="1">
        <f t="array" aca="1" ref="U15" ca="1">SUMPRODUCT(SMALL(U16:U25,ROW(INDIRECT("1:5"))))</f>
        <v>#N/A</v>
      </c>
      <c r="V15" s="7"/>
      <c r="W15" s="7"/>
      <c r="X15" s="7"/>
      <c r="Y15" s="7"/>
      <c r="Z15" s="7"/>
      <c r="AA15" s="7"/>
      <c r="AB15" s="7"/>
      <c r="AC15" s="7"/>
      <c r="AD15" s="7"/>
      <c r="AE15" s="7"/>
      <c r="AF15" s="7"/>
      <c r="AG15" s="7"/>
      <c r="AH15" s="7"/>
      <c r="AI15" s="7"/>
    </row>
    <row r="16" spans="1:35" ht="14.4" x14ac:dyDescent="0.3">
      <c r="B16" s="49" t="str">
        <f ca="1"/>
        <v>B Hill</v>
      </c>
      <c r="C16" s="50" t="e">
        <f ca="1"/>
        <v>#N/A</v>
      </c>
      <c r="D16" s="35"/>
      <c r="E16" s="13">
        <v>1</v>
      </c>
      <c r="F16" s="9"/>
      <c r="G16" s="3" t="e">
        <f>VLOOKUP(F16,ESPNScores!$A$2:$B$91,2,FALSE)</f>
        <v>#N/A</v>
      </c>
      <c r="H16" s="9"/>
      <c r="I16" s="3" t="e">
        <f>VLOOKUP(H16,ESPNScores!$A$2:$B$91,2,FALSE)</f>
        <v>#N/A</v>
      </c>
      <c r="J16" s="9"/>
      <c r="K16" s="3" t="e">
        <f>VLOOKUP(J16,ESPNScores!$A$2:$B$91,2,FALSE)</f>
        <v>#N/A</v>
      </c>
      <c r="L16" s="9"/>
      <c r="M16" s="3" t="e">
        <f>VLOOKUP(L16,ESPNScores!$A$2:$B$91,2,FALSE)</f>
        <v>#N/A</v>
      </c>
      <c r="O16" s="3" t="e">
        <f>VLOOKUP(N16,ESPNScores!$A$2:$B$91,2,FALSE)</f>
        <v>#N/A</v>
      </c>
      <c r="P16" s="9"/>
      <c r="Q16" s="3" t="e">
        <f>VLOOKUP(P16,ESPNScores!$A$2:$B$91,2,FALSE)</f>
        <v>#N/A</v>
      </c>
      <c r="S16" s="3" t="e">
        <f>VLOOKUP(R16,ESPNScores!$A$2:$B$91,2,FALSE)</f>
        <v>#N/A</v>
      </c>
      <c r="T16" s="9"/>
      <c r="U16" s="3" t="e">
        <f>VLOOKUP(T16,ESPNScores!$A$2:$B$91,2,FALSE)</f>
        <v>#N/A</v>
      </c>
    </row>
    <row r="17" spans="2:35" ht="14.4" x14ac:dyDescent="0.3">
      <c r="B17" s="49" t="str">
        <f ca="1"/>
        <v>Fish</v>
      </c>
      <c r="C17" s="50" t="e">
        <f ca="1"/>
        <v>#N/A</v>
      </c>
      <c r="D17" s="35"/>
      <c r="E17" s="13">
        <v>2</v>
      </c>
      <c r="F17" s="9"/>
      <c r="G17" s="3" t="e">
        <f>VLOOKUP(F17,ESPNScores!$A$2:$B$91,2,FALSE)</f>
        <v>#N/A</v>
      </c>
      <c r="H17" s="9"/>
      <c r="I17" s="3" t="e">
        <f>VLOOKUP(H17,ESPNScores!$A$2:$B$91,2,FALSE)</f>
        <v>#N/A</v>
      </c>
      <c r="J17" s="9"/>
      <c r="K17" s="3" t="e">
        <f>VLOOKUP(J17,ESPNScores!$A$2:$B$91,2,FALSE)</f>
        <v>#N/A</v>
      </c>
      <c r="L17" s="9"/>
      <c r="M17" s="3" t="e">
        <f>VLOOKUP(L17,ESPNScores!$A$2:$B$91,2,FALSE)</f>
        <v>#N/A</v>
      </c>
      <c r="N17" s="9"/>
      <c r="O17" s="3" t="e">
        <f>VLOOKUP(N17,ESPNScores!$A$2:$B$91,2,FALSE)</f>
        <v>#N/A</v>
      </c>
      <c r="P17" s="9"/>
      <c r="Q17" s="3" t="e">
        <f>VLOOKUP(P17,ESPNScores!$A$2:$B$91,2,FALSE)</f>
        <v>#N/A</v>
      </c>
      <c r="R17" s="9"/>
      <c r="S17" s="3" t="e">
        <f>VLOOKUP(R17,ESPNScores!$A$2:$B$91,2,FALSE)</f>
        <v>#N/A</v>
      </c>
      <c r="T17" s="9"/>
      <c r="U17" s="3" t="e">
        <f>VLOOKUP(T17,ESPNScores!$A$2:$B$91,2,FALSE)</f>
        <v>#N/A</v>
      </c>
    </row>
    <row r="18" spans="2:35" ht="14.4" x14ac:dyDescent="0.3">
      <c r="B18" s="49" t="str">
        <f ca="1"/>
        <v>Richard</v>
      </c>
      <c r="C18" s="50" t="e">
        <f ca="1"/>
        <v>#N/A</v>
      </c>
      <c r="D18" s="35"/>
      <c r="E18" s="13">
        <v>3</v>
      </c>
      <c r="F18" s="9"/>
      <c r="G18" s="3" t="e">
        <f>VLOOKUP(F18,ESPNScores!$A$2:$B$91,2,FALSE)</f>
        <v>#N/A</v>
      </c>
      <c r="H18" s="9"/>
      <c r="I18" s="3" t="e">
        <f>VLOOKUP(H18,ESPNScores!$A$2:$B$91,2,FALSE)</f>
        <v>#N/A</v>
      </c>
      <c r="J18" s="9"/>
      <c r="K18" s="3" t="e">
        <f>VLOOKUP(J18,ESPNScores!$A$2:$B$91,2,FALSE)</f>
        <v>#N/A</v>
      </c>
      <c r="L18" s="9"/>
      <c r="M18" s="3" t="e">
        <f>VLOOKUP(L18,ESPNScores!$A$2:$B$91,2,FALSE)</f>
        <v>#N/A</v>
      </c>
      <c r="N18" s="9"/>
      <c r="O18" s="3" t="e">
        <f>VLOOKUP(N18,ESPNScores!$A$2:$B$91,2,FALSE)</f>
        <v>#N/A</v>
      </c>
      <c r="P18" s="9"/>
      <c r="Q18" s="3" t="e">
        <f>VLOOKUP(P18,ESPNScores!$A$2:$B$91,2,FALSE)</f>
        <v>#N/A</v>
      </c>
      <c r="R18" s="9"/>
      <c r="S18" s="3" t="e">
        <f>VLOOKUP(R18,ESPNScores!$A$2:$B$91,2,FALSE)</f>
        <v>#N/A</v>
      </c>
      <c r="T18" s="9"/>
      <c r="U18" s="3" t="e">
        <f>VLOOKUP(T18,ESPNScores!$A$2:$B$91,2,FALSE)</f>
        <v>#N/A</v>
      </c>
    </row>
    <row r="19" spans="2:35" ht="14.4" x14ac:dyDescent="0.3">
      <c r="B19" s="49" t="str">
        <f ca="1"/>
        <v>Rakusin</v>
      </c>
      <c r="C19" s="50" t="e">
        <f ca="1"/>
        <v>#N/A</v>
      </c>
      <c r="D19" s="35"/>
      <c r="E19" s="13">
        <v>4</v>
      </c>
      <c r="F19" s="9"/>
      <c r="G19" s="3" t="e">
        <f>VLOOKUP(F19,ESPNScores!$A$2:$B$91,2,FALSE)</f>
        <v>#N/A</v>
      </c>
      <c r="H19" s="9"/>
      <c r="I19" s="3" t="e">
        <f>VLOOKUP(H19,ESPNScores!$A$2:$B$91,2,FALSE)</f>
        <v>#N/A</v>
      </c>
      <c r="J19" s="9"/>
      <c r="K19" s="3" t="e">
        <f>VLOOKUP(J19,ESPNScores!$A$2:$B$91,2,FALSE)</f>
        <v>#N/A</v>
      </c>
      <c r="L19" s="9"/>
      <c r="M19" s="3" t="e">
        <f>VLOOKUP(L19,ESPNScores!$A$2:$B$91,2,FALSE)</f>
        <v>#N/A</v>
      </c>
      <c r="N19" s="9"/>
      <c r="O19" s="3" t="e">
        <f>VLOOKUP(N19,ESPNScores!$A$2:$B$91,2,FALSE)</f>
        <v>#N/A</v>
      </c>
      <c r="P19" s="9"/>
      <c r="Q19" s="3" t="e">
        <f>VLOOKUP(P19,ESPNScores!$A$2:$B$91,2,FALSE)</f>
        <v>#N/A</v>
      </c>
      <c r="R19" s="9"/>
      <c r="S19" s="3" t="e">
        <f>VLOOKUP(R19,ESPNScores!$A$2:$B$91,2,FALSE)</f>
        <v>#N/A</v>
      </c>
      <c r="T19" s="9"/>
      <c r="U19" s="3" t="e">
        <f>VLOOKUP(T19,ESPNScores!$A$2:$B$91,2,FALSE)</f>
        <v>#N/A</v>
      </c>
    </row>
    <row r="20" spans="2:35" ht="14.4" x14ac:dyDescent="0.3">
      <c r="B20" s="49" t="str">
        <f ca="1"/>
        <v>Howell</v>
      </c>
      <c r="C20" s="50" t="e">
        <f ca="1"/>
        <v>#N/A</v>
      </c>
      <c r="D20" s="35"/>
      <c r="E20" s="13">
        <v>5</v>
      </c>
      <c r="G20" s="3" t="e">
        <f>VLOOKUP(F20,ESPNScores!$A$2:$B$91,2,FALSE)</f>
        <v>#N/A</v>
      </c>
      <c r="H20" s="60"/>
      <c r="I20" s="3" t="e">
        <f>VLOOKUP(H20,ESPNScores!$A$2:$B$91,2,FALSE)</f>
        <v>#N/A</v>
      </c>
      <c r="J20" s="9"/>
      <c r="K20" s="3" t="e">
        <f>VLOOKUP(J20,ESPNScores!$A$2:$B$91,2,FALSE)</f>
        <v>#N/A</v>
      </c>
      <c r="L20" s="9"/>
      <c r="M20" s="3" t="e">
        <f>VLOOKUP(L20,ESPNScores!$A$2:$B$91,2,FALSE)</f>
        <v>#N/A</v>
      </c>
      <c r="N20" s="9"/>
      <c r="O20" s="3" t="e">
        <f>VLOOKUP(N20,ESPNScores!$A$2:$B$91,2,FALSE)</f>
        <v>#N/A</v>
      </c>
      <c r="P20" s="9"/>
      <c r="Q20" s="3" t="e">
        <f>VLOOKUP(P20,ESPNScores!$A$2:$B$91,2,FALSE)</f>
        <v>#N/A</v>
      </c>
      <c r="R20" s="31"/>
      <c r="S20" s="3" t="e">
        <f>VLOOKUP(R20,ESPNScores!$A$2:$B$91,2,FALSE)</f>
        <v>#N/A</v>
      </c>
      <c r="T20" s="9"/>
      <c r="U20" s="3" t="e">
        <f>VLOOKUP(T20,ESPNScores!$A$2:$B$91,2,FALSE)</f>
        <v>#N/A</v>
      </c>
    </row>
    <row r="21" spans="2:35" ht="14.4" x14ac:dyDescent="0.3">
      <c r="B21" s="49" t="str">
        <f ca="1"/>
        <v>Eliason</v>
      </c>
      <c r="C21" s="50" t="e">
        <f ca="1"/>
        <v>#N/A</v>
      </c>
      <c r="D21" s="35"/>
      <c r="E21" s="13">
        <v>6</v>
      </c>
      <c r="F21" s="9"/>
      <c r="G21" s="3" t="e">
        <f>VLOOKUP(F21,ESPNScores!$A$2:$B$91,2,FALSE)</f>
        <v>#N/A</v>
      </c>
      <c r="H21" s="9"/>
      <c r="I21" s="3" t="e">
        <f>VLOOKUP(H21,ESPNScores!$A$2:$B$91,2,FALSE)</f>
        <v>#N/A</v>
      </c>
      <c r="J21" s="9"/>
      <c r="K21" s="3" t="e">
        <f>VLOOKUP(J21,ESPNScores!$A$2:$B$91,2,FALSE)</f>
        <v>#N/A</v>
      </c>
      <c r="L21" s="9"/>
      <c r="M21" s="3" t="e">
        <f>VLOOKUP(L21,ESPNScores!$A$2:$B$91,2,FALSE)</f>
        <v>#N/A</v>
      </c>
      <c r="N21" s="9"/>
      <c r="O21" s="3" t="e">
        <f>VLOOKUP(N21,ESPNScores!$A$2:$B$91,2,FALSE)</f>
        <v>#N/A</v>
      </c>
      <c r="P21" s="9"/>
      <c r="Q21" s="3" t="e">
        <f>VLOOKUP(P21,ESPNScores!$A$2:$B$91,2,FALSE)</f>
        <v>#N/A</v>
      </c>
      <c r="R21" s="9"/>
      <c r="S21" s="3" t="e">
        <f>VLOOKUP(R21,ESPNScores!$A$2:$B$91,2,FALSE)</f>
        <v>#N/A</v>
      </c>
      <c r="T21" s="9"/>
      <c r="U21" s="3" t="e">
        <f>VLOOKUP(T21,ESPNScores!$A$2:$B$91,2,FALSE)</f>
        <v>#N/A</v>
      </c>
    </row>
    <row r="22" spans="2:35" ht="14.4" x14ac:dyDescent="0.3">
      <c r="B22" s="49" t="str">
        <f ca="1"/>
        <v>Balme</v>
      </c>
      <c r="C22" s="50" t="e">
        <f ca="1"/>
        <v>#N/A</v>
      </c>
      <c r="D22" s="35"/>
      <c r="E22" s="13">
        <v>7</v>
      </c>
      <c r="F22" s="9"/>
      <c r="G22" s="3" t="e">
        <f>VLOOKUP(F22,ESPNScores!$A$2:$B$91,2,FALSE)</f>
        <v>#N/A</v>
      </c>
      <c r="H22" s="9"/>
      <c r="I22" s="3" t="e">
        <f>VLOOKUP(H22,ESPNScores!$A$2:$B$91,2,FALSE)</f>
        <v>#N/A</v>
      </c>
      <c r="J22" s="9"/>
      <c r="K22" s="3" t="e">
        <f>VLOOKUP(J22,ESPNScores!$A$2:$B$91,2,FALSE)</f>
        <v>#N/A</v>
      </c>
      <c r="L22" s="9"/>
      <c r="M22" s="3" t="e">
        <f>VLOOKUP(L22,ESPNScores!$A$2:$B$91,2,FALSE)</f>
        <v>#N/A</v>
      </c>
      <c r="N22" s="9"/>
      <c r="O22" s="3" t="e">
        <f>VLOOKUP(N22,ESPNScores!$A$2:$B$91,2,FALSE)</f>
        <v>#N/A</v>
      </c>
      <c r="P22" s="9"/>
      <c r="Q22" s="3" t="e">
        <f>VLOOKUP(P22,ESPNScores!$A$2:$B$91,2,FALSE)</f>
        <v>#N/A</v>
      </c>
      <c r="R22" s="9"/>
      <c r="S22" s="3" t="e">
        <f>VLOOKUP(R22,ESPNScores!$A$2:$B$91,2,FALSE)</f>
        <v>#N/A</v>
      </c>
      <c r="T22" s="9"/>
      <c r="U22" s="3" t="e">
        <f>VLOOKUP(T22,ESPNScores!$A$2:$B$91,2,FALSE)</f>
        <v>#N/A</v>
      </c>
    </row>
    <row r="23" spans="2:35" ht="14.4" x14ac:dyDescent="0.3">
      <c r="B23" s="49" t="str">
        <f ca="1"/>
        <v>McElroy</v>
      </c>
      <c r="C23" s="50" t="e">
        <f ca="1"/>
        <v>#N/A</v>
      </c>
      <c r="D23" s="35"/>
      <c r="E23" s="13">
        <v>8</v>
      </c>
      <c r="F23" s="9"/>
      <c r="G23" s="3" t="e">
        <f>VLOOKUP(F23,ESPNScores!$A$2:$B$91,2,FALSE)</f>
        <v>#N/A</v>
      </c>
      <c r="H23" s="9"/>
      <c r="I23" s="3" t="e">
        <f>VLOOKUP(H23,ESPNScores!$A$2:$B$91,2,FALSE)</f>
        <v>#N/A</v>
      </c>
      <c r="J23" s="9"/>
      <c r="K23" s="3" t="e">
        <f>VLOOKUP(J23,ESPNScores!$A$2:$B$91,2,FALSE)</f>
        <v>#N/A</v>
      </c>
      <c r="L23" s="9"/>
      <c r="M23" s="3" t="e">
        <f>VLOOKUP(L23,ESPNScores!$A$2:$B$91,2,FALSE)</f>
        <v>#N/A</v>
      </c>
      <c r="N23" s="9"/>
      <c r="O23" s="3" t="e">
        <f>VLOOKUP(N23,ESPNScores!$A$2:$B$91,2,FALSE)</f>
        <v>#N/A</v>
      </c>
      <c r="P23" s="9"/>
      <c r="Q23" s="3" t="e">
        <f>VLOOKUP(P23,ESPNScores!$A$2:$B$91,2,FALSE)</f>
        <v>#N/A</v>
      </c>
      <c r="R23" s="9"/>
      <c r="S23" s="3" t="e">
        <f>VLOOKUP(R23,ESPNScores!$A$2:$B$91,2,FALSE)</f>
        <v>#N/A</v>
      </c>
      <c r="T23" s="9"/>
      <c r="U23" s="3" t="e">
        <f>VLOOKUP(T23,ESPNScores!$A$2:$B$91,2,FALSE)</f>
        <v>#N/A</v>
      </c>
    </row>
    <row r="24" spans="2:35" ht="14.4" x14ac:dyDescent="0.3">
      <c r="B24" s="49" t="str">
        <f ca="1"/>
        <v>Hitchman</v>
      </c>
      <c r="C24" s="50" t="e">
        <f ca="1"/>
        <v>#N/A</v>
      </c>
      <c r="D24" s="35"/>
      <c r="E24" s="13" t="s">
        <v>9</v>
      </c>
      <c r="F24" s="9"/>
      <c r="G24" s="3" t="e">
        <f>VLOOKUP(F24,ESPNScores!$A$2:$B$91,2,FALSE)</f>
        <v>#N/A</v>
      </c>
      <c r="H24" s="9"/>
      <c r="I24" s="3" t="e">
        <f>VLOOKUP(H24,ESPNScores!$A$2:$B$91,2,FALSE)</f>
        <v>#N/A</v>
      </c>
      <c r="J24" s="9"/>
      <c r="K24" s="3" t="e">
        <f>VLOOKUP(J24,ESPNScores!$A$2:$B$91,2,FALSE)</f>
        <v>#N/A</v>
      </c>
      <c r="L24" s="9"/>
      <c r="M24" s="3" t="e">
        <f>VLOOKUP(L24,ESPNScores!$A$2:$B$91,2,FALSE)</f>
        <v>#N/A</v>
      </c>
      <c r="N24" s="9"/>
      <c r="O24" s="3" t="e">
        <f>VLOOKUP(N24,ESPNScores!$A$2:$B$91,2,FALSE)</f>
        <v>#N/A</v>
      </c>
      <c r="P24" s="9"/>
      <c r="Q24" s="3" t="e">
        <f>VLOOKUP(P24,ESPNScores!$A$2:$B$91,2,FALSE)</f>
        <v>#N/A</v>
      </c>
      <c r="S24" s="3" t="e">
        <f>VLOOKUP(R24,ESPNScores!$A$2:$B$91,2,FALSE)</f>
        <v>#N/A</v>
      </c>
      <c r="T24" s="9"/>
      <c r="U24" s="3" t="e">
        <f>VLOOKUP(T24,ESPNScores!$A$2:$B$91,2,FALSE)</f>
        <v>#N/A</v>
      </c>
    </row>
    <row r="25" spans="2:35" ht="14.4" x14ac:dyDescent="0.3">
      <c r="B25" s="49" t="str">
        <f ca="1"/>
        <v>Hempel</v>
      </c>
      <c r="C25" s="50" t="e">
        <f ca="1"/>
        <v>#N/A</v>
      </c>
      <c r="D25" s="14"/>
      <c r="E25" s="13" t="s">
        <v>10</v>
      </c>
      <c r="F25" s="59"/>
      <c r="G25" s="3" t="e">
        <f>VLOOKUP(F25,ESPNScores!$A$2:$B$91,2,FALSE)</f>
        <v>#N/A</v>
      </c>
      <c r="H25" s="9"/>
      <c r="I25" s="3" t="e">
        <f>VLOOKUP(H25,ESPNScores!$A$2:$B$91,2,FALSE)</f>
        <v>#N/A</v>
      </c>
      <c r="J25" s="9"/>
      <c r="K25" s="3" t="e">
        <f>VLOOKUP(J25,ESPNScores!$A$2:$B$91,2,FALSE)</f>
        <v>#N/A</v>
      </c>
      <c r="L25" s="31"/>
      <c r="M25" s="3" t="e">
        <f>VLOOKUP(L25,ESPNScores!$A$2:$B$91,2,FALSE)</f>
        <v>#N/A</v>
      </c>
      <c r="N25" s="9"/>
      <c r="O25" s="3" t="e">
        <f>VLOOKUP(N25,ESPNScores!$A$2:$B$91,2,FALSE)</f>
        <v>#N/A</v>
      </c>
      <c r="P25" s="31"/>
      <c r="Q25" s="3" t="e">
        <f>VLOOKUP(P25,ESPNScores!$A$2:$B$91,2,FALSE)</f>
        <v>#N/A</v>
      </c>
      <c r="R25" s="59"/>
      <c r="S25" s="3" t="e">
        <f>VLOOKUP(R25,ESPNScores!$A$2:$B$91,2,FALSE)</f>
        <v>#N/A</v>
      </c>
      <c r="T25" s="9"/>
      <c r="U25" s="3" t="e">
        <f>VLOOKUP(T25,ESPNScores!$A$2:$B$91,2,FALSE)</f>
        <v>#N/A</v>
      </c>
    </row>
    <row r="26" spans="2:35" s="7" customFormat="1" ht="14.4" x14ac:dyDescent="0.3">
      <c r="B26" s="49" t="str">
        <f ca="1"/>
        <v>Langer</v>
      </c>
      <c r="C26" s="50" t="e">
        <f ca="1"/>
        <v>#N/A</v>
      </c>
      <c r="D26" s="56"/>
      <c r="E26" s="14"/>
      <c r="F26" s="85"/>
      <c r="G26" s="3" t="e">
        <f>VLOOKUP(F26,ESPNScores!$A$2:$B$91,2,FALSE)</f>
        <v>#N/A</v>
      </c>
      <c r="H26" s="85"/>
      <c r="I26" s="3" t="e">
        <f>VLOOKUP(H26,ESPNScores!$A$2:$B$91,2,FALSE)</f>
        <v>#N/A</v>
      </c>
      <c r="J26" s="85"/>
      <c r="K26" s="3" t="e">
        <f>VLOOKUP(J26,ESPNScores!$A$2:$B$91,2,FALSE)</f>
        <v>#N/A</v>
      </c>
      <c r="L26" s="85"/>
      <c r="M26" s="3" t="e">
        <f>VLOOKUP(L26,ESPNScores!$A$2:$B$91,2,FALSE)</f>
        <v>#N/A</v>
      </c>
      <c r="N26" s="85"/>
      <c r="O26" s="3" t="e">
        <f>VLOOKUP(N26,ESPNScores!$A$2:$B$91,2,FALSE)</f>
        <v>#N/A</v>
      </c>
      <c r="P26" s="85"/>
      <c r="Q26" s="3" t="e">
        <f>VLOOKUP(P26,ESPNScores!$A$2:$B$91,2,FALSE)</f>
        <v>#N/A</v>
      </c>
      <c r="R26" s="85"/>
      <c r="S26" s="3" t="e">
        <f>VLOOKUP(R26,ESPNScores!$A$2:$B$91,2,FALSE)</f>
        <v>#N/A</v>
      </c>
      <c r="T26" s="85"/>
      <c r="U26" s="3" t="e">
        <f>VLOOKUP(T26,ESPNScores!$A$2:$B$91,2,FALSE)</f>
        <v>#N/A</v>
      </c>
      <c r="V26"/>
      <c r="W26" s="3"/>
      <c r="X26"/>
      <c r="Y26"/>
      <c r="Z26"/>
      <c r="AA26"/>
      <c r="AB26"/>
      <c r="AC26"/>
      <c r="AD26"/>
      <c r="AE26"/>
      <c r="AF26"/>
      <c r="AG26"/>
      <c r="AH26"/>
      <c r="AI26"/>
    </row>
    <row r="27" spans="2:35" x14ac:dyDescent="0.25">
      <c r="B27" s="49" t="str">
        <f ca="1"/>
        <v>Weiss</v>
      </c>
      <c r="C27" s="50" t="e">
        <f ca="1"/>
        <v>#N/A</v>
      </c>
      <c r="D27" s="56"/>
      <c r="F27" s="25"/>
    </row>
    <row r="28" spans="2:35" x14ac:dyDescent="0.25">
      <c r="B28" s="49" t="str">
        <f ca="1"/>
        <v>Steigmeyer</v>
      </c>
      <c r="C28" s="50" t="e">
        <f ca="1"/>
        <v>#N/A</v>
      </c>
      <c r="D28" s="14"/>
      <c r="E28" s="12"/>
      <c r="F28" s="10" t="s">
        <v>305</v>
      </c>
      <c r="G28" s="11" t="e" cm="1">
        <f t="array" aca="1" ref="G28" ca="1">SUMPRODUCT(SMALL(G29:G38,ROW(INDIRECT("1:5"))))</f>
        <v>#N/A</v>
      </c>
      <c r="H28" s="10" t="s">
        <v>306</v>
      </c>
      <c r="I28" s="11" t="e" cm="1">
        <f t="array" aca="1" ref="I28" ca="1">SUMPRODUCT(SMALL(I29:I38,ROW(INDIRECT("1:5"))))</f>
        <v>#N/A</v>
      </c>
      <c r="J28" s="10" t="s">
        <v>314</v>
      </c>
      <c r="K28" s="11" t="e" cm="1">
        <f t="array" aca="1" ref="K28" ca="1">SUMPRODUCT(SMALL(K29:K38,ROW(INDIRECT("1:5"))))</f>
        <v>#N/A</v>
      </c>
      <c r="L28" s="10" t="s">
        <v>312</v>
      </c>
      <c r="M28" s="11" t="e" cm="1">
        <f t="array" aca="1" ref="M28" ca="1">SUMPRODUCT(SMALL(M29:M38,ROW(INDIRECT("1:5"))))</f>
        <v>#N/A</v>
      </c>
      <c r="N28" s="10" t="s">
        <v>308</v>
      </c>
      <c r="O28" s="11" t="e" cm="1">
        <f t="array" aca="1" ref="O28" ca="1">SUMPRODUCT(SMALL(O29:O38,ROW(INDIRECT("1:5"))))</f>
        <v>#N/A</v>
      </c>
      <c r="P28" s="10" t="s">
        <v>309</v>
      </c>
      <c r="Q28" s="11" t="e" cm="1">
        <f t="array" aca="1" ref="Q28" ca="1">SUMPRODUCT(SMALL(Q29:Q38,ROW(INDIRECT("1:5"))))</f>
        <v>#N/A</v>
      </c>
      <c r="R28" s="10" t="s">
        <v>310</v>
      </c>
      <c r="S28" s="11" t="e" cm="1">
        <f t="array" aca="1" ref="S28" ca="1">SUMPRODUCT(SMALL(S29:S38,ROW(INDIRECT("1:5"))))</f>
        <v>#N/A</v>
      </c>
      <c r="T28" s="10" t="s">
        <v>311</v>
      </c>
      <c r="U28" s="11" t="e" cm="1">
        <f t="array" aca="1" ref="U28" ca="1">SUMPRODUCT(SMALL(U29:U38,ROW(INDIRECT("1:5"))))</f>
        <v>#N/A</v>
      </c>
      <c r="V28" s="10"/>
      <c r="W28" s="11"/>
      <c r="X28" s="7"/>
      <c r="Y28" s="7"/>
      <c r="Z28" s="7"/>
      <c r="AA28" s="7"/>
      <c r="AB28" s="7"/>
      <c r="AC28" s="7"/>
      <c r="AD28" s="7"/>
      <c r="AE28" s="7"/>
      <c r="AF28" s="7"/>
      <c r="AG28" s="7"/>
      <c r="AH28" s="7"/>
      <c r="AI28" s="7"/>
    </row>
    <row r="29" spans="2:35" ht="14.4" x14ac:dyDescent="0.3">
      <c r="B29" s="49" t="str">
        <f ca="1"/>
        <v>Stabile</v>
      </c>
      <c r="C29" s="50" t="e">
        <f ca="1"/>
        <v>#N/A</v>
      </c>
      <c r="D29" s="50"/>
      <c r="E29" s="13">
        <v>1</v>
      </c>
      <c r="F29" s="9"/>
      <c r="G29" s="3" t="e">
        <f>VLOOKUP(F29,ESPNScores!$A$2:$B$91,2,FALSE)</f>
        <v>#N/A</v>
      </c>
      <c r="I29" s="3" t="e">
        <f>VLOOKUP(H29,ESPNScores!$A$2:$B$91,2,FALSE)</f>
        <v>#N/A</v>
      </c>
      <c r="J29" s="9"/>
      <c r="K29" s="3" t="e">
        <f>VLOOKUP(J29,ESPNScores!$A$2:$B$91,2,FALSE)</f>
        <v>#N/A</v>
      </c>
      <c r="L29" s="9"/>
      <c r="M29" s="3" t="e">
        <f>VLOOKUP(L29,ESPNScores!$A$2:$B$91,2,FALSE)</f>
        <v>#N/A</v>
      </c>
      <c r="N29" s="9"/>
      <c r="O29" s="3" t="e">
        <f>VLOOKUP(N29,ESPNScores!$A$2:$B$91,2,FALSE)</f>
        <v>#N/A</v>
      </c>
      <c r="P29" s="9"/>
      <c r="Q29" s="3" t="e">
        <f>VLOOKUP(P29,ESPNScores!$A$2:$B$91,2,FALSE)</f>
        <v>#N/A</v>
      </c>
      <c r="R29" s="9"/>
      <c r="S29" s="3" t="e">
        <f>VLOOKUP(R29,ESPNScores!$A$2:$B$91,2,FALSE)</f>
        <v>#N/A</v>
      </c>
      <c r="T29" s="9"/>
      <c r="U29" s="3" t="e">
        <f>VLOOKUP(T29,ESPNScores!$A$2:$B$91,2,FALSE)</f>
        <v>#N/A</v>
      </c>
      <c r="V29" s="9"/>
    </row>
    <row r="30" spans="2:35" ht="14.4" x14ac:dyDescent="0.3">
      <c r="B30" s="49" t="str">
        <f ca="1"/>
        <v>Cruickshank</v>
      </c>
      <c r="C30" s="50" t="e">
        <f ca="1"/>
        <v>#N/A</v>
      </c>
      <c r="D30" s="57"/>
      <c r="E30" s="13">
        <v>2</v>
      </c>
      <c r="F30" s="9"/>
      <c r="G30" s="3" t="e">
        <f>VLOOKUP(F30,ESPNScores!$A$2:$B$91,2,FALSE)</f>
        <v>#N/A</v>
      </c>
      <c r="H30" s="9"/>
      <c r="I30" s="3" t="e">
        <f>VLOOKUP(H30,ESPNScores!$A$2:$B$91,2,FALSE)</f>
        <v>#N/A</v>
      </c>
      <c r="J30" s="9"/>
      <c r="K30" s="3" t="e">
        <f>VLOOKUP(J30,ESPNScores!$A$2:$B$91,2,FALSE)</f>
        <v>#N/A</v>
      </c>
      <c r="L30" s="9"/>
      <c r="M30" s="3" t="e">
        <f>VLOOKUP(L30,ESPNScores!$A$2:$B$91,2,FALSE)</f>
        <v>#N/A</v>
      </c>
      <c r="N30" s="9"/>
      <c r="O30" s="3" t="e">
        <f>VLOOKUP(N30,ESPNScores!$A$2:$B$91,2,FALSE)</f>
        <v>#N/A</v>
      </c>
      <c r="P30" s="9"/>
      <c r="Q30" s="3" t="e">
        <f>VLOOKUP(P30,ESPNScores!$A$2:$B$91,2,FALSE)</f>
        <v>#N/A</v>
      </c>
      <c r="R30" s="9"/>
      <c r="S30" s="3" t="e">
        <f>VLOOKUP(R30,ESPNScores!$A$2:$B$91,2,FALSE)</f>
        <v>#N/A</v>
      </c>
      <c r="T30" s="9"/>
      <c r="U30" s="3" t="e">
        <f>VLOOKUP(T30,ESPNScores!$A$2:$B$91,2,FALSE)</f>
        <v>#N/A</v>
      </c>
      <c r="V30" s="9"/>
    </row>
    <row r="31" spans="2:35" ht="14.4" x14ac:dyDescent="0.3">
      <c r="B31" s="49" t="str">
        <f ca="1"/>
        <v>Isaacson</v>
      </c>
      <c r="C31" s="50" t="e">
        <f ca="1"/>
        <v>#N/A</v>
      </c>
      <c r="D31" s="57"/>
      <c r="E31" s="13">
        <v>3</v>
      </c>
      <c r="F31" s="9"/>
      <c r="G31" s="3" t="e">
        <f>VLOOKUP(F31,ESPNScores!$A$2:$B$91,2,FALSE)</f>
        <v>#N/A</v>
      </c>
      <c r="H31" s="9"/>
      <c r="I31" s="3" t="e">
        <f>VLOOKUP(H31,ESPNScores!$A$2:$B$91,2,FALSE)</f>
        <v>#N/A</v>
      </c>
      <c r="J31" s="9"/>
      <c r="K31" s="3" t="e">
        <f>VLOOKUP(J31,ESPNScores!$A$2:$B$91,2,FALSE)</f>
        <v>#N/A</v>
      </c>
      <c r="L31" s="9"/>
      <c r="M31" s="3" t="e">
        <f>VLOOKUP(L31,ESPNScores!$A$2:$B$91,2,FALSE)</f>
        <v>#N/A</v>
      </c>
      <c r="N31" s="9"/>
      <c r="O31" s="3" t="e">
        <f>VLOOKUP(N31,ESPNScores!$A$2:$B$91,2,FALSE)</f>
        <v>#N/A</v>
      </c>
      <c r="P31" s="9"/>
      <c r="Q31" s="3" t="e">
        <f>VLOOKUP(P31,ESPNScores!$A$2:$B$91,2,FALSE)</f>
        <v>#N/A</v>
      </c>
      <c r="R31" s="9"/>
      <c r="S31" s="3" t="e">
        <f>VLOOKUP(R31,ESPNScores!$A$2:$B$91,2,FALSE)</f>
        <v>#N/A</v>
      </c>
      <c r="T31" s="9"/>
      <c r="U31" s="3" t="e">
        <f>VLOOKUP(T31,ESPNScores!$A$2:$B$91,2,FALSE)</f>
        <v>#N/A</v>
      </c>
      <c r="V31" s="9"/>
    </row>
    <row r="32" spans="2:35" ht="14.4" x14ac:dyDescent="0.3">
      <c r="B32" s="81" t="str">
        <f ca="1"/>
        <v>Jones</v>
      </c>
      <c r="C32" s="51" t="e">
        <f ca="1"/>
        <v>#N/A</v>
      </c>
      <c r="D32" s="79"/>
      <c r="E32" s="13">
        <v>4</v>
      </c>
      <c r="F32" s="9"/>
      <c r="G32" s="3" t="e">
        <f>VLOOKUP(F32,ESPNScores!$A$2:$B$91,2,FALSE)</f>
        <v>#N/A</v>
      </c>
      <c r="H32" s="9"/>
      <c r="I32" s="3" t="e">
        <f>VLOOKUP(H32,ESPNScores!$A$2:$B$91,2,FALSE)</f>
        <v>#N/A</v>
      </c>
      <c r="J32" s="9"/>
      <c r="K32" s="3" t="e">
        <f>VLOOKUP(J32,ESPNScores!$A$2:$B$91,2,FALSE)</f>
        <v>#N/A</v>
      </c>
      <c r="L32" s="9"/>
      <c r="M32" s="3" t="e">
        <f>VLOOKUP(L32,ESPNScores!$A$2:$B$91,2,FALSE)</f>
        <v>#N/A</v>
      </c>
      <c r="N32" s="9"/>
      <c r="O32" s="3" t="e">
        <f>VLOOKUP(N32,ESPNScores!$A$2:$B$91,2,FALSE)</f>
        <v>#N/A</v>
      </c>
      <c r="P32" s="9"/>
      <c r="Q32" s="3" t="e">
        <f>VLOOKUP(P32,ESPNScores!$A$2:$B$91,2,FALSE)</f>
        <v>#N/A</v>
      </c>
      <c r="R32" s="9"/>
      <c r="S32" s="3" t="e">
        <f>VLOOKUP(R32,ESPNScores!$A$2:$B$91,2,FALSE)</f>
        <v>#N/A</v>
      </c>
      <c r="T32" s="9"/>
      <c r="U32" s="3" t="e">
        <f>VLOOKUP(T32,ESPNScores!$A$2:$B$91,2,FALSE)</f>
        <v>#N/A</v>
      </c>
      <c r="V32" s="9"/>
    </row>
    <row r="33" spans="2:23" ht="14.4" x14ac:dyDescent="0.3">
      <c r="E33" s="91">
        <v>5</v>
      </c>
      <c r="F33" s="9"/>
      <c r="G33" s="3" t="e">
        <f>VLOOKUP(F33,ESPNScores!$A$2:$B$91,2,FALSE)</f>
        <v>#N/A</v>
      </c>
      <c r="H33" s="9"/>
      <c r="I33" s="3" t="e">
        <f>VLOOKUP(H33,ESPNScores!$A$2:$B$91,2,FALSE)</f>
        <v>#N/A</v>
      </c>
      <c r="J33" s="31"/>
      <c r="K33" s="3" t="e">
        <f>VLOOKUP(J33,ESPNScores!$A$2:$B$91,2,FALSE)</f>
        <v>#N/A</v>
      </c>
      <c r="L33" s="31"/>
      <c r="M33" s="3" t="e">
        <f>VLOOKUP(L33,ESPNScores!$A$2:$B$91,2,FALSE)</f>
        <v>#N/A</v>
      </c>
      <c r="N33" s="31"/>
      <c r="O33" s="3" t="e">
        <f>VLOOKUP(N33,ESPNScores!$A$2:$B$91,2,FALSE)</f>
        <v>#N/A</v>
      </c>
      <c r="P33" s="9"/>
      <c r="Q33" s="3" t="e">
        <f>VLOOKUP(P33,ESPNScores!$A$2:$B$91,2,FALSE)</f>
        <v>#N/A</v>
      </c>
      <c r="R33" s="31"/>
      <c r="S33" s="3" t="e">
        <f>VLOOKUP(R33,ESPNScores!$A$2:$B$91,2,FALSE)</f>
        <v>#N/A</v>
      </c>
      <c r="T33" s="9"/>
      <c r="U33" s="3" t="e">
        <f>VLOOKUP(T33,ESPNScores!$A$2:$B$91,2,FALSE)</f>
        <v>#N/A</v>
      </c>
      <c r="V33" s="31"/>
    </row>
    <row r="34" spans="2:23" ht="14.4" x14ac:dyDescent="0.3">
      <c r="B34" s="52" t="s">
        <v>329</v>
      </c>
      <c r="E34" s="91">
        <v>6</v>
      </c>
      <c r="F34" s="9"/>
      <c r="G34" s="3" t="e">
        <f>VLOOKUP(F34,ESPNScores!$A$2:$B$91,2,FALSE)</f>
        <v>#N/A</v>
      </c>
      <c r="H34" s="9"/>
      <c r="I34" s="3" t="e">
        <f>VLOOKUP(H34,ESPNScores!$A$2:$B$91,2,FALSE)</f>
        <v>#N/A</v>
      </c>
      <c r="J34" s="9"/>
      <c r="K34" s="3" t="e">
        <f>VLOOKUP(J34,ESPNScores!$A$2:$B$91,2,FALSE)</f>
        <v>#N/A</v>
      </c>
      <c r="L34" s="9"/>
      <c r="M34" s="3" t="e">
        <f>VLOOKUP(L34,ESPNScores!$A$2:$B$91,2,FALSE)</f>
        <v>#N/A</v>
      </c>
      <c r="N34" s="9"/>
      <c r="O34" s="3" t="e">
        <f>VLOOKUP(N34,ESPNScores!$A$2:$B$91,2,FALSE)</f>
        <v>#N/A</v>
      </c>
      <c r="P34" s="9"/>
      <c r="Q34" s="3" t="e">
        <f>VLOOKUP(P34,ESPNScores!$A$2:$B$91,2,FALSE)</f>
        <v>#N/A</v>
      </c>
      <c r="R34" s="9"/>
      <c r="S34" s="3" t="e">
        <f>VLOOKUP(R34,ESPNScores!$A$2:$B$91,2,FALSE)</f>
        <v>#N/A</v>
      </c>
      <c r="T34" s="9"/>
      <c r="U34" s="3" t="e">
        <f>VLOOKUP(T34,ESPNScores!$A$2:$B$91,2,FALSE)</f>
        <v>#N/A</v>
      </c>
      <c r="V34" s="9"/>
    </row>
    <row r="35" spans="2:23" ht="14.4" x14ac:dyDescent="0.3">
      <c r="B35" s="82" t="str">
        <f>ESPNScores!A2</f>
        <v>Russell Henley</v>
      </c>
      <c r="C35" s="84">
        <f>ESPNScores!B2</f>
        <v>-9</v>
      </c>
      <c r="E35" s="91">
        <v>7</v>
      </c>
      <c r="F35" s="9"/>
      <c r="G35" s="3" t="e">
        <f>VLOOKUP(F35,ESPNScores!$A$2:$B$91,2,FALSE)</f>
        <v>#N/A</v>
      </c>
      <c r="H35" s="9"/>
      <c r="I35" s="3" t="e">
        <f>VLOOKUP(H35,ESPNScores!$A$2:$B$91,2,FALSE)</f>
        <v>#N/A</v>
      </c>
      <c r="J35" s="9"/>
      <c r="K35" s="3" t="e">
        <f>VLOOKUP(J35,ESPNScores!$A$2:$B$91,2,FALSE)</f>
        <v>#N/A</v>
      </c>
      <c r="L35" s="9"/>
      <c r="M35" s="3" t="e">
        <f>VLOOKUP(L35,ESPNScores!$A$2:$B$91,2,FALSE)</f>
        <v>#N/A</v>
      </c>
      <c r="N35" s="9"/>
      <c r="O35" s="3" t="e">
        <f>VLOOKUP(N35,ESPNScores!$A$2:$B$91,2,FALSE)</f>
        <v>#N/A</v>
      </c>
      <c r="P35" s="9"/>
      <c r="Q35" s="3" t="e">
        <f>VLOOKUP(P35,ESPNScores!$A$2:$B$91,2,FALSE)</f>
        <v>#N/A</v>
      </c>
      <c r="R35" s="9"/>
      <c r="S35" s="3" t="e">
        <f>VLOOKUP(R35,ESPNScores!$A$2:$B$91,2,FALSE)</f>
        <v>#N/A</v>
      </c>
      <c r="T35" s="9"/>
      <c r="U35" s="3" t="e">
        <f>VLOOKUP(T35,ESPNScores!$A$2:$B$91,2,FALSE)</f>
        <v>#N/A</v>
      </c>
      <c r="V35" s="9"/>
    </row>
    <row r="36" spans="2:23" ht="14.4" x14ac:dyDescent="0.3">
      <c r="B36" s="82" t="str">
        <f>ESPNScores!A3</f>
        <v>Scottie Scheffler</v>
      </c>
      <c r="C36" s="84">
        <f>ESPNScores!B3</f>
        <v>-7</v>
      </c>
      <c r="E36" s="91">
        <v>8</v>
      </c>
      <c r="F36" s="9"/>
      <c r="G36" s="3" t="e">
        <f>VLOOKUP(F36,ESPNScores!$A$2:$B$91,2,FALSE)</f>
        <v>#N/A</v>
      </c>
      <c r="H36" s="9"/>
      <c r="I36" s="3" t="e">
        <f>VLOOKUP(H36,ESPNScores!$A$2:$B$91,2,FALSE)</f>
        <v>#N/A</v>
      </c>
      <c r="J36" s="9"/>
      <c r="K36" s="3" t="e">
        <f>VLOOKUP(J36,ESPNScores!$A$2:$B$91,2,FALSE)</f>
        <v>#N/A</v>
      </c>
      <c r="L36" s="9"/>
      <c r="M36" s="3" t="e">
        <f>VLOOKUP(L36,ESPNScores!$A$2:$B$91,2,FALSE)</f>
        <v>#N/A</v>
      </c>
      <c r="N36" s="9"/>
      <c r="O36" s="3" t="e">
        <f>VLOOKUP(N36,ESPNScores!$A$2:$B$91,2,FALSE)</f>
        <v>#N/A</v>
      </c>
      <c r="P36" s="9"/>
      <c r="Q36" s="3" t="e">
        <f>VLOOKUP(P36,ESPNScores!$A$2:$B$91,2,FALSE)</f>
        <v>#N/A</v>
      </c>
      <c r="R36" s="9"/>
      <c r="S36" s="3" t="e">
        <f>VLOOKUP(R36,ESPNScores!$A$2:$B$91,2,FALSE)</f>
        <v>#N/A</v>
      </c>
      <c r="T36" s="9"/>
      <c r="U36" s="3" t="e">
        <f>VLOOKUP(T36,ESPNScores!$A$2:$B$91,2,FALSE)</f>
        <v>#N/A</v>
      </c>
      <c r="V36" s="9"/>
    </row>
    <row r="37" spans="2:23" ht="14.4" x14ac:dyDescent="0.3">
      <c r="B37" s="82" t="str">
        <f>ESPNScores!A4</f>
        <v>Collin Morikawa</v>
      </c>
      <c r="C37" s="84">
        <f>ESPNScores!B4</f>
        <v>-6</v>
      </c>
      <c r="E37" s="91" t="s">
        <v>9</v>
      </c>
      <c r="F37" s="59"/>
      <c r="G37" s="3" t="e">
        <f>VLOOKUP(F37,ESPNScores!$A$2:$B$91,2,FALSE)</f>
        <v>#N/A</v>
      </c>
      <c r="H37" s="9"/>
      <c r="I37" s="3" t="e">
        <f>VLOOKUP(H37,ESPNScores!$A$2:$B$91,2,FALSE)</f>
        <v>#N/A</v>
      </c>
      <c r="J37" s="9"/>
      <c r="K37" s="3" t="e">
        <f>VLOOKUP(J37,ESPNScores!$A$2:$B$91,2,FALSE)</f>
        <v>#N/A</v>
      </c>
      <c r="L37" s="31"/>
      <c r="M37" s="3" t="e">
        <f>VLOOKUP(L37,ESPNScores!$A$2:$B$91,2,FALSE)</f>
        <v>#N/A</v>
      </c>
      <c r="N37" s="9"/>
      <c r="O37" s="3" t="e">
        <f>VLOOKUP(N37,ESPNScores!$A$2:$B$91,2,FALSE)</f>
        <v>#N/A</v>
      </c>
      <c r="P37" s="9"/>
      <c r="Q37" s="3" t="e">
        <f>VLOOKUP(P37,ESPNScores!$A$2:$B$91,2,FALSE)</f>
        <v>#N/A</v>
      </c>
      <c r="R37" s="9"/>
      <c r="S37" s="3" t="e">
        <f>VLOOKUP(R37,ESPNScores!$A$2:$B$91,2,FALSE)</f>
        <v>#N/A</v>
      </c>
      <c r="T37" s="9"/>
      <c r="U37" s="3" t="e">
        <f>VLOOKUP(T37,ESPNScores!$A$2:$B$91,2,FALSE)</f>
        <v>#N/A</v>
      </c>
      <c r="V37" s="9"/>
    </row>
    <row r="38" spans="2:23" ht="14.4" x14ac:dyDescent="0.3">
      <c r="B38" s="82" t="str">
        <f>ESPNScores!A5</f>
        <v>Patrick Cantlay</v>
      </c>
      <c r="C38" s="84">
        <f>ESPNScores!B5</f>
        <v>-6</v>
      </c>
      <c r="E38" s="91" t="s">
        <v>10</v>
      </c>
      <c r="F38" s="59"/>
      <c r="G38" s="3" t="e">
        <f>VLOOKUP(F38,ESPNScores!$A$2:$B$91,2,FALSE)</f>
        <v>#N/A</v>
      </c>
      <c r="H38" s="59"/>
      <c r="I38" s="3" t="e">
        <f>VLOOKUP(H38,ESPNScores!$A$2:$B$91,2,FALSE)</f>
        <v>#N/A</v>
      </c>
      <c r="J38" s="9"/>
      <c r="K38" s="3" t="e">
        <f>VLOOKUP(J38,ESPNScores!$A$2:$B$91,2,FALSE)</f>
        <v>#N/A</v>
      </c>
      <c r="L38" s="59"/>
      <c r="M38" s="3" t="e">
        <f>VLOOKUP(L38,ESPNScores!$A$2:$B$91,2,FALSE)</f>
        <v>#N/A</v>
      </c>
      <c r="N38" s="9"/>
      <c r="O38" s="3" t="e">
        <f>VLOOKUP(N38,ESPNScores!$A$2:$B$91,2,FALSE)</f>
        <v>#N/A</v>
      </c>
      <c r="P38" s="59"/>
      <c r="Q38" s="3" t="e">
        <f>VLOOKUP(P38,ESPNScores!$A$2:$B$91,2,FALSE)</f>
        <v>#N/A</v>
      </c>
      <c r="R38" s="59"/>
      <c r="S38" s="3" t="e">
        <f>VLOOKUP(R38,ESPNScores!$A$2:$B$91,2,FALSE)</f>
        <v>#N/A</v>
      </c>
      <c r="T38" s="9"/>
      <c r="U38" s="3" t="e">
        <f>VLOOKUP(T38,ESPNScores!$A$2:$B$91,2,FALSE)</f>
        <v>#N/A</v>
      </c>
      <c r="V38" s="9"/>
    </row>
    <row r="39" spans="2:23" ht="14.4" x14ac:dyDescent="0.3">
      <c r="B39" s="82" t="str">
        <f>ESPNScores!A6</f>
        <v>Justin Thomas</v>
      </c>
      <c r="C39" s="84">
        <f>ESPNScores!B6</f>
        <v>-6</v>
      </c>
      <c r="E39" s="92"/>
      <c r="F39" s="88"/>
      <c r="G39" s="3" t="e">
        <f>VLOOKUP(F39,ESPNScores!$A$2:$B$91,2,FALSE)</f>
        <v>#N/A</v>
      </c>
      <c r="H39" s="85"/>
      <c r="I39" s="3" t="e">
        <f>VLOOKUP(H39,ESPNScores!$A$2:$B$91,2,FALSE)</f>
        <v>#N/A</v>
      </c>
      <c r="J39" s="85"/>
      <c r="K39" s="3" t="e">
        <f>VLOOKUP(J39,ESPNScores!$A$2:$B$91,2,FALSE)</f>
        <v>#N/A</v>
      </c>
      <c r="L39" s="85"/>
      <c r="M39" s="3" t="e">
        <f>VLOOKUP(L39,ESPNScores!$A$2:$B$91,2,FALSE)</f>
        <v>#N/A</v>
      </c>
      <c r="N39" s="85"/>
      <c r="O39" s="3" t="e">
        <f>VLOOKUP(N39,ESPNScores!$A$2:$B$91,2,FALSE)</f>
        <v>#N/A</v>
      </c>
      <c r="P39" s="59"/>
      <c r="Q39" s="3" t="e">
        <f>VLOOKUP(P39,ESPNScores!$A$2:$B$91,2,FALSE)</f>
        <v>#N/A</v>
      </c>
      <c r="R39" s="85"/>
      <c r="S39" s="3" t="e">
        <f>VLOOKUP(R39,ESPNScores!$A$2:$B$91,2,FALSE)</f>
        <v>#N/A</v>
      </c>
      <c r="T39" s="85"/>
      <c r="U39" s="3" t="e">
        <f>VLOOKUP(T39,ESPNScores!$A$2:$B$91,2,FALSE)</f>
        <v>#N/A</v>
      </c>
    </row>
    <row r="40" spans="2:23" x14ac:dyDescent="0.25">
      <c r="B40" s="82" t="str">
        <f>ESPNScores!A7</f>
        <v>Robert MacIntyre</v>
      </c>
      <c r="C40" s="84">
        <f>ESPNScores!B7</f>
        <v>-6</v>
      </c>
      <c r="E40" s="57"/>
      <c r="F40" s="25"/>
    </row>
    <row r="41" spans="2:23" x14ac:dyDescent="0.25">
      <c r="B41" s="82" t="str">
        <f>ESPNScores!A8</f>
        <v>Tommy Fleetwood</v>
      </c>
      <c r="C41" s="84">
        <f>ESPNScores!B8</f>
        <v>-6</v>
      </c>
      <c r="E41" s="90"/>
      <c r="F41" s="10" t="s">
        <v>313</v>
      </c>
      <c r="G41" s="11" t="e" cm="1">
        <f t="array" aca="1" ref="G41" ca="1">SUMPRODUCT(SMALL(G42:G51,ROW(INDIRECT("1:5"))))</f>
        <v>#N/A</v>
      </c>
      <c r="H41" s="10" t="s">
        <v>307</v>
      </c>
      <c r="I41" s="11" t="e" cm="1">
        <f t="array" aca="1" ref="I41" ca="1">SUMPRODUCT(SMALL(I42:I51,ROW(INDIRECT("1:5"))))</f>
        <v>#N/A</v>
      </c>
      <c r="J41" s="10" t="s">
        <v>315</v>
      </c>
      <c r="K41" s="11" t="e" cm="1">
        <f t="array" aca="1" ref="K41" ca="1">SUMPRODUCT(SMALL(K42:K51,ROW(INDIRECT("1:5"))))</f>
        <v>#N/A</v>
      </c>
      <c r="L41" s="10" t="s">
        <v>327</v>
      </c>
      <c r="M41" s="11" t="e" cm="1">
        <f t="array" aca="1" ref="M41" ca="1">SUMPRODUCT(SMALL(M42:M51,ROW(INDIRECT("1:5"))))</f>
        <v>#N/A</v>
      </c>
      <c r="N41" s="10" t="s">
        <v>328</v>
      </c>
      <c r="O41" s="11" t="e" cm="1">
        <f t="array" aca="1" ref="O41" ca="1">SUMPRODUCT(SMALL(O42:O51,ROW(INDIRECT("1:5"))))</f>
        <v>#N/A</v>
      </c>
      <c r="P41" s="10" t="s">
        <v>402</v>
      </c>
      <c r="Q41" s="11" t="e" cm="1">
        <f t="array" aca="1" ref="Q41" ca="1">SUMPRODUCT(SMALL(Q42:Q51,ROW(INDIRECT("1:5"))))</f>
        <v>#N/A</v>
      </c>
      <c r="R41" s="7"/>
      <c r="S41" s="1"/>
      <c r="T41" s="7"/>
      <c r="U41" s="1"/>
      <c r="V41" s="7"/>
      <c r="W41" s="1"/>
    </row>
    <row r="42" spans="2:23" ht="14.4" x14ac:dyDescent="0.3">
      <c r="B42" s="82" t="str">
        <f>ESPNScores!A9</f>
        <v>Akshay Bhatia</v>
      </c>
      <c r="C42" s="84">
        <f>ESPNScores!B9</f>
        <v>-4</v>
      </c>
      <c r="E42" s="91">
        <v>1</v>
      </c>
      <c r="F42" s="9"/>
      <c r="G42" s="3" t="e">
        <f>VLOOKUP(F42,ESPNScores!$A$2:$B$91,2,FALSE)</f>
        <v>#N/A</v>
      </c>
      <c r="I42" s="3" t="e">
        <f>VLOOKUP(H42,ESPNScores!$A$2:$B$91,2,FALSE)</f>
        <v>#N/A</v>
      </c>
      <c r="J42" s="9"/>
      <c r="K42" s="3" t="e">
        <f>VLOOKUP(J42,ESPNScores!$A$2:$B$91,2,FALSE)</f>
        <v>#N/A</v>
      </c>
      <c r="L42" s="9"/>
      <c r="M42" s="3" t="e">
        <f>VLOOKUP(L42,ESPNScores!$A$2:$B$91,2,FALSE)</f>
        <v>#N/A</v>
      </c>
      <c r="N42" s="9"/>
      <c r="O42" s="3" t="e">
        <f>VLOOKUP(N42,ESPNScores!$A$2:$B$91,2,FALSE)</f>
        <v>#N/A</v>
      </c>
      <c r="P42" s="9"/>
      <c r="Q42" s="3" t="e">
        <f>VLOOKUP(P42,ESPNScores!$A$2:$B$91,2,FALSE)</f>
        <v>#N/A</v>
      </c>
      <c r="R42" s="9"/>
      <c r="S42" s="3"/>
      <c r="V42" s="9"/>
    </row>
    <row r="43" spans="2:23" ht="14.4" x14ac:dyDescent="0.3">
      <c r="B43" s="82" t="str">
        <f>ESPNScores!A10</f>
        <v>Ludvig Åberg</v>
      </c>
      <c r="C43" s="84">
        <f>ESPNScores!B10</f>
        <v>-4</v>
      </c>
      <c r="E43" s="91">
        <v>2</v>
      </c>
      <c r="F43" s="9"/>
      <c r="G43" s="3" t="e">
        <f>VLOOKUP(F43,ESPNScores!$A$2:$B$91,2,FALSE)</f>
        <v>#N/A</v>
      </c>
      <c r="H43" s="9"/>
      <c r="I43" s="3" t="e">
        <f>VLOOKUP(H43,ESPNScores!$A$2:$B$91,2,FALSE)</f>
        <v>#N/A</v>
      </c>
      <c r="J43" s="9"/>
      <c r="K43" s="3" t="e">
        <f>VLOOKUP(J43,ESPNScores!$A$2:$B$91,2,FALSE)</f>
        <v>#N/A</v>
      </c>
      <c r="L43" s="9"/>
      <c r="M43" s="3" t="e">
        <f>VLOOKUP(L43,ESPNScores!$A$2:$B$91,2,FALSE)</f>
        <v>#N/A</v>
      </c>
      <c r="N43" s="9"/>
      <c r="O43" s="3" t="e">
        <f>VLOOKUP(N43,ESPNScores!$A$2:$B$91,2,FALSE)</f>
        <v>#N/A</v>
      </c>
      <c r="P43" s="9"/>
      <c r="Q43" s="3" t="e">
        <f>VLOOKUP(P43,ESPNScores!$A$2:$B$91,2,FALSE)</f>
        <v>#N/A</v>
      </c>
      <c r="R43" s="9"/>
      <c r="S43" s="3"/>
      <c r="V43" s="9"/>
    </row>
    <row r="44" spans="2:23" ht="14.4" x14ac:dyDescent="0.3">
      <c r="B44" s="82" t="str">
        <f>ESPNScores!A11</f>
        <v>Ben Griffin</v>
      </c>
      <c r="C44" s="84">
        <f>ESPNScores!B11</f>
        <v>-4</v>
      </c>
      <c r="E44" s="91">
        <v>3</v>
      </c>
      <c r="F44" s="9"/>
      <c r="G44" s="3" t="e">
        <f>VLOOKUP(F44,ESPNScores!$A$2:$B$91,2,FALSE)</f>
        <v>#N/A</v>
      </c>
      <c r="H44" s="9"/>
      <c r="I44" s="3" t="e">
        <f>VLOOKUP(H44,ESPNScores!$A$2:$B$91,2,FALSE)</f>
        <v>#N/A</v>
      </c>
      <c r="J44" s="9"/>
      <c r="K44" s="3" t="e">
        <f>VLOOKUP(J44,ESPNScores!$A$2:$B$91,2,FALSE)</f>
        <v>#N/A</v>
      </c>
      <c r="L44" s="9"/>
      <c r="M44" s="3" t="e">
        <f>VLOOKUP(L44,ESPNScores!$A$2:$B$91,2,FALSE)</f>
        <v>#N/A</v>
      </c>
      <c r="N44" s="9"/>
      <c r="O44" s="3" t="e">
        <f>VLOOKUP(N44,ESPNScores!$A$2:$B$91,2,FALSE)</f>
        <v>#N/A</v>
      </c>
      <c r="P44" s="9"/>
      <c r="Q44" s="3" t="e">
        <f>VLOOKUP(P44,ESPNScores!$A$2:$B$91,2,FALSE)</f>
        <v>#N/A</v>
      </c>
      <c r="R44" s="9"/>
      <c r="S44" s="3"/>
      <c r="V44" s="9"/>
    </row>
    <row r="45" spans="2:23" ht="14.4" x14ac:dyDescent="0.3">
      <c r="B45" s="82" t="str">
        <f>ESPNScores!A12</f>
        <v>Rory McIlroy</v>
      </c>
      <c r="C45" s="84">
        <f>ESPNScores!B12</f>
        <v>-4</v>
      </c>
      <c r="E45" s="91">
        <v>4</v>
      </c>
      <c r="F45" s="9"/>
      <c r="G45" s="3" t="e">
        <f>VLOOKUP(F45,ESPNScores!$A$2:$B$91,2,FALSE)</f>
        <v>#N/A</v>
      </c>
      <c r="H45" s="9"/>
      <c r="I45" s="3" t="e">
        <f>VLOOKUP(H45,ESPNScores!$A$2:$B$91,2,FALSE)</f>
        <v>#N/A</v>
      </c>
      <c r="J45" s="9"/>
      <c r="K45" s="3" t="e">
        <f>VLOOKUP(J45,ESPNScores!$A$2:$B$91,2,FALSE)</f>
        <v>#N/A</v>
      </c>
      <c r="L45" s="9"/>
      <c r="M45" s="3" t="e">
        <f>VLOOKUP(L45,ESPNScores!$A$2:$B$91,2,FALSE)</f>
        <v>#N/A</v>
      </c>
      <c r="N45" s="9"/>
      <c r="O45" s="3" t="e">
        <f>VLOOKUP(N45,ESPNScores!$A$2:$B$91,2,FALSE)</f>
        <v>#N/A</v>
      </c>
      <c r="P45" s="9"/>
      <c r="Q45" s="3" t="e">
        <f>VLOOKUP(P45,ESPNScores!$A$2:$B$91,2,FALSE)</f>
        <v>#N/A</v>
      </c>
      <c r="R45" s="9"/>
      <c r="S45" s="3"/>
      <c r="V45" s="9"/>
    </row>
    <row r="46" spans="2:23" ht="14.4" x14ac:dyDescent="0.3">
      <c r="B46" s="82" t="str">
        <f>ESPNScores!A13</f>
        <v>Jacob Bridgeman</v>
      </c>
      <c r="C46" s="84">
        <f>ESPNScores!B13</f>
        <v>-3</v>
      </c>
      <c r="E46" s="91">
        <v>5</v>
      </c>
      <c r="F46" s="9"/>
      <c r="G46" s="3" t="e">
        <f>VLOOKUP(F46,ESPNScores!$A$2:$B$91,2,FALSE)</f>
        <v>#N/A</v>
      </c>
      <c r="H46" s="9"/>
      <c r="I46" s="3" t="e">
        <f>VLOOKUP(H46,ESPNScores!$A$2:$B$91,2,FALSE)</f>
        <v>#N/A</v>
      </c>
      <c r="J46" s="31"/>
      <c r="K46" s="3" t="e">
        <f>VLOOKUP(J46,ESPNScores!$A$2:$B$91,2,FALSE)</f>
        <v>#N/A</v>
      </c>
      <c r="L46" s="31"/>
      <c r="M46" s="3" t="e">
        <f>VLOOKUP(L46,ESPNScores!$A$2:$B$91,2,FALSE)</f>
        <v>#N/A</v>
      </c>
      <c r="N46" s="31"/>
      <c r="O46" s="3" t="e">
        <f>VLOOKUP(N46,ESPNScores!$A$2:$B$91,2,FALSE)</f>
        <v>#N/A</v>
      </c>
      <c r="P46" s="31"/>
      <c r="Q46" s="3" t="e">
        <f>VLOOKUP(P46,ESPNScores!$A$2:$B$91,2,FALSE)</f>
        <v>#N/A</v>
      </c>
      <c r="R46" s="9"/>
      <c r="S46" s="3"/>
      <c r="V46" s="31"/>
    </row>
    <row r="47" spans="2:23" ht="14.4" x14ac:dyDescent="0.3">
      <c r="B47" s="82" t="str">
        <f>ESPNScores!A14</f>
        <v>Nick Taylor</v>
      </c>
      <c r="C47" s="84">
        <f>ESPNScores!B14</f>
        <v>-3</v>
      </c>
      <c r="E47" s="91">
        <v>6</v>
      </c>
      <c r="F47" s="9"/>
      <c r="G47" s="3" t="e">
        <f>VLOOKUP(F47,ESPNScores!$A$2:$B$91,2,FALSE)</f>
        <v>#N/A</v>
      </c>
      <c r="H47" s="9"/>
      <c r="I47" s="3" t="e">
        <f>VLOOKUP(H47,ESPNScores!$A$2:$B$91,2,FALSE)</f>
        <v>#N/A</v>
      </c>
      <c r="J47" s="9"/>
      <c r="K47" s="3" t="e">
        <f>VLOOKUP(J47,ESPNScores!$A$2:$B$91,2,FALSE)</f>
        <v>#N/A</v>
      </c>
      <c r="L47" s="9"/>
      <c r="M47" s="3" t="e">
        <f>VLOOKUP(L47,ESPNScores!$A$2:$B$91,2,FALSE)</f>
        <v>#N/A</v>
      </c>
      <c r="N47" s="9"/>
      <c r="O47" s="3" t="e">
        <f>VLOOKUP(N47,ESPNScores!$A$2:$B$91,2,FALSE)</f>
        <v>#N/A</v>
      </c>
      <c r="P47" s="9"/>
      <c r="Q47" s="3" t="e">
        <f>VLOOKUP(P47,ESPNScores!$A$2:$B$91,2,FALSE)</f>
        <v>#N/A</v>
      </c>
      <c r="R47" s="9"/>
      <c r="S47" s="3"/>
      <c r="V47" s="9"/>
    </row>
    <row r="48" spans="2:23" ht="14.4" x14ac:dyDescent="0.3">
      <c r="B48" s="82" t="str">
        <f>ESPNScores!A15</f>
        <v>Brian Harman</v>
      </c>
      <c r="C48" s="84">
        <f>ESPNScores!B15</f>
        <v>-3</v>
      </c>
      <c r="E48" s="91">
        <v>7</v>
      </c>
      <c r="F48" s="9"/>
      <c r="G48" s="3" t="e">
        <f>VLOOKUP(F48,ESPNScores!$A$2:$B$91,2,FALSE)</f>
        <v>#N/A</v>
      </c>
      <c r="H48" s="9"/>
      <c r="I48" s="3" t="e">
        <f>VLOOKUP(H48,ESPNScores!$A$2:$B$91,2,FALSE)</f>
        <v>#N/A</v>
      </c>
      <c r="J48" s="9"/>
      <c r="K48" s="3" t="e">
        <f>VLOOKUP(J48,ESPNScores!$A$2:$B$91,2,FALSE)</f>
        <v>#N/A</v>
      </c>
      <c r="L48" s="9"/>
      <c r="M48" s="3" t="e">
        <f>VLOOKUP(L48,ESPNScores!$A$2:$B$91,2,FALSE)</f>
        <v>#N/A</v>
      </c>
      <c r="N48" s="9"/>
      <c r="O48" s="3" t="e">
        <f>VLOOKUP(N48,ESPNScores!$A$2:$B$91,2,FALSE)</f>
        <v>#N/A</v>
      </c>
      <c r="P48" s="9"/>
      <c r="Q48" s="3" t="e">
        <f>VLOOKUP(P48,ESPNScores!$A$2:$B$91,2,FALSE)</f>
        <v>#N/A</v>
      </c>
      <c r="R48" s="9"/>
      <c r="S48" s="3"/>
      <c r="V48" s="9"/>
    </row>
    <row r="49" spans="2:35" ht="14.4" x14ac:dyDescent="0.3">
      <c r="E49" s="91">
        <v>8</v>
      </c>
      <c r="F49" s="9"/>
      <c r="G49" s="3" t="e">
        <f>VLOOKUP(F49,ESPNScores!$A$2:$B$91,2,FALSE)</f>
        <v>#N/A</v>
      </c>
      <c r="H49" s="9"/>
      <c r="I49" s="3" t="e">
        <f>VLOOKUP(H49,ESPNScores!$A$2:$B$91,2,FALSE)</f>
        <v>#N/A</v>
      </c>
      <c r="J49" s="9"/>
      <c r="K49" s="3" t="e">
        <f>VLOOKUP(J49,ESPNScores!$A$2:$B$91,2,FALSE)</f>
        <v>#N/A</v>
      </c>
      <c r="L49" s="9"/>
      <c r="M49" s="3" t="e">
        <f>VLOOKUP(L49,ESPNScores!$A$2:$B$91,2,FALSE)</f>
        <v>#N/A</v>
      </c>
      <c r="N49" s="9"/>
      <c r="O49" s="3" t="e">
        <f>VLOOKUP(N49,ESPNScores!$A$2:$B$91,2,FALSE)</f>
        <v>#N/A</v>
      </c>
      <c r="P49" s="9"/>
      <c r="Q49" s="3" t="e">
        <f>VLOOKUP(P49,ESPNScores!$A$2:$B$91,2,FALSE)</f>
        <v>#N/A</v>
      </c>
      <c r="R49" s="9"/>
      <c r="S49" s="3"/>
    </row>
    <row r="50" spans="2:35" ht="14.4" x14ac:dyDescent="0.3">
      <c r="B50" s="83" t="s">
        <v>486</v>
      </c>
      <c r="E50" s="91" t="s">
        <v>9</v>
      </c>
      <c r="F50" s="9"/>
      <c r="G50" s="3" t="e">
        <f>VLOOKUP(F50,ESPNScores!$A$2:$B$91,2,FALSE)</f>
        <v>#N/A</v>
      </c>
      <c r="H50" s="59"/>
      <c r="I50" s="3" t="e">
        <f>VLOOKUP(H50,ESPNScores!$A$2:$B$91,2,FALSE)</f>
        <v>#N/A</v>
      </c>
      <c r="J50" s="59"/>
      <c r="K50" s="3" t="e">
        <f>VLOOKUP(J50,ESPNScores!$A$2:$B$91,2,FALSE)</f>
        <v>#N/A</v>
      </c>
      <c r="L50" s="9"/>
      <c r="M50" s="3" t="e">
        <f>VLOOKUP(L50,ESPNScores!$A$2:$B$91,2,FALSE)</f>
        <v>#N/A</v>
      </c>
      <c r="N50" s="9"/>
      <c r="O50" s="3" t="e">
        <f>VLOOKUP(N50,ESPNScores!$A$2:$B$91,2,FALSE)</f>
        <v>#N/A</v>
      </c>
      <c r="P50" s="9"/>
      <c r="Q50" s="3" t="e">
        <f>VLOOKUP(P50,ESPNScores!$A$2:$B$91,2,FALSE)</f>
        <v>#N/A</v>
      </c>
      <c r="R50" s="30"/>
      <c r="S50" s="3"/>
      <c r="V50" s="9"/>
    </row>
    <row r="51" spans="2:35" ht="14.4" x14ac:dyDescent="0.3">
      <c r="B51" s="52" t="s">
        <v>339</v>
      </c>
      <c r="E51" s="91" t="s">
        <v>10</v>
      </c>
      <c r="F51" s="9"/>
      <c r="G51" s="3" t="e">
        <f>VLOOKUP(F51,ESPNScores!$A$2:$B$91,2,FALSE)</f>
        <v>#N/A</v>
      </c>
      <c r="H51" s="59"/>
      <c r="I51" s="3" t="e">
        <f>VLOOKUP(H51,ESPNScores!$A$2:$B$91,2,FALSE)</f>
        <v>#N/A</v>
      </c>
      <c r="J51" s="59"/>
      <c r="K51" s="3" t="e">
        <f>VLOOKUP(J51,ESPNScores!$A$2:$B$91,2,FALSE)</f>
        <v>#N/A</v>
      </c>
      <c r="L51" s="9"/>
      <c r="M51" s="3" t="e">
        <f>VLOOKUP(L51,ESPNScores!$A$2:$B$91,2,FALSE)</f>
        <v>#N/A</v>
      </c>
      <c r="N51" s="59"/>
      <c r="O51" s="3" t="e">
        <f>VLOOKUP(N51,ESPNScores!$A$2:$B$91,2,FALSE)</f>
        <v>#N/A</v>
      </c>
      <c r="P51" s="59"/>
      <c r="Q51" s="3" t="e">
        <f>VLOOKUP(P51,ESPNScores!$A$2:$B$91,2,FALSE)</f>
        <v>#N/A</v>
      </c>
      <c r="R51" s="9"/>
      <c r="S51" s="3"/>
      <c r="V51" s="9"/>
    </row>
    <row r="52" spans="2:35" ht="14.4" x14ac:dyDescent="0.3">
      <c r="E52"/>
      <c r="F52" s="88"/>
      <c r="G52" s="3" t="e">
        <f>VLOOKUP(F52,ESPNScores!$A$2:$B$91,2,FALSE)</f>
        <v>#N/A</v>
      </c>
      <c r="H52" s="85"/>
      <c r="I52" s="3" t="e">
        <f>VLOOKUP(H52,ESPNScores!$A$2:$B$91,2,FALSE)</f>
        <v>#N/A</v>
      </c>
      <c r="J52" s="85"/>
      <c r="K52" s="3" t="e">
        <f>VLOOKUP(J52,ESPNScores!$A$2:$B$91,2,FALSE)</f>
        <v>#N/A</v>
      </c>
      <c r="L52" s="85"/>
      <c r="M52" s="3" t="e">
        <f>VLOOKUP(L52,ESPNScores!$A$2:$B$91,2,FALSE)</f>
        <v>#N/A</v>
      </c>
      <c r="N52" s="85"/>
      <c r="O52" s="3" t="e">
        <f>VLOOKUP(N52,ESPNScores!$A$2:$B$91,2,FALSE)</f>
        <v>#N/A</v>
      </c>
      <c r="P52" s="85"/>
      <c r="Q52" s="3" t="e">
        <f>VLOOKUP(P52,ESPNScores!$A$2:$B$91,2,FALSE)</f>
        <v>#N/A</v>
      </c>
      <c r="R52" s="85"/>
      <c r="S52" s="3"/>
      <c r="T52" s="85"/>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Tsutsumi</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
        <v>402</v>
      </c>
    </row>
    <row r="55" spans="2:35" x14ac:dyDescent="0.25">
      <c r="E55" t="s">
        <v>66</v>
      </c>
      <c r="F55" s="3" t="e">
        <f ca="1">G2</f>
        <v>#N/A</v>
      </c>
      <c r="G55" s="3" t="e">
        <f ca="1">I2</f>
        <v>#N/A</v>
      </c>
      <c r="H55" s="3" t="e">
        <f ca="1">K2</f>
        <v>#N/A</v>
      </c>
      <c r="I55" s="3" t="e">
        <f ca="1">M2</f>
        <v>#N/A</v>
      </c>
      <c r="J55" s="3" t="e">
        <f ca="1">O2</f>
        <v>#N/A</v>
      </c>
      <c r="K55" s="3" t="e">
        <f ca="1">Q2</f>
        <v>#N/A</v>
      </c>
      <c r="L55" s="3" t="e">
        <f ca="1">S2</f>
        <v>#N/A</v>
      </c>
      <c r="M55" s="3" t="e">
        <f ca="1">U2</f>
        <v>#N/A</v>
      </c>
      <c r="N55" s="3" t="e">
        <f ca="1">G15</f>
        <v>#N/A</v>
      </c>
      <c r="O55" s="3" t="e">
        <f ca="1">I15</f>
        <v>#N/A</v>
      </c>
      <c r="P55" s="3" t="e">
        <f ca="1">K15</f>
        <v>#N/A</v>
      </c>
      <c r="Q55" s="3" t="e">
        <f ca="1">M15</f>
        <v>#N/A</v>
      </c>
      <c r="R55" s="3" t="e">
        <f ca="1">O15</f>
        <v>#N/A</v>
      </c>
      <c r="S55" s="3" t="e">
        <f ca="1">Q15</f>
        <v>#N/A</v>
      </c>
      <c r="T55" s="3" t="e">
        <f ca="1">S15</f>
        <v>#N/A</v>
      </c>
      <c r="U55" s="3" t="e">
        <f ca="1">U15</f>
        <v>#N/A</v>
      </c>
      <c r="V55" s="3" t="e">
        <f ca="1">G28</f>
        <v>#N/A</v>
      </c>
      <c r="W55" s="3" t="e">
        <f ca="1">I28</f>
        <v>#N/A</v>
      </c>
      <c r="X55" s="3" t="e">
        <f ca="1">K28</f>
        <v>#N/A</v>
      </c>
      <c r="Y55" s="3" t="e">
        <f ca="1">M28</f>
        <v>#N/A</v>
      </c>
      <c r="Z55" s="3" t="e">
        <f ca="1">O28</f>
        <v>#N/A</v>
      </c>
      <c r="AA55" s="3" t="e">
        <f ca="1">Q28</f>
        <v>#N/A</v>
      </c>
      <c r="AB55" t="e">
        <f ca="1">S28</f>
        <v>#N/A</v>
      </c>
      <c r="AC55" t="e">
        <f ca="1">U28</f>
        <v>#N/A</v>
      </c>
      <c r="AD55" t="e">
        <f ca="1">G41</f>
        <v>#N/A</v>
      </c>
      <c r="AE55" t="e">
        <f ca="1">I41</f>
        <v>#N/A</v>
      </c>
      <c r="AF55" t="e">
        <f ca="1">K41</f>
        <v>#N/A</v>
      </c>
      <c r="AG55" t="e">
        <f ca="1">M41</f>
        <v>#N/A</v>
      </c>
      <c r="AH55" t="e">
        <f ca="1">O41</f>
        <v>#N/A</v>
      </c>
      <c r="AI55" t="e">
        <f ca="1">Q41</f>
        <v>#N/A</v>
      </c>
    </row>
    <row r="56" spans="2:35" x14ac:dyDescent="0.25">
      <c r="E56" t="s">
        <v>317</v>
      </c>
      <c r="F56" s="45"/>
      <c r="G56" s="45"/>
      <c r="H56" s="45"/>
      <c r="I56" s="45"/>
      <c r="J56" s="45"/>
      <c r="K56" s="45"/>
      <c r="L56" s="45"/>
      <c r="M56" s="45"/>
      <c r="N56" s="45"/>
      <c r="O56" s="45"/>
      <c r="P56" s="45"/>
      <c r="Q56" s="45"/>
      <c r="R56" s="45"/>
      <c r="S56" s="45"/>
      <c r="T56" s="45"/>
      <c r="U56" s="45"/>
      <c r="V56" s="45"/>
      <c r="W56" s="45"/>
      <c r="X56" s="45"/>
      <c r="Y56" s="45"/>
      <c r="Z56" s="45"/>
      <c r="AA56" s="45"/>
      <c r="AB56" s="44"/>
      <c r="AC56" s="44"/>
      <c r="AD56" s="44"/>
      <c r="AE56" s="44"/>
      <c r="AF56" s="44"/>
      <c r="AG56" s="44"/>
      <c r="AH56" s="44"/>
      <c r="AI56" s="44"/>
    </row>
    <row r="57" spans="2:35" x14ac:dyDescent="0.25">
      <c r="E57"/>
      <c r="F57" s="45"/>
      <c r="G57" s="45"/>
      <c r="H57" s="45"/>
      <c r="I57" s="45"/>
      <c r="J57" s="45"/>
      <c r="K57" s="45"/>
      <c r="L57" s="45"/>
      <c r="M57" s="45"/>
      <c r="N57" s="45"/>
      <c r="O57" s="45"/>
      <c r="P57" s="45"/>
      <c r="Q57" s="45"/>
      <c r="R57" s="45"/>
      <c r="S57" s="45"/>
      <c r="T57" s="45"/>
      <c r="U57" s="45"/>
      <c r="V57" s="45"/>
      <c r="W57" s="45"/>
      <c r="X57" s="45"/>
      <c r="Y57" s="45"/>
      <c r="Z57" s="45"/>
      <c r="AA57" s="45"/>
      <c r="AB57" s="44"/>
      <c r="AC57" s="44"/>
      <c r="AD57" s="44"/>
      <c r="AE57" s="44"/>
      <c r="AF57" s="44"/>
      <c r="AG57" s="44"/>
      <c r="AH57" s="44"/>
    </row>
    <row r="58" spans="2:35" x14ac:dyDescent="0.25">
      <c r="E58"/>
      <c r="F58" s="7" t="s">
        <v>24</v>
      </c>
      <c r="G58" s="19">
        <f>SMALL(G59:G65,1)+SMALL(G59:G65,2)+SMALL(G59:G65,3)+SMALL(G59:G65,4)+SMALL(G59:G65,5)</f>
        <v>-29</v>
      </c>
      <c r="I58" s="3"/>
      <c r="K58" s="3"/>
      <c r="M58" s="3"/>
      <c r="O58" s="3"/>
      <c r="Q58" s="3"/>
      <c r="S58" s="3"/>
    </row>
    <row r="59" spans="2:35" x14ac:dyDescent="0.25">
      <c r="E59"/>
      <c r="G59">
        <f>'Top 40'!B36</f>
        <v>-9</v>
      </c>
      <c r="I59"/>
      <c r="M59" s="3"/>
      <c r="O59" s="3"/>
      <c r="Q59" s="3"/>
      <c r="S59" s="3"/>
    </row>
    <row r="60" spans="2:35" x14ac:dyDescent="0.25">
      <c r="E60"/>
      <c r="G60">
        <f>'Top 40'!B37</f>
        <v>-6</v>
      </c>
      <c r="I60"/>
      <c r="M60" s="3"/>
      <c r="O60" s="3"/>
      <c r="Q60" s="3"/>
      <c r="S60" s="3"/>
    </row>
    <row r="61" spans="2:35" x14ac:dyDescent="0.25">
      <c r="G61">
        <f>'Top 40'!B39</f>
        <v>-4</v>
      </c>
      <c r="I61"/>
    </row>
    <row r="62" spans="2:35" x14ac:dyDescent="0.25">
      <c r="G62">
        <f>'Top 40'!B40</f>
        <v>-6</v>
      </c>
      <c r="I62"/>
    </row>
    <row r="63" spans="2:35" x14ac:dyDescent="0.25">
      <c r="G63">
        <f>'Top 40'!B41</f>
        <v>-3</v>
      </c>
      <c r="I63"/>
    </row>
    <row r="64" spans="2:35" x14ac:dyDescent="0.25">
      <c r="G64">
        <f>'Top 40'!B42</f>
        <v>-4</v>
      </c>
      <c r="I64"/>
    </row>
    <row r="65" spans="6:9" x14ac:dyDescent="0.25">
      <c r="G65" s="21">
        <f>'Top 40'!B43</f>
        <v>-3</v>
      </c>
      <c r="I65"/>
    </row>
    <row r="66" spans="6:9" x14ac:dyDescent="0.25">
      <c r="F66" s="20"/>
      <c r="G66" s="18"/>
      <c r="I66"/>
    </row>
    <row r="67" spans="6:9" x14ac:dyDescent="0.25">
      <c r="G67"/>
      <c r="I67"/>
    </row>
    <row r="68" spans="6:9" x14ac:dyDescent="0.25">
      <c r="G68"/>
      <c r="I68"/>
    </row>
    <row r="69" spans="6:9" x14ac:dyDescent="0.25">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51" priority="190" operator="equal">
      <formula>50</formula>
    </cfRule>
  </conditionalFormatting>
  <conditionalFormatting sqref="F41:K41 H42:H52 J42:J52 F42:F52">
    <cfRule type="cellIs" dxfId="150" priority="189" operator="equal">
      <formula>50</formula>
    </cfRule>
  </conditionalFormatting>
  <conditionalFormatting sqref="R41:U51 T14:U14 J14:Q14 F14:G14 F3:F13 H3:H13 J3:J13 L3:L13 N3:N13 P3:P13 R3:R13 F16:F26 H16:H26 J16:J26 L16:L26 N16:N26 P16:P26 R16:R26 T16:T26 F29:F39 R29:R39 P29:P39 L29:L39 J29:J39 H29:H39 N29:N39 H42:H52 N42:N52 P42:P52 F2:U2 F15:U15 F28:U28 F41:Q41 J42:J52 G1:U1 L42:L52 F42:F52 T3:T13 T29:T39">
    <cfRule type="expression" dxfId="149" priority="188">
      <formula>G1=50</formula>
    </cfRule>
  </conditionalFormatting>
  <conditionalFormatting sqref="L41:M41 L42:L52">
    <cfRule type="cellIs" dxfId="148" priority="187" operator="equal">
      <formula>50</formula>
    </cfRule>
  </conditionalFormatting>
  <conditionalFormatting sqref="N41:Q41 N42:N52 P42:P52">
    <cfRule type="cellIs" dxfId="147" priority="186" operator="equal">
      <formula>50</formula>
    </cfRule>
  </conditionalFormatting>
  <conditionalFormatting sqref="G3:G13">
    <cfRule type="cellIs" dxfId="146" priority="185" operator="equal">
      <formula>50</formula>
    </cfRule>
  </conditionalFormatting>
  <conditionalFormatting sqref="K3:K13">
    <cfRule type="cellIs" dxfId="145" priority="54" operator="equal">
      <formula>50</formula>
    </cfRule>
  </conditionalFormatting>
  <conditionalFormatting sqref="M3:M13">
    <cfRule type="cellIs" dxfId="144" priority="53" operator="equal">
      <formula>50</formula>
    </cfRule>
  </conditionalFormatting>
  <conditionalFormatting sqref="O3:O13">
    <cfRule type="cellIs" dxfId="143" priority="52" operator="equal">
      <formula>50</formula>
    </cfRule>
  </conditionalFormatting>
  <conditionalFormatting sqref="Q3:Q13">
    <cfRule type="cellIs" dxfId="142" priority="51" operator="equal">
      <formula>50</formula>
    </cfRule>
  </conditionalFormatting>
  <conditionalFormatting sqref="U3:U13">
    <cfRule type="cellIs" dxfId="141" priority="49" operator="equal">
      <formula>50</formula>
    </cfRule>
  </conditionalFormatting>
  <conditionalFormatting sqref="U16:U26">
    <cfRule type="cellIs" dxfId="140" priority="48" operator="equal">
      <formula>50</formula>
    </cfRule>
  </conditionalFormatting>
  <conditionalFormatting sqref="S16:S26">
    <cfRule type="cellIs" dxfId="139" priority="47" operator="equal">
      <formula>50</formula>
    </cfRule>
  </conditionalFormatting>
  <conditionalFormatting sqref="Q16:Q22 Q24:Q26">
    <cfRule type="cellIs" dxfId="138" priority="46" operator="equal">
      <formula>50</formula>
    </cfRule>
  </conditionalFormatting>
  <conditionalFormatting sqref="O16:O26">
    <cfRule type="cellIs" dxfId="137" priority="45" operator="equal">
      <formula>50</formula>
    </cfRule>
  </conditionalFormatting>
  <conditionalFormatting sqref="M16:M26">
    <cfRule type="cellIs" dxfId="136" priority="44" operator="equal">
      <formula>50</formula>
    </cfRule>
  </conditionalFormatting>
  <conditionalFormatting sqref="K16:K26">
    <cfRule type="cellIs" dxfId="135" priority="43" operator="equal">
      <formula>50</formula>
    </cfRule>
  </conditionalFormatting>
  <conditionalFormatting sqref="I16:I26">
    <cfRule type="cellIs" dxfId="134" priority="42" operator="equal">
      <formula>50</formula>
    </cfRule>
  </conditionalFormatting>
  <conditionalFormatting sqref="G16:G22 G24:G26">
    <cfRule type="cellIs" dxfId="133" priority="41" operator="equal">
      <formula>50</formula>
    </cfRule>
  </conditionalFormatting>
  <conditionalFormatting sqref="G29:G39">
    <cfRule type="cellIs" dxfId="132" priority="40" operator="equal">
      <formula>50</formula>
    </cfRule>
  </conditionalFormatting>
  <conditionalFormatting sqref="I29:I35 I37:I39">
    <cfRule type="cellIs" dxfId="131" priority="39" operator="equal">
      <formula>50</formula>
    </cfRule>
  </conditionalFormatting>
  <conditionalFormatting sqref="K29:K35 K37:K39">
    <cfRule type="cellIs" dxfId="130" priority="38" operator="equal">
      <formula>50</formula>
    </cfRule>
  </conditionalFormatting>
  <conditionalFormatting sqref="M29:M35 M37:M39">
    <cfRule type="cellIs" dxfId="129" priority="37" operator="equal">
      <formula>50</formula>
    </cfRule>
  </conditionalFormatting>
  <conditionalFormatting sqref="O29:O39">
    <cfRule type="cellIs" dxfId="128" priority="36" operator="equal">
      <formula>50</formula>
    </cfRule>
  </conditionalFormatting>
  <conditionalFormatting sqref="Q29:Q39">
    <cfRule type="cellIs" dxfId="127" priority="35" operator="equal">
      <formula>50</formula>
    </cfRule>
  </conditionalFormatting>
  <conditionalFormatting sqref="S29:S39">
    <cfRule type="cellIs" dxfId="126" priority="34" operator="equal">
      <formula>50</formula>
    </cfRule>
  </conditionalFormatting>
  <conditionalFormatting sqref="U29:U39">
    <cfRule type="cellIs" dxfId="125" priority="33" operator="equal">
      <formula>50</formula>
    </cfRule>
  </conditionalFormatting>
  <conditionalFormatting sqref="G42:G52">
    <cfRule type="cellIs" dxfId="124" priority="32" operator="equal">
      <formula>50</formula>
    </cfRule>
  </conditionalFormatting>
  <conditionalFormatting sqref="I42:I48 I50:I52">
    <cfRule type="cellIs" dxfId="123" priority="31" operator="equal">
      <formula>50</formula>
    </cfRule>
  </conditionalFormatting>
  <conditionalFormatting sqref="K42:K48 K50:K52">
    <cfRule type="cellIs" dxfId="122" priority="30" operator="equal">
      <formula>50</formula>
    </cfRule>
  </conditionalFormatting>
  <conditionalFormatting sqref="M42:M50 M52">
    <cfRule type="cellIs" dxfId="121" priority="29" operator="equal">
      <formula>50</formula>
    </cfRule>
  </conditionalFormatting>
  <conditionalFormatting sqref="O42:O52">
    <cfRule type="cellIs" dxfId="120" priority="28" operator="equal">
      <formula>50</formula>
    </cfRule>
  </conditionalFormatting>
  <conditionalFormatting sqref="Q42:Q48 Q50:Q52">
    <cfRule type="cellIs" dxfId="119" priority="27" operator="equal">
      <formula>50</formula>
    </cfRule>
  </conditionalFormatting>
  <conditionalFormatting sqref="G13 I13 K13 M13 O13 Q13 S13 U13 U26 S26 Q26 O26 M26 K26 I26 G26 G39 G52 I52 K52 M52 O52 Q52 I39 K39 M39 O39 Q39 S39 U39">
    <cfRule type="expression" dxfId="118" priority="25">
      <formula>F13=""</formula>
    </cfRule>
  </conditionalFormatting>
  <conditionalFormatting sqref="Q41">
    <cfRule type="cellIs" dxfId="117" priority="24" operator="equal">
      <formula>50</formula>
    </cfRule>
  </conditionalFormatting>
  <conditionalFormatting sqref="G41">
    <cfRule type="cellIs" dxfId="116" priority="22" operator="equal">
      <formula>50</formula>
    </cfRule>
  </conditionalFormatting>
  <conditionalFormatting sqref="I41">
    <cfRule type="cellIs" dxfId="115" priority="21" operator="equal">
      <formula>50</formula>
    </cfRule>
  </conditionalFormatting>
  <conditionalFormatting sqref="K41">
    <cfRule type="cellIs" dxfId="114" priority="20" operator="equal">
      <formula>50</formula>
    </cfRule>
  </conditionalFormatting>
  <conditionalFormatting sqref="M41">
    <cfRule type="cellIs" dxfId="113" priority="19" operator="equal">
      <formula>50</formula>
    </cfRule>
  </conditionalFormatting>
  <conditionalFormatting sqref="O41">
    <cfRule type="cellIs" dxfId="112" priority="18" operator="equal">
      <formula>50</formula>
    </cfRule>
  </conditionalFormatting>
  <conditionalFormatting sqref="Q41">
    <cfRule type="cellIs" dxfId="111" priority="17" operator="equal">
      <formula>50</formula>
    </cfRule>
  </conditionalFormatting>
  <conditionalFormatting sqref="J49">
    <cfRule type="cellIs" dxfId="110" priority="16" operator="equal">
      <formula>50</formula>
    </cfRule>
  </conditionalFormatting>
  <conditionalFormatting sqref="Q23">
    <cfRule type="cellIs" dxfId="109" priority="15" operator="equal">
      <formula>50</formula>
    </cfRule>
  </conditionalFormatting>
  <conditionalFormatting sqref="Q49">
    <cfRule type="cellIs" dxfId="108" priority="14" operator="equal">
      <formula>50</formula>
    </cfRule>
  </conditionalFormatting>
  <conditionalFormatting sqref="M51">
    <cfRule type="cellIs" dxfId="107" priority="13" operator="equal">
      <formula>50</formula>
    </cfRule>
  </conditionalFormatting>
  <conditionalFormatting sqref="K49">
    <cfRule type="cellIs" dxfId="106" priority="12" operator="equal">
      <formula>50</formula>
    </cfRule>
  </conditionalFormatting>
  <conditionalFormatting sqref="I49">
    <cfRule type="cellIs" dxfId="105" priority="11" operator="equal">
      <formula>50</formula>
    </cfRule>
  </conditionalFormatting>
  <conditionalFormatting sqref="I36">
    <cfRule type="cellIs" dxfId="104" priority="10" operator="equal">
      <formula>50</formula>
    </cfRule>
  </conditionalFormatting>
  <conditionalFormatting sqref="K36">
    <cfRule type="cellIs" dxfId="103" priority="9" operator="equal">
      <formula>50</formula>
    </cfRule>
  </conditionalFormatting>
  <conditionalFormatting sqref="M36">
    <cfRule type="cellIs" dxfId="102" priority="8" operator="equal">
      <formula>50</formula>
    </cfRule>
  </conditionalFormatting>
  <conditionalFormatting sqref="G23">
    <cfRule type="cellIs" dxfId="101" priority="7" operator="equal">
      <formula>50</formula>
    </cfRule>
  </conditionalFormatting>
  <conditionalFormatting sqref="L48">
    <cfRule type="cellIs" dxfId="100" priority="6" operator="equal">
      <formula>50</formula>
    </cfRule>
  </conditionalFormatting>
  <conditionalFormatting sqref="D2:D6">
    <cfRule type="expression" dxfId="99" priority="5">
      <formula>WEEKDAY(TODAY())=1</formula>
    </cfRule>
  </conditionalFormatting>
  <conditionalFormatting sqref="R52">
    <cfRule type="expression" dxfId="98" priority="4">
      <formula>S52=50</formula>
    </cfRule>
  </conditionalFormatting>
  <conditionalFormatting sqref="R52">
    <cfRule type="cellIs" dxfId="97" priority="3" operator="equal">
      <formula>50</formula>
    </cfRule>
  </conditionalFormatting>
  <conditionalFormatting sqref="T52">
    <cfRule type="expression" dxfId="96" priority="2">
      <formula>U52=50</formula>
    </cfRule>
  </conditionalFormatting>
  <conditionalFormatting sqref="T52">
    <cfRule type="cellIs" dxfId="95" priority="1" operator="equal">
      <formula>50</formula>
    </cfRule>
  </conditionalFormatting>
  <hyperlinks>
    <hyperlink ref="B34" r:id="rId1" xr:uid="{A99EB3DC-AEA4-4FD3-B6EF-A04254EAF48A}"/>
    <hyperlink ref="B51" r:id="rId2" xr:uid="{507FEA03-9883-4876-B97C-7AB5AA360628}"/>
  </hyperlinks>
  <pageMargins left="0.7" right="0.7" top="0.75" bottom="0.75" header="0.3" footer="0.3"/>
  <pageSetup orientation="portrait" r:id="rId3"/>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T42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T44 L44 R44 T31 F44 H44 J44 P44</xm:sqref>
        </x14:dataValidation>
        <x14:dataValidation type="list" allowBlank="1" showInputMessage="1" showErrorMessage="1" xr:uid="{DEE9EE9A-8274-40D7-B6B4-D8932B3F3052}">
          <x14:formula1>
            <xm:f>'Top 40'!$C$6:$G$6</xm:f>
          </x14:formula1>
          <xm:sqref>F6 H6 J6 N6 L6 T45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T46 T33 R46 F46 H46 P46</xm:sqref>
        </x14:dataValidation>
        <x14:dataValidation type="list" allowBlank="1" showInputMessage="1" showErrorMessage="1" xr:uid="{AA3603E9-EFA3-4171-9B2F-A38936412F72}">
          <x14:formula1>
            <xm:f>'Top 40'!$C$8:$G$8</xm:f>
          </x14:formula1>
          <xm:sqref>F8 H8 J8 L8 N8 T47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T48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T49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T43 L43 R43 J43 F43 H43 P43</xm:sqref>
        </x14:dataValidation>
        <x14:dataValidation type="list" allowBlank="1" showInputMessage="1" showErrorMessage="1" xr:uid="{B1321A76-6E79-4E87-8FAD-CD035CE44441}">
          <x14:formula1>
            <xm:f>ESPNField!$A$2:$A$76</xm:f>
          </x14:formula1>
          <xm:sqref>F24:F26 T37:T39 P50:P52 T24:T26 H50:H52 N37:N39 N11:N13 P11:P13 L37:L39 F11:F13 P37:P39 H11:H13 F50:F52 R24:R26 L24:L26 N24:N26 J24:J26 H24:H26 J11:J13 F37:F39 H37:H39 J37:J39 P24:P26 R37:R39 T11:T13 V37:V38 V50:V51 T50:T52 R50:R52 J50:J52 L50:L52 L11:L13 R11:R13 N50:N52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AB50"/>
  <sheetViews>
    <sheetView workbookViewId="0">
      <selection activeCell="X3" sqref="X3:Y24"/>
    </sheetView>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7" x14ac:dyDescent="0.25">
      <c r="B2" s="104"/>
      <c r="C2" s="118" t="s">
        <v>445</v>
      </c>
      <c r="D2" s="118"/>
      <c r="E2" s="106"/>
      <c r="F2" s="118" t="s">
        <v>448</v>
      </c>
      <c r="G2" s="118"/>
      <c r="H2" s="105"/>
      <c r="I2" s="118" t="s">
        <v>446</v>
      </c>
      <c r="J2" s="118"/>
      <c r="K2" s="105"/>
      <c r="L2" s="118" t="s">
        <v>447</v>
      </c>
      <c r="M2" s="118"/>
      <c r="N2" s="105"/>
      <c r="O2" s="118" t="s">
        <v>482</v>
      </c>
      <c r="P2" s="118"/>
      <c r="Q2" s="105"/>
      <c r="R2" s="118" t="s">
        <v>483</v>
      </c>
      <c r="S2" s="118"/>
      <c r="T2" s="105"/>
      <c r="U2" s="118" t="s">
        <v>484</v>
      </c>
      <c r="V2" s="118"/>
      <c r="W2" s="105"/>
      <c r="X2" s="118" t="s">
        <v>485</v>
      </c>
      <c r="Y2" s="119"/>
      <c r="Z2" s="108"/>
      <c r="AA2" s="18" t="str">
        <f>Picks30!B3</f>
        <v>Steve McFadden</v>
      </c>
    </row>
    <row r="3" spans="2:27" x14ac:dyDescent="0.25">
      <c r="B3" s="120" t="s">
        <v>452</v>
      </c>
      <c r="C3" s="123" t="s">
        <v>488</v>
      </c>
      <c r="E3" s="24"/>
      <c r="F3" s="123" t="s">
        <v>488</v>
      </c>
      <c r="H3" s="26"/>
      <c r="I3" t="s">
        <v>289</v>
      </c>
      <c r="J3">
        <v>-5</v>
      </c>
      <c r="K3" s="26"/>
      <c r="L3" s="18" t="s">
        <v>19</v>
      </c>
      <c r="M3">
        <v>-15</v>
      </c>
      <c r="N3" s="26"/>
      <c r="O3" t="s">
        <v>3</v>
      </c>
      <c r="P3">
        <v>-22</v>
      </c>
      <c r="Q3" s="26"/>
      <c r="R3" t="s">
        <v>3</v>
      </c>
      <c r="S3">
        <v>-24</v>
      </c>
      <c r="T3" s="26"/>
      <c r="U3" t="s">
        <v>22</v>
      </c>
      <c r="V3">
        <v>-27</v>
      </c>
      <c r="W3" s="26"/>
      <c r="X3" t="s">
        <v>22</v>
      </c>
      <c r="Y3">
        <v>-34</v>
      </c>
      <c r="Z3" s="26"/>
      <c r="AA3" s="18" t="str">
        <f>Picks30!B4</f>
        <v>Mark Brenman</v>
      </c>
    </row>
    <row r="4" spans="2:27" x14ac:dyDescent="0.25">
      <c r="B4" s="121"/>
      <c r="C4" s="18"/>
      <c r="E4" s="26"/>
      <c r="H4" s="26"/>
      <c r="I4" s="18" t="s">
        <v>19</v>
      </c>
      <c r="J4">
        <v>-5</v>
      </c>
      <c r="K4" s="26"/>
      <c r="L4" t="s">
        <v>2</v>
      </c>
      <c r="M4">
        <v>-14</v>
      </c>
      <c r="N4" s="26"/>
      <c r="O4" s="18" t="s">
        <v>22</v>
      </c>
      <c r="P4">
        <v>-22</v>
      </c>
      <c r="Q4" s="26"/>
      <c r="R4" t="s">
        <v>355</v>
      </c>
      <c r="S4">
        <v>-24</v>
      </c>
      <c r="T4" s="26"/>
      <c r="U4" t="s">
        <v>18</v>
      </c>
      <c r="V4">
        <v>-27</v>
      </c>
      <c r="W4" s="26"/>
      <c r="X4" t="s">
        <v>18</v>
      </c>
      <c r="Y4">
        <v>-34</v>
      </c>
      <c r="Z4" s="26"/>
      <c r="AA4" s="18" t="str">
        <f>Picks30!B5</f>
        <v>Dean Nardone</v>
      </c>
    </row>
    <row r="5" spans="2:27" x14ac:dyDescent="0.25">
      <c r="B5" s="121"/>
      <c r="C5" s="18"/>
      <c r="E5" s="26"/>
      <c r="H5" s="26"/>
      <c r="I5" t="s">
        <v>21</v>
      </c>
      <c r="J5">
        <v>-5</v>
      </c>
      <c r="K5" s="26"/>
      <c r="L5" t="s">
        <v>289</v>
      </c>
      <c r="M5">
        <v>-14</v>
      </c>
      <c r="N5" s="26"/>
      <c r="O5" t="s">
        <v>18</v>
      </c>
      <c r="P5">
        <v>-22</v>
      </c>
      <c r="Q5" s="26"/>
      <c r="R5" s="18" t="s">
        <v>22</v>
      </c>
      <c r="S5">
        <v>-23</v>
      </c>
      <c r="T5" s="26"/>
      <c r="U5" t="s">
        <v>3</v>
      </c>
      <c r="V5">
        <v>-26</v>
      </c>
      <c r="W5" s="26"/>
      <c r="X5" t="s">
        <v>3</v>
      </c>
      <c r="Y5">
        <v>-32</v>
      </c>
      <c r="Z5" s="26"/>
      <c r="AA5" s="18" t="str">
        <f>Picks30!B6</f>
        <v>Charlie Adams</v>
      </c>
    </row>
    <row r="6" spans="2:27" x14ac:dyDescent="0.25">
      <c r="B6" s="121"/>
      <c r="C6" s="18"/>
      <c r="E6" s="26"/>
      <c r="H6" s="26"/>
      <c r="I6" t="s">
        <v>2</v>
      </c>
      <c r="J6">
        <v>-4</v>
      </c>
      <c r="K6" s="26"/>
      <c r="L6" t="s">
        <v>6</v>
      </c>
      <c r="M6">
        <v>-14</v>
      </c>
      <c r="N6" s="26"/>
      <c r="O6" t="s">
        <v>6</v>
      </c>
      <c r="P6">
        <v>-21</v>
      </c>
      <c r="Q6" s="26"/>
      <c r="R6" t="s">
        <v>18</v>
      </c>
      <c r="S6">
        <v>-23</v>
      </c>
      <c r="T6" s="26"/>
      <c r="U6" s="18" t="s">
        <v>8</v>
      </c>
      <c r="V6">
        <v>-26</v>
      </c>
      <c r="W6" s="26"/>
      <c r="X6" t="s">
        <v>8</v>
      </c>
      <c r="Y6">
        <v>-32</v>
      </c>
      <c r="Z6" s="26"/>
      <c r="AA6" s="18" t="str">
        <f>Picks30!B7</f>
        <v>Bill Seeger</v>
      </c>
    </row>
    <row r="7" spans="2:27" x14ac:dyDescent="0.25">
      <c r="B7" s="121"/>
      <c r="C7" s="18"/>
      <c r="E7" s="26"/>
      <c r="H7" s="26"/>
      <c r="I7" t="s">
        <v>6</v>
      </c>
      <c r="J7">
        <v>-4</v>
      </c>
      <c r="K7" s="26"/>
      <c r="L7" t="s">
        <v>13</v>
      </c>
      <c r="M7">
        <v>-14</v>
      </c>
      <c r="N7" s="26"/>
      <c r="O7" t="s">
        <v>16</v>
      </c>
      <c r="P7">
        <v>-21</v>
      </c>
      <c r="Q7" s="26"/>
      <c r="R7" t="s">
        <v>289</v>
      </c>
      <c r="S7">
        <v>-22</v>
      </c>
      <c r="T7" s="26"/>
      <c r="U7" t="s">
        <v>6</v>
      </c>
      <c r="V7">
        <v>-26</v>
      </c>
      <c r="W7" s="26"/>
      <c r="X7" s="18" t="s">
        <v>6</v>
      </c>
      <c r="Y7">
        <v>-32</v>
      </c>
      <c r="Z7" s="26"/>
      <c r="AA7" s="18" t="str">
        <f>Picks30!B8</f>
        <v>Chris Callahan</v>
      </c>
    </row>
    <row r="8" spans="2:27" x14ac:dyDescent="0.25">
      <c r="B8" s="121"/>
      <c r="C8" s="18"/>
      <c r="E8" s="26"/>
      <c r="H8" s="26"/>
      <c r="I8" t="s">
        <v>13</v>
      </c>
      <c r="J8">
        <v>-4</v>
      </c>
      <c r="K8" s="26"/>
      <c r="L8" t="s">
        <v>21</v>
      </c>
      <c r="M8">
        <v>-14</v>
      </c>
      <c r="N8" s="26"/>
      <c r="O8" t="s">
        <v>19</v>
      </c>
      <c r="P8">
        <v>-21</v>
      </c>
      <c r="Q8" s="26"/>
      <c r="R8" t="s">
        <v>4</v>
      </c>
      <c r="S8">
        <v>-22</v>
      </c>
      <c r="T8" s="26"/>
      <c r="U8" t="s">
        <v>16</v>
      </c>
      <c r="V8">
        <v>-26</v>
      </c>
      <c r="W8" s="26"/>
      <c r="X8" t="s">
        <v>16</v>
      </c>
      <c r="Y8">
        <v>-32</v>
      </c>
      <c r="Z8" s="26"/>
    </row>
    <row r="9" spans="2:27" x14ac:dyDescent="0.25">
      <c r="B9" s="121"/>
      <c r="C9" s="18"/>
      <c r="E9" s="26"/>
      <c r="H9" s="26"/>
      <c r="I9" t="s">
        <v>7</v>
      </c>
      <c r="J9">
        <v>-4</v>
      </c>
      <c r="K9" s="26"/>
      <c r="L9" t="s">
        <v>3</v>
      </c>
      <c r="M9">
        <v>-13</v>
      </c>
      <c r="N9" s="26"/>
      <c r="O9" t="s">
        <v>21</v>
      </c>
      <c r="P9">
        <v>-21</v>
      </c>
      <c r="Q9" s="26"/>
      <c r="R9" t="s">
        <v>2</v>
      </c>
      <c r="S9">
        <v>-21</v>
      </c>
      <c r="T9" s="26"/>
      <c r="U9" t="s">
        <v>11</v>
      </c>
      <c r="V9">
        <v>-26</v>
      </c>
      <c r="W9" s="26"/>
      <c r="X9" t="s">
        <v>11</v>
      </c>
      <c r="Y9">
        <v>-32</v>
      </c>
      <c r="Z9" s="26"/>
    </row>
    <row r="10" spans="2:27" x14ac:dyDescent="0.25">
      <c r="B10" s="121"/>
      <c r="C10" s="18"/>
      <c r="E10" s="26"/>
      <c r="H10" s="26"/>
      <c r="I10" t="s">
        <v>20</v>
      </c>
      <c r="J10">
        <v>-3</v>
      </c>
      <c r="K10" s="26"/>
      <c r="L10" t="s">
        <v>4</v>
      </c>
      <c r="M10">
        <v>-12</v>
      </c>
      <c r="N10" s="26"/>
      <c r="O10" t="s">
        <v>2</v>
      </c>
      <c r="P10">
        <v>-20</v>
      </c>
      <c r="Q10" s="26"/>
      <c r="R10" t="s">
        <v>15</v>
      </c>
      <c r="S10">
        <v>-21</v>
      </c>
      <c r="T10" s="26"/>
      <c r="U10" t="s">
        <v>17</v>
      </c>
      <c r="V10">
        <v>-25</v>
      </c>
      <c r="W10" s="26"/>
      <c r="X10" t="s">
        <v>17</v>
      </c>
      <c r="Y10">
        <v>-31</v>
      </c>
      <c r="Z10" s="26"/>
    </row>
    <row r="11" spans="2:27" x14ac:dyDescent="0.25">
      <c r="B11" s="121"/>
      <c r="E11" s="26"/>
      <c r="H11" s="26"/>
      <c r="I11" t="s">
        <v>3</v>
      </c>
      <c r="J11">
        <v>-2</v>
      </c>
      <c r="K11" s="26"/>
      <c r="L11" t="s">
        <v>16</v>
      </c>
      <c r="M11">
        <v>-12</v>
      </c>
      <c r="N11" s="26"/>
      <c r="O11" t="s">
        <v>289</v>
      </c>
      <c r="P11">
        <v>-20</v>
      </c>
      <c r="Q11" s="26"/>
      <c r="R11" t="s">
        <v>16</v>
      </c>
      <c r="S11">
        <v>-21</v>
      </c>
      <c r="T11" s="26"/>
      <c r="U11" t="s">
        <v>21</v>
      </c>
      <c r="V11">
        <v>-25</v>
      </c>
      <c r="W11" s="26"/>
      <c r="X11" t="s">
        <v>403</v>
      </c>
      <c r="Y11">
        <v>-31</v>
      </c>
      <c r="Z11" s="26"/>
    </row>
    <row r="12" spans="2:27" x14ac:dyDescent="0.25">
      <c r="B12" s="121"/>
      <c r="E12" s="26"/>
      <c r="H12" s="26"/>
      <c r="I12" t="s">
        <v>8</v>
      </c>
      <c r="J12">
        <v>-2</v>
      </c>
      <c r="K12" s="26"/>
      <c r="L12" t="s">
        <v>15</v>
      </c>
      <c r="M12">
        <v>-11</v>
      </c>
      <c r="N12" s="26"/>
      <c r="O12" t="s">
        <v>4</v>
      </c>
      <c r="P12">
        <v>-20</v>
      </c>
      <c r="Q12" s="26"/>
      <c r="R12" t="s">
        <v>21</v>
      </c>
      <c r="S12">
        <v>-21</v>
      </c>
      <c r="T12" s="26"/>
      <c r="U12" t="s">
        <v>2</v>
      </c>
      <c r="V12">
        <v>-24</v>
      </c>
      <c r="W12" s="26"/>
      <c r="X12" t="s">
        <v>21</v>
      </c>
      <c r="Y12">
        <v>-30</v>
      </c>
      <c r="Z12" s="26"/>
    </row>
    <row r="13" spans="2:27" x14ac:dyDescent="0.25">
      <c r="B13" s="121"/>
      <c r="E13" s="26"/>
      <c r="H13" s="26"/>
      <c r="I13" t="s">
        <v>4</v>
      </c>
      <c r="J13">
        <v>-2</v>
      </c>
      <c r="K13" s="26"/>
      <c r="L13" t="s">
        <v>355</v>
      </c>
      <c r="M13">
        <v>-11</v>
      </c>
      <c r="N13" s="26"/>
      <c r="O13" t="s">
        <v>11</v>
      </c>
      <c r="P13">
        <v>-20</v>
      </c>
      <c r="Q13" s="26"/>
      <c r="R13" t="s">
        <v>8</v>
      </c>
      <c r="S13">
        <v>-20</v>
      </c>
      <c r="T13" s="26"/>
      <c r="U13" t="s">
        <v>15</v>
      </c>
      <c r="V13">
        <v>-24</v>
      </c>
      <c r="W13" s="26"/>
      <c r="X13" t="s">
        <v>2</v>
      </c>
      <c r="Y13">
        <v>-29</v>
      </c>
      <c r="Z13" s="26"/>
    </row>
    <row r="14" spans="2:27" x14ac:dyDescent="0.25">
      <c r="B14" s="121"/>
      <c r="E14" s="26"/>
      <c r="H14" s="26"/>
      <c r="I14" t="s">
        <v>16</v>
      </c>
      <c r="J14">
        <v>-2</v>
      </c>
      <c r="K14" s="26"/>
      <c r="L14" t="s">
        <v>22</v>
      </c>
      <c r="M14">
        <v>-11</v>
      </c>
      <c r="N14" s="26"/>
      <c r="O14" t="s">
        <v>403</v>
      </c>
      <c r="P14">
        <v>-20</v>
      </c>
      <c r="Q14" s="26"/>
      <c r="R14" t="s">
        <v>12</v>
      </c>
      <c r="S14">
        <v>-20</v>
      </c>
      <c r="T14" s="26"/>
      <c r="U14" t="s">
        <v>355</v>
      </c>
      <c r="V14">
        <v>-24</v>
      </c>
      <c r="W14" s="26"/>
      <c r="X14" t="s">
        <v>15</v>
      </c>
      <c r="Y14">
        <v>-29</v>
      </c>
      <c r="Z14" s="26"/>
    </row>
    <row r="15" spans="2:27" x14ac:dyDescent="0.25">
      <c r="B15" s="121"/>
      <c r="E15" s="26"/>
      <c r="H15" s="26"/>
      <c r="I15" t="s">
        <v>12</v>
      </c>
      <c r="J15">
        <v>-1</v>
      </c>
      <c r="K15" s="26"/>
      <c r="L15" t="s">
        <v>18</v>
      </c>
      <c r="M15">
        <v>-11</v>
      </c>
      <c r="N15" s="26"/>
      <c r="O15" t="s">
        <v>15</v>
      </c>
      <c r="P15">
        <v>-19</v>
      </c>
      <c r="Q15" s="26"/>
      <c r="R15" t="s">
        <v>6</v>
      </c>
      <c r="S15">
        <v>-20</v>
      </c>
      <c r="T15" s="26"/>
      <c r="U15" t="s">
        <v>4</v>
      </c>
      <c r="V15">
        <v>-24</v>
      </c>
      <c r="W15" s="26"/>
      <c r="X15" t="s">
        <v>4</v>
      </c>
      <c r="Y15">
        <v>-29</v>
      </c>
      <c r="Z15" s="26"/>
    </row>
    <row r="16" spans="2:27" x14ac:dyDescent="0.25">
      <c r="B16" s="121"/>
      <c r="E16" s="26"/>
      <c r="H16" s="26"/>
      <c r="I16" t="s">
        <v>15</v>
      </c>
      <c r="J16">
        <v>-1</v>
      </c>
      <c r="K16" s="26"/>
      <c r="L16" t="s">
        <v>7</v>
      </c>
      <c r="M16">
        <v>-11</v>
      </c>
      <c r="N16" s="26"/>
      <c r="O16" t="s">
        <v>17</v>
      </c>
      <c r="P16">
        <v>-19</v>
      </c>
      <c r="Q16" s="26"/>
      <c r="R16" t="s">
        <v>11</v>
      </c>
      <c r="S16">
        <v>-20</v>
      </c>
      <c r="T16" s="26"/>
      <c r="U16" t="s">
        <v>403</v>
      </c>
      <c r="V16">
        <v>-24</v>
      </c>
      <c r="W16" s="26"/>
      <c r="X16" t="s">
        <v>355</v>
      </c>
      <c r="Y16">
        <v>-28</v>
      </c>
      <c r="Z16" s="26"/>
    </row>
    <row r="17" spans="2:28" x14ac:dyDescent="0.25">
      <c r="B17" s="121"/>
      <c r="E17" s="26"/>
      <c r="H17" s="26"/>
      <c r="I17" t="s">
        <v>17</v>
      </c>
      <c r="J17">
        <v>-1</v>
      </c>
      <c r="K17" s="26"/>
      <c r="L17" t="s">
        <v>11</v>
      </c>
      <c r="M17">
        <v>-11</v>
      </c>
      <c r="N17" s="26"/>
      <c r="O17" t="s">
        <v>355</v>
      </c>
      <c r="P17">
        <v>-19</v>
      </c>
      <c r="Q17" s="26"/>
      <c r="R17" t="s">
        <v>403</v>
      </c>
      <c r="S17">
        <v>-20</v>
      </c>
      <c r="T17" s="26"/>
      <c r="U17" t="s">
        <v>289</v>
      </c>
      <c r="V17">
        <v>-23</v>
      </c>
      <c r="W17" s="26"/>
      <c r="X17" t="s">
        <v>289</v>
      </c>
      <c r="Y17">
        <v>-27</v>
      </c>
      <c r="Z17" s="26"/>
    </row>
    <row r="18" spans="2:28" x14ac:dyDescent="0.25">
      <c r="B18" s="121"/>
      <c r="E18" s="26"/>
      <c r="H18" s="26"/>
      <c r="I18" t="s">
        <v>14</v>
      </c>
      <c r="J18">
        <v>-1</v>
      </c>
      <c r="K18" s="26"/>
      <c r="L18" t="s">
        <v>8</v>
      </c>
      <c r="M18">
        <v>-10</v>
      </c>
      <c r="N18" s="26"/>
      <c r="O18" t="s">
        <v>8</v>
      </c>
      <c r="P18">
        <v>-18</v>
      </c>
      <c r="Q18" s="26"/>
      <c r="R18" t="s">
        <v>5</v>
      </c>
      <c r="S18">
        <v>-19</v>
      </c>
      <c r="T18" s="26"/>
      <c r="U18" t="s">
        <v>19</v>
      </c>
      <c r="V18">
        <v>-23</v>
      </c>
      <c r="W18" s="26"/>
      <c r="X18" t="s">
        <v>19</v>
      </c>
      <c r="Y18">
        <v>-27</v>
      </c>
      <c r="Z18" s="26"/>
    </row>
    <row r="19" spans="2:28" x14ac:dyDescent="0.25">
      <c r="B19" s="121"/>
      <c r="E19" s="26"/>
      <c r="H19" s="26"/>
      <c r="I19" t="s">
        <v>355</v>
      </c>
      <c r="J19">
        <v>-1</v>
      </c>
      <c r="K19" s="26"/>
      <c r="L19" t="s">
        <v>12</v>
      </c>
      <c r="M19">
        <v>-10</v>
      </c>
      <c r="N19" s="26"/>
      <c r="O19" t="s">
        <v>12</v>
      </c>
      <c r="P19">
        <v>-17</v>
      </c>
      <c r="Q19" s="26"/>
      <c r="R19" t="s">
        <v>17</v>
      </c>
      <c r="S19">
        <v>-19</v>
      </c>
      <c r="T19" s="26"/>
      <c r="U19" t="s">
        <v>5</v>
      </c>
      <c r="V19">
        <v>-22</v>
      </c>
      <c r="W19" s="26"/>
      <c r="X19" t="s">
        <v>5</v>
      </c>
      <c r="Y19">
        <v>-26</v>
      </c>
      <c r="Z19" s="26"/>
    </row>
    <row r="20" spans="2:28" x14ac:dyDescent="0.25">
      <c r="B20" s="121"/>
      <c r="E20" s="26"/>
      <c r="H20" s="26"/>
      <c r="I20" t="s">
        <v>11</v>
      </c>
      <c r="J20">
        <v>-1</v>
      </c>
      <c r="K20" s="26"/>
      <c r="L20" t="s">
        <v>14</v>
      </c>
      <c r="M20">
        <v>-9</v>
      </c>
      <c r="N20" s="26"/>
      <c r="O20" t="s">
        <v>14</v>
      </c>
      <c r="P20">
        <v>-17</v>
      </c>
      <c r="Q20" s="26"/>
      <c r="R20" t="s">
        <v>19</v>
      </c>
      <c r="S20">
        <v>-19</v>
      </c>
      <c r="T20" s="26"/>
      <c r="U20" t="s">
        <v>12</v>
      </c>
      <c r="V20">
        <v>-22</v>
      </c>
      <c r="W20" s="26"/>
      <c r="X20" t="s">
        <v>12</v>
      </c>
      <c r="Y20">
        <v>-26</v>
      </c>
      <c r="Z20" s="26"/>
    </row>
    <row r="21" spans="2:28" x14ac:dyDescent="0.25">
      <c r="B21" s="121"/>
      <c r="E21" s="26"/>
      <c r="H21" s="26"/>
      <c r="I21" t="s">
        <v>5</v>
      </c>
      <c r="J21">
        <v>0</v>
      </c>
      <c r="K21" s="26"/>
      <c r="L21" t="s">
        <v>5</v>
      </c>
      <c r="M21">
        <v>-8</v>
      </c>
      <c r="N21" s="26"/>
      <c r="O21" t="s">
        <v>13</v>
      </c>
      <c r="P21">
        <v>-17</v>
      </c>
      <c r="Q21" s="26"/>
      <c r="R21" t="s">
        <v>7</v>
      </c>
      <c r="S21">
        <v>-17</v>
      </c>
      <c r="T21" s="26"/>
      <c r="U21" t="s">
        <v>14</v>
      </c>
      <c r="V21">
        <v>-21</v>
      </c>
      <c r="W21" s="26"/>
      <c r="X21" t="s">
        <v>20</v>
      </c>
      <c r="Y21">
        <v>-26</v>
      </c>
      <c r="Z21" s="26"/>
    </row>
    <row r="22" spans="2:28" x14ac:dyDescent="0.25">
      <c r="B22" s="121"/>
      <c r="E22" s="26"/>
      <c r="H22" s="26"/>
      <c r="I22" t="s">
        <v>22</v>
      </c>
      <c r="J22">
        <v>0</v>
      </c>
      <c r="K22" s="26"/>
      <c r="L22" t="s">
        <v>17</v>
      </c>
      <c r="M22">
        <v>-8</v>
      </c>
      <c r="N22" s="26"/>
      <c r="O22" t="s">
        <v>7</v>
      </c>
      <c r="P22">
        <v>-17</v>
      </c>
      <c r="Q22" s="26"/>
      <c r="R22" t="s">
        <v>14</v>
      </c>
      <c r="S22">
        <v>-16</v>
      </c>
      <c r="T22" s="26"/>
      <c r="U22" t="s">
        <v>20</v>
      </c>
      <c r="V22">
        <v>-21</v>
      </c>
      <c r="W22" s="26"/>
      <c r="X22" t="s">
        <v>7</v>
      </c>
      <c r="Y22">
        <v>-25</v>
      </c>
      <c r="Z22" s="26"/>
    </row>
    <row r="23" spans="2:28" x14ac:dyDescent="0.25">
      <c r="B23" s="121"/>
      <c r="E23" s="26"/>
      <c r="H23" s="26"/>
      <c r="I23" t="s">
        <v>18</v>
      </c>
      <c r="J23">
        <v>0</v>
      </c>
      <c r="K23" s="26"/>
      <c r="L23" t="s">
        <v>20</v>
      </c>
      <c r="M23">
        <v>-7</v>
      </c>
      <c r="N23" s="26"/>
      <c r="O23" t="s">
        <v>5</v>
      </c>
      <c r="P23">
        <v>-16</v>
      </c>
      <c r="Q23" s="26"/>
      <c r="R23" t="s">
        <v>13</v>
      </c>
      <c r="S23">
        <v>-16</v>
      </c>
      <c r="T23" s="26"/>
      <c r="U23" t="s">
        <v>7</v>
      </c>
      <c r="V23">
        <v>-21</v>
      </c>
      <c r="W23" s="26"/>
      <c r="X23" t="s">
        <v>14</v>
      </c>
      <c r="Y23">
        <v>-24</v>
      </c>
      <c r="Z23" s="26"/>
    </row>
    <row r="24" spans="2:28" x14ac:dyDescent="0.25">
      <c r="B24" s="122"/>
      <c r="C24" s="21"/>
      <c r="D24" s="21"/>
      <c r="E24" s="103"/>
      <c r="F24" s="21"/>
      <c r="G24" s="21"/>
      <c r="H24" s="103"/>
      <c r="I24" s="21" t="s">
        <v>403</v>
      </c>
      <c r="J24" s="21">
        <v>0</v>
      </c>
      <c r="K24" s="103"/>
      <c r="L24" s="21" t="s">
        <v>403</v>
      </c>
      <c r="M24" s="21">
        <v>-6</v>
      </c>
      <c r="N24" s="103"/>
      <c r="O24" s="21" t="s">
        <v>20</v>
      </c>
      <c r="P24" s="21">
        <v>-16</v>
      </c>
      <c r="Q24" s="103"/>
      <c r="R24" s="21" t="s">
        <v>20</v>
      </c>
      <c r="S24" s="21">
        <v>-15</v>
      </c>
      <c r="T24" s="103"/>
      <c r="U24" s="21" t="s">
        <v>13</v>
      </c>
      <c r="V24" s="21">
        <v>-19</v>
      </c>
      <c r="W24" s="103"/>
      <c r="X24" s="21" t="s">
        <v>13</v>
      </c>
      <c r="Y24" s="21">
        <v>-22</v>
      </c>
      <c r="Z24" s="103"/>
    </row>
    <row r="26" spans="2:28" x14ac:dyDescent="0.25">
      <c r="AB26" s="18"/>
    </row>
    <row r="50" spans="28:28" x14ac:dyDescent="0.25">
      <c r="AB50" s="18"/>
    </row>
  </sheetData>
  <mergeCells count="9">
    <mergeCell ref="O2:P2"/>
    <mergeCell ref="R2:S2"/>
    <mergeCell ref="U2:V2"/>
    <mergeCell ref="X2:Y2"/>
    <mergeCell ref="B3:B24"/>
    <mergeCell ref="C2:D2"/>
    <mergeCell ref="F2:G2"/>
    <mergeCell ref="I2:J2"/>
    <mergeCell ref="L2:M2"/>
  </mergeCells>
  <conditionalFormatting sqref="C3:Z24">
    <cfRule type="cellIs" dxfId="82" priority="1" operator="equal">
      <formula>$AA$2</formula>
    </cfRule>
    <cfRule type="cellIs" dxfId="81" priority="2" operator="equal">
      <formula>$AA$3</formula>
    </cfRule>
    <cfRule type="cellIs" dxfId="80" priority="3" operator="equal">
      <formula>$AA$4</formula>
    </cfRule>
    <cfRule type="cellIs" dxfId="79" priority="4" operator="equal">
      <formula>$AA$5</formula>
    </cfRule>
    <cfRule type="cellIs" dxfId="78" priority="5" operator="equal">
      <formula>$AA$6</formula>
    </cfRule>
    <cfRule type="cellIs" dxfId="77" priority="6" operator="equal">
      <formula>$AA$7</formula>
    </cfRule>
  </conditionalFormatting>
  <pageMargins left="0.7" right="0.7" top="0.75" bottom="0.75" header="0.3" footer="0.3"/>
  <webPublishItems count="1">
    <webPublishItem id="5577" divId="JoeMagneticoMicro_5577" sourceType="range" sourceRef="B2:Z24" destinationFile="C:\pga\html\LeadChanges.htm"/>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AB66"/>
  <sheetViews>
    <sheetView workbookViewId="0">
      <selection activeCell="P12" sqref="P12"/>
    </sheetView>
  </sheetViews>
  <sheetFormatPr defaultRowHeight="13.2" x14ac:dyDescent="0.25"/>
  <cols>
    <col min="1" max="1" width="2.6640625" customWidth="1"/>
    <col min="2" max="2" width="3.88671875" customWidth="1"/>
    <col min="3" max="3" width="15.44140625" customWidth="1"/>
    <col min="4" max="4" width="3.88671875" customWidth="1"/>
    <col min="5" max="5" width="2.109375" customWidth="1"/>
    <col min="6" max="6" width="15.44140625" customWidth="1"/>
    <col min="7" max="7" width="4.109375" customWidth="1"/>
    <col min="8" max="8" width="2.33203125" customWidth="1"/>
    <col min="9" max="9" width="15.6640625" customWidth="1"/>
    <col min="10" max="10" width="5.33203125" customWidth="1"/>
    <col min="11" max="11" width="2.6640625" customWidth="1"/>
    <col min="12" max="12" width="15.44140625" customWidth="1"/>
    <col min="13" max="13" width="4.109375" customWidth="1"/>
    <col min="14" max="14" width="2.5546875" customWidth="1"/>
    <col min="15" max="15" width="15.44140625" customWidth="1"/>
    <col min="16" max="16" width="4.6640625" customWidth="1"/>
    <col min="17" max="17" width="2.109375" customWidth="1"/>
    <col min="18" max="18" width="15.21875" customWidth="1"/>
    <col min="19" max="19" width="4.33203125" customWidth="1"/>
    <col min="20" max="20" width="2.33203125" customWidth="1"/>
    <col min="21" max="21" width="15.44140625" customWidth="1"/>
    <col min="22" max="22" width="5.33203125" customWidth="1"/>
    <col min="23" max="23" width="2.88671875" customWidth="1"/>
    <col min="24" max="24" width="15.33203125" customWidth="1"/>
    <col min="25" max="25" width="5.33203125" customWidth="1"/>
    <col min="26" max="26" width="2.88671875" customWidth="1"/>
    <col min="27" max="27" width="15.21875" bestFit="1" customWidth="1"/>
    <col min="28" max="28" width="7.109375" customWidth="1"/>
  </cols>
  <sheetData>
    <row r="2" spans="2:27" x14ac:dyDescent="0.25">
      <c r="B2" s="104"/>
      <c r="C2" s="118" t="s">
        <v>445</v>
      </c>
      <c r="D2" s="118"/>
      <c r="E2" s="106"/>
      <c r="F2" s="118" t="s">
        <v>448</v>
      </c>
      <c r="G2" s="118"/>
      <c r="H2" s="105"/>
      <c r="I2" s="118" t="s">
        <v>446</v>
      </c>
      <c r="J2" s="118"/>
      <c r="K2" s="105"/>
      <c r="L2" s="118" t="s">
        <v>447</v>
      </c>
      <c r="M2" s="118"/>
      <c r="N2" s="105"/>
      <c r="O2" s="118" t="s">
        <v>482</v>
      </c>
      <c r="P2" s="118"/>
      <c r="Q2" s="105"/>
      <c r="R2" s="118" t="s">
        <v>483</v>
      </c>
      <c r="S2" s="118"/>
      <c r="T2" s="105"/>
      <c r="U2" s="118" t="s">
        <v>484</v>
      </c>
      <c r="V2" s="118"/>
      <c r="W2" s="105"/>
      <c r="X2" s="118" t="s">
        <v>485</v>
      </c>
      <c r="Y2" s="119"/>
      <c r="Z2" s="108"/>
      <c r="AA2" s="18" t="str">
        <f>Micro30!$B3</f>
        <v>Horvath</v>
      </c>
    </row>
    <row r="3" spans="2:27" x14ac:dyDescent="0.25">
      <c r="B3" s="120" t="s">
        <v>452</v>
      </c>
      <c r="C3" s="124" t="s">
        <v>488</v>
      </c>
      <c r="D3" s="3"/>
      <c r="E3" s="125"/>
      <c r="F3" s="124" t="s">
        <v>488</v>
      </c>
      <c r="H3" s="26"/>
      <c r="I3" t="s">
        <v>290</v>
      </c>
      <c r="J3">
        <v>-5</v>
      </c>
      <c r="K3" s="26"/>
      <c r="L3" s="18" t="s">
        <v>291</v>
      </c>
      <c r="M3">
        <v>-16</v>
      </c>
      <c r="N3" s="26"/>
      <c r="O3" t="s">
        <v>306</v>
      </c>
      <c r="P3">
        <v>-23</v>
      </c>
      <c r="Q3" s="26"/>
      <c r="R3" t="s">
        <v>297</v>
      </c>
      <c r="S3">
        <v>-23</v>
      </c>
      <c r="T3" s="26"/>
      <c r="U3" t="s">
        <v>297</v>
      </c>
      <c r="V3">
        <v>-27</v>
      </c>
      <c r="W3" s="26"/>
      <c r="X3" t="s">
        <v>297</v>
      </c>
      <c r="Y3">
        <v>-34</v>
      </c>
      <c r="Z3" s="26"/>
      <c r="AA3" s="18" t="str">
        <f>Micro30!$B4</f>
        <v>Allen</v>
      </c>
    </row>
    <row r="4" spans="2:27" x14ac:dyDescent="0.25">
      <c r="B4" s="121"/>
      <c r="C4" s="18"/>
      <c r="E4" s="26"/>
      <c r="H4" s="26"/>
      <c r="I4" s="18" t="s">
        <v>295</v>
      </c>
      <c r="J4">
        <v>-5</v>
      </c>
      <c r="K4" s="26"/>
      <c r="L4" t="s">
        <v>295</v>
      </c>
      <c r="M4">
        <v>-16</v>
      </c>
      <c r="N4" s="26"/>
      <c r="O4" s="18" t="s">
        <v>297</v>
      </c>
      <c r="P4">
        <v>-22</v>
      </c>
      <c r="Q4" s="26"/>
      <c r="R4" t="s">
        <v>300</v>
      </c>
      <c r="S4">
        <v>-23</v>
      </c>
      <c r="T4" s="26"/>
      <c r="U4" t="s">
        <v>294</v>
      </c>
      <c r="V4">
        <v>-26</v>
      </c>
      <c r="W4" s="26"/>
      <c r="X4" t="s">
        <v>294</v>
      </c>
      <c r="Y4">
        <v>-32</v>
      </c>
      <c r="Z4" s="26"/>
      <c r="AA4" s="18" t="str">
        <f>Micro30!$B5</f>
        <v>Fish</v>
      </c>
    </row>
    <row r="5" spans="2:27" x14ac:dyDescent="0.25">
      <c r="B5" s="121"/>
      <c r="C5" s="18"/>
      <c r="E5" s="26"/>
      <c r="H5" s="26"/>
      <c r="I5" t="s">
        <v>301</v>
      </c>
      <c r="J5">
        <v>-5</v>
      </c>
      <c r="K5" s="26"/>
      <c r="L5" t="s">
        <v>290</v>
      </c>
      <c r="M5">
        <v>-14</v>
      </c>
      <c r="N5" s="26"/>
      <c r="O5" t="s">
        <v>300</v>
      </c>
      <c r="P5">
        <v>-21</v>
      </c>
      <c r="Q5" s="26"/>
      <c r="R5" s="18" t="s">
        <v>306</v>
      </c>
      <c r="S5">
        <v>-23</v>
      </c>
      <c r="T5" s="26"/>
      <c r="U5" t="s">
        <v>303</v>
      </c>
      <c r="V5">
        <v>-26</v>
      </c>
      <c r="W5" s="26"/>
      <c r="X5" t="s">
        <v>303</v>
      </c>
      <c r="Y5">
        <v>-32</v>
      </c>
      <c r="Z5" s="26"/>
      <c r="AA5" s="18" t="str">
        <f>Micro30!$B6</f>
        <v>Hempel</v>
      </c>
    </row>
    <row r="6" spans="2:27" x14ac:dyDescent="0.25">
      <c r="B6" s="121"/>
      <c r="C6" s="18"/>
      <c r="E6" s="26"/>
      <c r="H6" s="26"/>
      <c r="I6" t="s">
        <v>315</v>
      </c>
      <c r="J6">
        <v>-5</v>
      </c>
      <c r="K6" s="26"/>
      <c r="L6" t="s">
        <v>293</v>
      </c>
      <c r="M6">
        <v>-14</v>
      </c>
      <c r="N6" s="26"/>
      <c r="O6" t="s">
        <v>310</v>
      </c>
      <c r="P6">
        <v>-21</v>
      </c>
      <c r="Q6" s="26"/>
      <c r="R6" t="s">
        <v>290</v>
      </c>
      <c r="S6">
        <v>-22</v>
      </c>
      <c r="T6" s="26"/>
      <c r="U6" s="18" t="s">
        <v>310</v>
      </c>
      <c r="V6">
        <v>-26</v>
      </c>
      <c r="W6" s="26"/>
      <c r="X6" t="s">
        <v>310</v>
      </c>
      <c r="Y6">
        <v>-32</v>
      </c>
      <c r="Z6" s="26"/>
      <c r="AA6" s="18" t="str">
        <f>Micro30!$B7</f>
        <v>Tsutsumi</v>
      </c>
    </row>
    <row r="7" spans="2:27" x14ac:dyDescent="0.25">
      <c r="B7" s="121"/>
      <c r="C7" s="18"/>
      <c r="E7" s="26"/>
      <c r="H7" s="26"/>
      <c r="I7" t="s">
        <v>291</v>
      </c>
      <c r="J7">
        <v>-4</v>
      </c>
      <c r="K7" s="26"/>
      <c r="L7" t="s">
        <v>294</v>
      </c>
      <c r="M7">
        <v>-14</v>
      </c>
      <c r="N7" s="26"/>
      <c r="O7" t="s">
        <v>290</v>
      </c>
      <c r="P7">
        <v>-20</v>
      </c>
      <c r="Q7" s="26"/>
      <c r="R7" t="s">
        <v>291</v>
      </c>
      <c r="S7">
        <v>-21</v>
      </c>
      <c r="T7" s="26"/>
      <c r="U7" t="s">
        <v>300</v>
      </c>
      <c r="V7">
        <v>-25</v>
      </c>
      <c r="W7" s="26"/>
      <c r="X7" s="18" t="s">
        <v>300</v>
      </c>
      <c r="Y7">
        <v>-31</v>
      </c>
      <c r="Z7" s="26"/>
      <c r="AA7" s="18" t="str">
        <f>Micro30!$B8</f>
        <v>Stabile</v>
      </c>
    </row>
    <row r="8" spans="2:27" x14ac:dyDescent="0.25">
      <c r="B8" s="121"/>
      <c r="C8" s="18"/>
      <c r="E8" s="26"/>
      <c r="H8" s="26"/>
      <c r="I8" t="s">
        <v>293</v>
      </c>
      <c r="J8">
        <v>-4</v>
      </c>
      <c r="K8" s="26"/>
      <c r="L8" t="s">
        <v>302</v>
      </c>
      <c r="M8">
        <v>-13</v>
      </c>
      <c r="N8" s="26"/>
      <c r="O8" t="s">
        <v>294</v>
      </c>
      <c r="P8">
        <v>-20</v>
      </c>
      <c r="Q8" s="26"/>
      <c r="R8" t="s">
        <v>293</v>
      </c>
      <c r="S8">
        <v>-21</v>
      </c>
      <c r="T8" s="26"/>
      <c r="U8" t="s">
        <v>309</v>
      </c>
      <c r="V8">
        <v>-25</v>
      </c>
      <c r="W8" s="26"/>
      <c r="X8" t="s">
        <v>315</v>
      </c>
      <c r="Y8">
        <v>-31</v>
      </c>
      <c r="Z8" s="26"/>
    </row>
    <row r="9" spans="2:27" x14ac:dyDescent="0.25">
      <c r="B9" s="121"/>
      <c r="C9" s="18"/>
      <c r="E9" s="26"/>
      <c r="H9" s="26"/>
      <c r="I9" t="s">
        <v>294</v>
      </c>
      <c r="J9">
        <v>-4</v>
      </c>
      <c r="K9" s="26"/>
      <c r="L9" t="s">
        <v>306</v>
      </c>
      <c r="M9">
        <v>-13</v>
      </c>
      <c r="N9" s="26"/>
      <c r="O9" t="s">
        <v>295</v>
      </c>
      <c r="P9">
        <v>-20</v>
      </c>
      <c r="Q9" s="26"/>
      <c r="R9" t="s">
        <v>299</v>
      </c>
      <c r="S9">
        <v>-21</v>
      </c>
      <c r="T9" s="26"/>
      <c r="U9" t="s">
        <v>315</v>
      </c>
      <c r="V9">
        <v>-25</v>
      </c>
      <c r="W9" s="26"/>
      <c r="X9" t="s">
        <v>309</v>
      </c>
      <c r="Y9">
        <v>-30</v>
      </c>
      <c r="Z9" s="26"/>
    </row>
    <row r="10" spans="2:27" x14ac:dyDescent="0.25">
      <c r="B10" s="121"/>
      <c r="C10" s="18"/>
      <c r="E10" s="26"/>
      <c r="H10" s="26"/>
      <c r="I10" t="s">
        <v>302</v>
      </c>
      <c r="J10">
        <v>-4</v>
      </c>
      <c r="K10" s="26"/>
      <c r="L10" t="s">
        <v>312</v>
      </c>
      <c r="M10">
        <v>-13</v>
      </c>
      <c r="N10" s="26"/>
      <c r="O10" t="s">
        <v>303</v>
      </c>
      <c r="P10">
        <v>-20</v>
      </c>
      <c r="Q10" s="26"/>
      <c r="R10" t="s">
        <v>304</v>
      </c>
      <c r="S10">
        <v>-21</v>
      </c>
      <c r="T10" s="26"/>
      <c r="U10" t="s">
        <v>291</v>
      </c>
      <c r="V10">
        <v>-24</v>
      </c>
      <c r="W10" s="26"/>
      <c r="X10" t="s">
        <v>291</v>
      </c>
      <c r="Y10">
        <v>-29</v>
      </c>
      <c r="Z10" s="26"/>
    </row>
    <row r="11" spans="2:27" x14ac:dyDescent="0.25">
      <c r="B11" s="121"/>
      <c r="E11" s="26"/>
      <c r="H11" s="26"/>
      <c r="I11" t="s">
        <v>292</v>
      </c>
      <c r="J11">
        <v>-3</v>
      </c>
      <c r="K11" s="26"/>
      <c r="L11" t="s">
        <v>315</v>
      </c>
      <c r="M11">
        <v>-13</v>
      </c>
      <c r="N11" s="26"/>
      <c r="O11" t="s">
        <v>315</v>
      </c>
      <c r="P11">
        <v>-20</v>
      </c>
      <c r="Q11" s="26"/>
      <c r="R11" t="s">
        <v>312</v>
      </c>
      <c r="S11">
        <v>-21</v>
      </c>
      <c r="T11" s="26"/>
      <c r="U11" t="s">
        <v>293</v>
      </c>
      <c r="V11">
        <v>-24</v>
      </c>
      <c r="W11" s="26"/>
      <c r="X11" t="s">
        <v>293</v>
      </c>
      <c r="Y11">
        <v>-29</v>
      </c>
      <c r="Z11" s="26"/>
    </row>
    <row r="12" spans="2:27" x14ac:dyDescent="0.25">
      <c r="B12" s="121"/>
      <c r="E12" s="26"/>
      <c r="H12" s="26"/>
      <c r="I12" t="s">
        <v>296</v>
      </c>
      <c r="J12">
        <v>-3</v>
      </c>
      <c r="K12" s="26"/>
      <c r="L12" t="s">
        <v>301</v>
      </c>
      <c r="M12">
        <v>-12</v>
      </c>
      <c r="N12" s="26"/>
      <c r="O12" t="s">
        <v>291</v>
      </c>
      <c r="P12">
        <v>-19</v>
      </c>
      <c r="Q12" s="26"/>
      <c r="R12" t="s">
        <v>313</v>
      </c>
      <c r="S12">
        <v>-21</v>
      </c>
      <c r="T12" s="26"/>
      <c r="U12" t="s">
        <v>299</v>
      </c>
      <c r="V12">
        <v>-24</v>
      </c>
      <c r="W12" s="26"/>
      <c r="X12" t="s">
        <v>298</v>
      </c>
      <c r="Y12">
        <v>-29</v>
      </c>
      <c r="Z12" s="26"/>
    </row>
    <row r="13" spans="2:27" x14ac:dyDescent="0.25">
      <c r="B13" s="121"/>
      <c r="E13" s="26"/>
      <c r="H13" s="26"/>
      <c r="I13" t="s">
        <v>305</v>
      </c>
      <c r="J13">
        <v>-3</v>
      </c>
      <c r="K13" s="26"/>
      <c r="L13" t="s">
        <v>297</v>
      </c>
      <c r="M13">
        <v>-11</v>
      </c>
      <c r="N13" s="26"/>
      <c r="O13" t="s">
        <v>293</v>
      </c>
      <c r="P13">
        <v>-19</v>
      </c>
      <c r="Q13" s="26"/>
      <c r="R13" t="s">
        <v>294</v>
      </c>
      <c r="S13">
        <v>-20</v>
      </c>
      <c r="T13" s="26"/>
      <c r="U13" t="s">
        <v>304</v>
      </c>
      <c r="V13">
        <v>-24</v>
      </c>
      <c r="W13" s="26"/>
      <c r="X13" t="s">
        <v>299</v>
      </c>
      <c r="Y13">
        <v>-29</v>
      </c>
      <c r="Z13" s="26"/>
    </row>
    <row r="14" spans="2:27" x14ac:dyDescent="0.25">
      <c r="B14" s="121"/>
      <c r="E14" s="26"/>
      <c r="H14" s="26"/>
      <c r="I14" t="s">
        <v>312</v>
      </c>
      <c r="J14">
        <v>-3</v>
      </c>
      <c r="K14" s="26"/>
      <c r="L14" t="s">
        <v>299</v>
      </c>
      <c r="M14">
        <v>-11</v>
      </c>
      <c r="N14" s="26"/>
      <c r="O14" t="s">
        <v>299</v>
      </c>
      <c r="P14">
        <v>-19</v>
      </c>
      <c r="Q14" s="26"/>
      <c r="R14" t="s">
        <v>302</v>
      </c>
      <c r="S14">
        <v>-20</v>
      </c>
      <c r="T14" s="26"/>
      <c r="U14" t="s">
        <v>306</v>
      </c>
      <c r="V14">
        <v>-24</v>
      </c>
      <c r="W14" s="26"/>
      <c r="X14" t="s">
        <v>304</v>
      </c>
      <c r="Y14">
        <v>-29</v>
      </c>
      <c r="Z14" s="26"/>
    </row>
    <row r="15" spans="2:27" x14ac:dyDescent="0.25">
      <c r="B15" s="121"/>
      <c r="E15" s="26"/>
      <c r="H15" s="26"/>
      <c r="I15" t="s">
        <v>306</v>
      </c>
      <c r="J15">
        <v>-2</v>
      </c>
      <c r="K15" s="26"/>
      <c r="L15" t="s">
        <v>304</v>
      </c>
      <c r="M15">
        <v>-11</v>
      </c>
      <c r="N15" s="26"/>
      <c r="O15" t="s">
        <v>304</v>
      </c>
      <c r="P15">
        <v>-19</v>
      </c>
      <c r="Q15" s="26"/>
      <c r="R15" t="s">
        <v>308</v>
      </c>
      <c r="S15">
        <v>-20</v>
      </c>
      <c r="T15" s="26"/>
      <c r="U15" t="s">
        <v>308</v>
      </c>
      <c r="V15">
        <v>-24</v>
      </c>
      <c r="W15" s="26"/>
      <c r="X15" t="s">
        <v>306</v>
      </c>
      <c r="Y15">
        <v>-29</v>
      </c>
      <c r="Z15" s="26"/>
    </row>
    <row r="16" spans="2:27" x14ac:dyDescent="0.25">
      <c r="B16" s="121"/>
      <c r="E16" s="26"/>
      <c r="H16" s="26"/>
      <c r="I16" t="s">
        <v>309</v>
      </c>
      <c r="J16">
        <v>-2</v>
      </c>
      <c r="K16" s="26"/>
      <c r="L16" t="s">
        <v>308</v>
      </c>
      <c r="M16">
        <v>-11</v>
      </c>
      <c r="N16" s="26"/>
      <c r="O16" t="s">
        <v>308</v>
      </c>
      <c r="P16">
        <v>-19</v>
      </c>
      <c r="Q16" s="26"/>
      <c r="R16" t="s">
        <v>310</v>
      </c>
      <c r="S16">
        <v>-20</v>
      </c>
      <c r="T16" s="26"/>
      <c r="U16" t="s">
        <v>313</v>
      </c>
      <c r="V16">
        <v>-24</v>
      </c>
      <c r="W16" s="26"/>
      <c r="X16" t="s">
        <v>313</v>
      </c>
      <c r="Y16">
        <v>-29</v>
      </c>
      <c r="Z16" s="26"/>
    </row>
    <row r="17" spans="2:26" x14ac:dyDescent="0.25">
      <c r="B17" s="121"/>
      <c r="E17" s="26"/>
      <c r="H17" s="26"/>
      <c r="I17" t="s">
        <v>299</v>
      </c>
      <c r="J17">
        <v>-1</v>
      </c>
      <c r="K17" s="26"/>
      <c r="L17" t="s">
        <v>309</v>
      </c>
      <c r="M17">
        <v>-11</v>
      </c>
      <c r="N17" s="26"/>
      <c r="O17" t="s">
        <v>309</v>
      </c>
      <c r="P17">
        <v>-19</v>
      </c>
      <c r="Q17" s="26"/>
      <c r="R17" t="s">
        <v>315</v>
      </c>
      <c r="S17">
        <v>-20</v>
      </c>
      <c r="T17" s="26"/>
      <c r="U17" t="s">
        <v>290</v>
      </c>
      <c r="V17">
        <v>-23</v>
      </c>
      <c r="W17" s="26"/>
      <c r="X17" t="s">
        <v>402</v>
      </c>
      <c r="Y17">
        <v>-29</v>
      </c>
      <c r="Z17" s="26"/>
    </row>
    <row r="18" spans="2:26" x14ac:dyDescent="0.25">
      <c r="B18" s="121"/>
      <c r="E18" s="26"/>
      <c r="H18" s="26"/>
      <c r="I18" t="s">
        <v>300</v>
      </c>
      <c r="J18">
        <v>-1</v>
      </c>
      <c r="K18" s="26"/>
      <c r="L18" t="s">
        <v>313</v>
      </c>
      <c r="M18">
        <v>-11</v>
      </c>
      <c r="N18" s="26"/>
      <c r="O18" t="s">
        <v>313</v>
      </c>
      <c r="P18">
        <v>-19</v>
      </c>
      <c r="Q18" s="26"/>
      <c r="R18" t="s">
        <v>303</v>
      </c>
      <c r="S18">
        <v>-19</v>
      </c>
      <c r="T18" s="26"/>
      <c r="U18" t="s">
        <v>298</v>
      </c>
      <c r="V18">
        <v>-23</v>
      </c>
      <c r="W18" s="26"/>
      <c r="X18" t="s">
        <v>301</v>
      </c>
      <c r="Y18">
        <v>-28</v>
      </c>
      <c r="Z18" s="26"/>
    </row>
    <row r="19" spans="2:26" x14ac:dyDescent="0.25">
      <c r="B19" s="121"/>
      <c r="E19" s="26"/>
      <c r="H19" s="26"/>
      <c r="I19" t="s">
        <v>304</v>
      </c>
      <c r="J19">
        <v>-1</v>
      </c>
      <c r="K19" s="26"/>
      <c r="L19" t="s">
        <v>310</v>
      </c>
      <c r="M19">
        <v>-10</v>
      </c>
      <c r="N19" s="26"/>
      <c r="O19" t="s">
        <v>296</v>
      </c>
      <c r="P19">
        <v>-18</v>
      </c>
      <c r="Q19" s="26"/>
      <c r="R19" t="s">
        <v>305</v>
      </c>
      <c r="S19">
        <v>-19</v>
      </c>
      <c r="T19" s="26"/>
      <c r="U19" t="s">
        <v>301</v>
      </c>
      <c r="V19">
        <v>-23</v>
      </c>
      <c r="W19" s="26"/>
      <c r="X19" t="s">
        <v>305</v>
      </c>
      <c r="Y19">
        <v>-28</v>
      </c>
      <c r="Z19" s="26"/>
    </row>
    <row r="20" spans="2:26" x14ac:dyDescent="0.25">
      <c r="B20" s="121"/>
      <c r="E20" s="26"/>
      <c r="H20" s="26"/>
      <c r="I20" t="s">
        <v>308</v>
      </c>
      <c r="J20">
        <v>-1</v>
      </c>
      <c r="K20" s="26"/>
      <c r="L20" t="s">
        <v>296</v>
      </c>
      <c r="M20">
        <v>-9</v>
      </c>
      <c r="N20" s="26"/>
      <c r="O20" t="s">
        <v>298</v>
      </c>
      <c r="P20">
        <v>-18</v>
      </c>
      <c r="Q20" s="26"/>
      <c r="R20" t="s">
        <v>309</v>
      </c>
      <c r="S20">
        <v>-19</v>
      </c>
      <c r="T20" s="26"/>
      <c r="U20" t="s">
        <v>305</v>
      </c>
      <c r="V20">
        <v>-23</v>
      </c>
      <c r="W20" s="26"/>
      <c r="X20" t="s">
        <v>290</v>
      </c>
      <c r="Y20">
        <v>-27</v>
      </c>
      <c r="Z20" s="26"/>
    </row>
    <row r="21" spans="2:26" x14ac:dyDescent="0.25">
      <c r="B21" s="121"/>
      <c r="E21" s="26"/>
      <c r="H21" s="26"/>
      <c r="I21" t="s">
        <v>310</v>
      </c>
      <c r="J21">
        <v>-1</v>
      </c>
      <c r="K21" s="26"/>
      <c r="L21" t="s">
        <v>303</v>
      </c>
      <c r="M21">
        <v>-9</v>
      </c>
      <c r="N21" s="26"/>
      <c r="O21" t="s">
        <v>301</v>
      </c>
      <c r="P21">
        <v>-18</v>
      </c>
      <c r="Q21" s="26"/>
      <c r="R21" t="s">
        <v>307</v>
      </c>
      <c r="S21">
        <v>-19</v>
      </c>
      <c r="T21" s="26"/>
      <c r="U21" t="s">
        <v>312</v>
      </c>
      <c r="V21">
        <v>-23</v>
      </c>
      <c r="W21" s="26"/>
      <c r="X21" t="s">
        <v>312</v>
      </c>
      <c r="Y21">
        <v>-27</v>
      </c>
      <c r="Z21" s="26"/>
    </row>
    <row r="22" spans="2:26" x14ac:dyDescent="0.25">
      <c r="B22" s="121"/>
      <c r="E22" s="26"/>
      <c r="H22" s="26"/>
      <c r="I22" t="s">
        <v>313</v>
      </c>
      <c r="J22">
        <v>-1</v>
      </c>
      <c r="K22" s="26"/>
      <c r="L22" t="s">
        <v>305</v>
      </c>
      <c r="M22">
        <v>-9</v>
      </c>
      <c r="N22" s="26"/>
      <c r="O22" t="s">
        <v>312</v>
      </c>
      <c r="P22">
        <v>-18</v>
      </c>
      <c r="Q22" s="26"/>
      <c r="R22" t="s">
        <v>295</v>
      </c>
      <c r="S22">
        <v>-18</v>
      </c>
      <c r="T22" s="26"/>
      <c r="U22" t="s">
        <v>295</v>
      </c>
      <c r="V22">
        <v>-22</v>
      </c>
      <c r="W22" s="26"/>
      <c r="X22" t="s">
        <v>295</v>
      </c>
      <c r="Y22">
        <v>-26</v>
      </c>
      <c r="Z22" s="26"/>
    </row>
    <row r="23" spans="2:26" x14ac:dyDescent="0.25">
      <c r="B23" s="121"/>
      <c r="E23" s="26"/>
      <c r="H23" s="26"/>
      <c r="I23" t="s">
        <v>307</v>
      </c>
      <c r="J23">
        <v>-1</v>
      </c>
      <c r="K23" s="26"/>
      <c r="L23" t="s">
        <v>314</v>
      </c>
      <c r="M23">
        <v>-8</v>
      </c>
      <c r="N23" s="26"/>
      <c r="O23" t="s">
        <v>305</v>
      </c>
      <c r="P23">
        <v>-16</v>
      </c>
      <c r="Q23" s="26"/>
      <c r="R23" t="s">
        <v>301</v>
      </c>
      <c r="S23">
        <v>-18</v>
      </c>
      <c r="T23" s="26"/>
      <c r="U23" t="s">
        <v>307</v>
      </c>
      <c r="V23">
        <v>-22</v>
      </c>
      <c r="W23" s="26"/>
      <c r="X23" t="s">
        <v>314</v>
      </c>
      <c r="Y23">
        <v>-26</v>
      </c>
      <c r="Z23" s="26"/>
    </row>
    <row r="24" spans="2:26" x14ac:dyDescent="0.25">
      <c r="B24" s="121"/>
      <c r="E24" s="26"/>
      <c r="H24" s="26"/>
      <c r="I24" t="s">
        <v>297</v>
      </c>
      <c r="J24">
        <v>0</v>
      </c>
      <c r="K24" s="26"/>
      <c r="L24" t="s">
        <v>300</v>
      </c>
      <c r="M24">
        <v>-7</v>
      </c>
      <c r="N24" s="26"/>
      <c r="O24" t="s">
        <v>314</v>
      </c>
      <c r="P24">
        <v>-16</v>
      </c>
      <c r="Q24" s="26"/>
      <c r="R24" t="s">
        <v>314</v>
      </c>
      <c r="S24">
        <v>-17</v>
      </c>
      <c r="T24" s="26"/>
      <c r="U24" t="s">
        <v>296</v>
      </c>
      <c r="V24">
        <v>-21</v>
      </c>
      <c r="W24" s="26"/>
      <c r="X24" t="s">
        <v>307</v>
      </c>
      <c r="Y24">
        <v>-26</v>
      </c>
      <c r="Z24" s="26"/>
    </row>
    <row r="25" spans="2:26" x14ac:dyDescent="0.25">
      <c r="B25" s="121"/>
      <c r="E25" s="26"/>
      <c r="H25" s="26"/>
      <c r="I25" t="s">
        <v>298</v>
      </c>
      <c r="J25">
        <v>0</v>
      </c>
      <c r="K25" s="26"/>
      <c r="L25" t="s">
        <v>307</v>
      </c>
      <c r="M25">
        <v>-7</v>
      </c>
      <c r="N25" s="26"/>
      <c r="O25" t="s">
        <v>328</v>
      </c>
      <c r="P25">
        <v>-16</v>
      </c>
      <c r="Q25" s="26"/>
      <c r="R25" t="s">
        <v>328</v>
      </c>
      <c r="S25">
        <v>-17</v>
      </c>
      <c r="T25" s="26"/>
      <c r="U25" t="s">
        <v>314</v>
      </c>
      <c r="V25">
        <v>-21</v>
      </c>
      <c r="W25" s="26"/>
      <c r="X25" t="s">
        <v>328</v>
      </c>
      <c r="Y25">
        <v>-26</v>
      </c>
      <c r="Z25" s="26"/>
    </row>
    <row r="26" spans="2:26" x14ac:dyDescent="0.25">
      <c r="B26" s="121"/>
      <c r="E26" s="26"/>
      <c r="H26" s="26"/>
      <c r="I26" t="s">
        <v>337</v>
      </c>
      <c r="J26">
        <v>0</v>
      </c>
      <c r="K26" s="26"/>
      <c r="L26" t="s">
        <v>328</v>
      </c>
      <c r="M26">
        <v>-7</v>
      </c>
      <c r="N26" s="26"/>
      <c r="O26" t="s">
        <v>302</v>
      </c>
      <c r="P26">
        <v>-15</v>
      </c>
      <c r="Q26" s="26"/>
      <c r="R26" t="s">
        <v>296</v>
      </c>
      <c r="S26">
        <v>-16</v>
      </c>
      <c r="T26" s="26"/>
      <c r="U26" t="s">
        <v>328</v>
      </c>
      <c r="V26">
        <v>-21</v>
      </c>
      <c r="W26" s="26"/>
      <c r="X26" t="s">
        <v>308</v>
      </c>
      <c r="Y26">
        <v>-25</v>
      </c>
      <c r="Z26" s="26"/>
    </row>
    <row r="27" spans="2:26" x14ac:dyDescent="0.25">
      <c r="B27" s="121"/>
      <c r="E27" s="26"/>
      <c r="H27" s="26"/>
      <c r="I27" t="s">
        <v>303</v>
      </c>
      <c r="J27">
        <v>0</v>
      </c>
      <c r="K27" s="26"/>
      <c r="L27" t="s">
        <v>298</v>
      </c>
      <c r="M27">
        <v>-6</v>
      </c>
      <c r="N27" s="26"/>
      <c r="O27" t="s">
        <v>337</v>
      </c>
      <c r="P27">
        <v>-13</v>
      </c>
      <c r="Q27" s="26"/>
      <c r="R27" t="s">
        <v>298</v>
      </c>
      <c r="S27">
        <v>-16</v>
      </c>
      <c r="T27" s="26"/>
      <c r="U27" t="s">
        <v>302</v>
      </c>
      <c r="V27">
        <v>-20</v>
      </c>
      <c r="W27" s="26"/>
      <c r="X27" t="s">
        <v>296</v>
      </c>
      <c r="Y27">
        <v>-24</v>
      </c>
      <c r="Z27" s="26"/>
    </row>
    <row r="28" spans="2:26" x14ac:dyDescent="0.25">
      <c r="B28" s="121"/>
      <c r="E28" s="26"/>
      <c r="H28" s="26"/>
      <c r="I28" t="s">
        <v>314</v>
      </c>
      <c r="J28">
        <v>0</v>
      </c>
      <c r="K28" s="26"/>
      <c r="L28" t="s">
        <v>292</v>
      </c>
      <c r="M28">
        <v>-5</v>
      </c>
      <c r="N28" s="26"/>
      <c r="O28" t="s">
        <v>311</v>
      </c>
      <c r="P28">
        <v>-13</v>
      </c>
      <c r="Q28" s="26"/>
      <c r="R28" t="s">
        <v>337</v>
      </c>
      <c r="S28">
        <v>-13</v>
      </c>
      <c r="T28" s="26"/>
      <c r="U28" t="s">
        <v>337</v>
      </c>
      <c r="V28">
        <v>-19</v>
      </c>
      <c r="W28" s="26"/>
      <c r="X28" t="s">
        <v>337</v>
      </c>
      <c r="Y28">
        <v>-24</v>
      </c>
      <c r="Z28" s="26"/>
    </row>
    <row r="29" spans="2:26" x14ac:dyDescent="0.25">
      <c r="B29" s="121"/>
      <c r="E29" s="26"/>
      <c r="H29" s="26"/>
      <c r="I29" t="s">
        <v>311</v>
      </c>
      <c r="J29">
        <v>0</v>
      </c>
      <c r="K29" s="26"/>
      <c r="L29" t="s">
        <v>327</v>
      </c>
      <c r="M29">
        <v>-3</v>
      </c>
      <c r="N29" s="26"/>
      <c r="O29" t="s">
        <v>307</v>
      </c>
      <c r="P29">
        <v>-13</v>
      </c>
      <c r="Q29" s="26"/>
      <c r="R29" t="s">
        <v>327</v>
      </c>
      <c r="S29">
        <v>-13</v>
      </c>
      <c r="T29" s="26"/>
      <c r="U29" t="s">
        <v>311</v>
      </c>
      <c r="V29">
        <v>-17</v>
      </c>
      <c r="W29" s="26"/>
      <c r="X29" t="s">
        <v>302</v>
      </c>
      <c r="Y29">
        <v>-24</v>
      </c>
      <c r="Z29" s="26"/>
    </row>
    <row r="30" spans="2:26" x14ac:dyDescent="0.25">
      <c r="B30" s="121"/>
      <c r="E30" s="26"/>
      <c r="H30" s="26"/>
      <c r="I30" t="s">
        <v>327</v>
      </c>
      <c r="J30">
        <v>0</v>
      </c>
      <c r="K30" s="26"/>
      <c r="L30" t="s">
        <v>337</v>
      </c>
      <c r="M30">
        <v>-2</v>
      </c>
      <c r="N30" s="26"/>
      <c r="O30" t="s">
        <v>292</v>
      </c>
      <c r="P30">
        <v>-12</v>
      </c>
      <c r="Q30" s="26"/>
      <c r="R30" t="s">
        <v>311</v>
      </c>
      <c r="S30">
        <v>-11</v>
      </c>
      <c r="T30" s="26"/>
      <c r="U30" t="s">
        <v>327</v>
      </c>
      <c r="V30">
        <v>-17</v>
      </c>
      <c r="W30" s="26"/>
      <c r="X30" t="s">
        <v>311</v>
      </c>
      <c r="Y30">
        <v>-23</v>
      </c>
      <c r="Z30" s="26"/>
    </row>
    <row r="31" spans="2:26" x14ac:dyDescent="0.25">
      <c r="B31" s="121"/>
      <c r="E31" s="26"/>
      <c r="H31" s="26"/>
      <c r="I31" t="s">
        <v>328</v>
      </c>
      <c r="J31">
        <v>0</v>
      </c>
      <c r="K31" s="26"/>
      <c r="L31" t="s">
        <v>311</v>
      </c>
      <c r="M31">
        <v>-1</v>
      </c>
      <c r="N31" s="26"/>
      <c r="O31" t="s">
        <v>327</v>
      </c>
      <c r="P31">
        <v>-11</v>
      </c>
      <c r="Q31" s="26"/>
      <c r="R31" t="s">
        <v>292</v>
      </c>
      <c r="S31">
        <v>-9</v>
      </c>
      <c r="T31" s="26"/>
      <c r="U31" t="s">
        <v>292</v>
      </c>
      <c r="V31">
        <v>-12</v>
      </c>
      <c r="W31" s="26"/>
      <c r="X31" t="s">
        <v>327</v>
      </c>
      <c r="Y31">
        <v>-21</v>
      </c>
      <c r="Z31" s="26"/>
    </row>
    <row r="32" spans="2:26" x14ac:dyDescent="0.25">
      <c r="B32" s="122"/>
      <c r="C32" s="21"/>
      <c r="D32" s="21"/>
      <c r="E32" s="103"/>
      <c r="F32" s="21"/>
      <c r="G32" s="21"/>
      <c r="H32" s="103"/>
      <c r="I32" s="21"/>
      <c r="J32" s="21"/>
      <c r="K32" s="103"/>
      <c r="L32" s="21"/>
      <c r="M32" s="21"/>
      <c r="N32" s="103"/>
      <c r="O32" s="21"/>
      <c r="P32" s="21"/>
      <c r="Q32" s="103"/>
      <c r="R32" s="21"/>
      <c r="S32" s="21"/>
      <c r="T32" s="103"/>
      <c r="U32" s="21"/>
      <c r="V32" s="21"/>
      <c r="W32" s="103"/>
      <c r="X32" s="21"/>
      <c r="Y32" s="21"/>
      <c r="Z32" s="103"/>
    </row>
    <row r="34" spans="28:28" x14ac:dyDescent="0.25">
      <c r="AB34" s="18"/>
    </row>
    <row r="66" spans="28:28" x14ac:dyDescent="0.25">
      <c r="AB66" s="18"/>
    </row>
  </sheetData>
  <mergeCells count="9">
    <mergeCell ref="R2:S2"/>
    <mergeCell ref="U2:V2"/>
    <mergeCell ref="X2:Y2"/>
    <mergeCell ref="B3:B32"/>
    <mergeCell ref="C2:D2"/>
    <mergeCell ref="F2:G2"/>
    <mergeCell ref="I2:J2"/>
    <mergeCell ref="L2:M2"/>
    <mergeCell ref="O2:P2"/>
  </mergeCells>
  <conditionalFormatting sqref="C3:Z32">
    <cfRule type="cellIs" dxfId="64" priority="1" operator="equal">
      <formula>$AA$2</formula>
    </cfRule>
    <cfRule type="cellIs" dxfId="63" priority="2" operator="equal">
      <formula>$AA$3</formula>
    </cfRule>
    <cfRule type="cellIs" dxfId="62" priority="3" operator="equal">
      <formula>$AA$4</formula>
    </cfRule>
    <cfRule type="cellIs" dxfId="61" priority="4" operator="equal">
      <formula>$AA$5</formula>
    </cfRule>
    <cfRule type="cellIs" dxfId="60" priority="5" operator="equal">
      <formula>$AA$6</formula>
    </cfRule>
    <cfRule type="cellIs" dxfId="59" priority="6" operator="equal">
      <formula>$AA$7</formula>
    </cfRule>
  </conditionalFormatting>
  <pageMargins left="0.7" right="0.7" top="0.75" bottom="0.75" header="0.3" footer="0.3"/>
  <webPublishItems count="1">
    <webPublishItem id="3969" divId="JoeMagneticoMicro_3969" sourceType="range" sourceRef="B2:Z32" destinationFile="C:\pga\html\LeadChangesMicro.htm"/>
  </webPublishItem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31"/>
  <sheetViews>
    <sheetView zoomScale="110" zoomScaleNormal="110" workbookViewId="0">
      <selection sqref="A1:B158"/>
    </sheetView>
  </sheetViews>
  <sheetFormatPr defaultRowHeight="13.2" x14ac:dyDescent="0.25"/>
  <cols>
    <col min="1" max="1" width="15.88671875" bestFit="1" customWidth="1"/>
    <col min="2" max="2" width="9.77734375" bestFit="1" customWidth="1"/>
  </cols>
  <sheetData>
    <row r="1" spans="1:2" x14ac:dyDescent="0.25">
      <c r="A1" t="s">
        <v>345</v>
      </c>
      <c r="B1" t="s">
        <v>346</v>
      </c>
    </row>
    <row r="2" spans="1:2" x14ac:dyDescent="0.25">
      <c r="A2" t="s">
        <v>32</v>
      </c>
      <c r="B2" s="18">
        <v>-9</v>
      </c>
    </row>
    <row r="3" spans="1:2" x14ac:dyDescent="0.25">
      <c r="A3" t="s">
        <v>25</v>
      </c>
      <c r="B3" s="18">
        <v>-7</v>
      </c>
    </row>
    <row r="4" spans="1:2" x14ac:dyDescent="0.25">
      <c r="A4" t="s">
        <v>41</v>
      </c>
      <c r="B4" s="18">
        <v>-6</v>
      </c>
    </row>
    <row r="5" spans="1:2" x14ac:dyDescent="0.25">
      <c r="A5" s="18" t="s">
        <v>29</v>
      </c>
      <c r="B5" s="18">
        <v>-6</v>
      </c>
    </row>
    <row r="6" spans="1:2" x14ac:dyDescent="0.25">
      <c r="A6" t="s">
        <v>147</v>
      </c>
      <c r="B6" s="18">
        <v>-6</v>
      </c>
    </row>
    <row r="7" spans="1:2" x14ac:dyDescent="0.25">
      <c r="A7" t="s">
        <v>262</v>
      </c>
      <c r="B7" s="18">
        <v>-6</v>
      </c>
    </row>
    <row r="8" spans="1:2" x14ac:dyDescent="0.25">
      <c r="A8" t="s">
        <v>31</v>
      </c>
      <c r="B8" s="18">
        <v>-6</v>
      </c>
    </row>
    <row r="9" spans="1:2" x14ac:dyDescent="0.25">
      <c r="A9" t="s">
        <v>288</v>
      </c>
      <c r="B9" s="18">
        <v>-4</v>
      </c>
    </row>
    <row r="10" spans="1:2" x14ac:dyDescent="0.25">
      <c r="A10" t="s">
        <v>326</v>
      </c>
      <c r="B10" s="18">
        <v>-4</v>
      </c>
    </row>
    <row r="11" spans="1:2" x14ac:dyDescent="0.25">
      <c r="A11" t="s">
        <v>285</v>
      </c>
      <c r="B11" s="18">
        <v>-4</v>
      </c>
    </row>
    <row r="12" spans="1:2" x14ac:dyDescent="0.25">
      <c r="A12" t="s">
        <v>26</v>
      </c>
      <c r="B12" s="18">
        <v>-4</v>
      </c>
    </row>
    <row r="13" spans="1:2" x14ac:dyDescent="0.25">
      <c r="A13" t="s">
        <v>400</v>
      </c>
      <c r="B13" s="18">
        <v>-3</v>
      </c>
    </row>
    <row r="14" spans="1:2" x14ac:dyDescent="0.25">
      <c r="A14" t="s">
        <v>42</v>
      </c>
      <c r="B14" s="18">
        <v>-3</v>
      </c>
    </row>
    <row r="15" spans="1:2" x14ac:dyDescent="0.25">
      <c r="A15" t="s">
        <v>30</v>
      </c>
      <c r="B15" s="18">
        <v>-3</v>
      </c>
    </row>
    <row r="16" spans="1:2" x14ac:dyDescent="0.25">
      <c r="A16" t="s">
        <v>44</v>
      </c>
      <c r="B16" s="18">
        <v>-3</v>
      </c>
    </row>
    <row r="17" spans="1:2" x14ac:dyDescent="0.25">
      <c r="A17" t="s">
        <v>58</v>
      </c>
      <c r="B17" s="18">
        <v>-3</v>
      </c>
    </row>
    <row r="18" spans="1:2" x14ac:dyDescent="0.25">
      <c r="A18" t="s">
        <v>36</v>
      </c>
      <c r="B18" s="18">
        <v>-2</v>
      </c>
    </row>
    <row r="19" spans="1:2" x14ac:dyDescent="0.25">
      <c r="A19" t="s">
        <v>49</v>
      </c>
      <c r="B19" s="18">
        <v>-2</v>
      </c>
    </row>
    <row r="20" spans="1:2" x14ac:dyDescent="0.25">
      <c r="A20" t="s">
        <v>53</v>
      </c>
      <c r="B20" s="18">
        <v>-2</v>
      </c>
    </row>
    <row r="21" spans="1:2" x14ac:dyDescent="0.25">
      <c r="A21" t="s">
        <v>374</v>
      </c>
      <c r="B21" s="18">
        <v>-2</v>
      </c>
    </row>
    <row r="22" spans="1:2" x14ac:dyDescent="0.25">
      <c r="A22" t="s">
        <v>62</v>
      </c>
      <c r="B22" s="18">
        <v>-1</v>
      </c>
    </row>
    <row r="23" spans="1:2" x14ac:dyDescent="0.25">
      <c r="A23" t="s">
        <v>54</v>
      </c>
      <c r="B23" s="18">
        <v>-1</v>
      </c>
    </row>
    <row r="24" spans="1:2" x14ac:dyDescent="0.25">
      <c r="A24" t="s">
        <v>332</v>
      </c>
      <c r="B24" s="18">
        <v>0</v>
      </c>
    </row>
    <row r="25" spans="1:2" x14ac:dyDescent="0.25">
      <c r="A25" t="s">
        <v>397</v>
      </c>
      <c r="B25" s="18">
        <v>0</v>
      </c>
    </row>
    <row r="26" spans="1:2" x14ac:dyDescent="0.25">
      <c r="A26" t="s">
        <v>171</v>
      </c>
      <c r="B26" s="18">
        <v>0</v>
      </c>
    </row>
    <row r="27" spans="1:2" x14ac:dyDescent="0.25">
      <c r="A27" t="s">
        <v>39</v>
      </c>
      <c r="B27" s="18">
        <v>0</v>
      </c>
    </row>
    <row r="28" spans="1:2" x14ac:dyDescent="0.25">
      <c r="A28" t="s">
        <v>50</v>
      </c>
      <c r="B28" s="18">
        <v>0</v>
      </c>
    </row>
    <row r="29" spans="1:2" x14ac:dyDescent="0.25">
      <c r="A29" t="s">
        <v>392</v>
      </c>
      <c r="B29" s="18">
        <v>0</v>
      </c>
    </row>
    <row r="30" spans="1:2" x14ac:dyDescent="0.25">
      <c r="A30" t="s">
        <v>331</v>
      </c>
      <c r="B30" s="18">
        <v>1</v>
      </c>
    </row>
    <row r="31" spans="1:2" x14ac:dyDescent="0.25">
      <c r="A31" t="s">
        <v>47</v>
      </c>
      <c r="B31" s="18">
        <v>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31"/>
  <sheetViews>
    <sheetView zoomScaleNormal="100" workbookViewId="0">
      <selection activeCell="A5" sqref="A5"/>
    </sheetView>
  </sheetViews>
  <sheetFormatPr defaultRowHeight="13.2" x14ac:dyDescent="0.25"/>
  <cols>
    <col min="1" max="1" width="15.88671875" bestFit="1" customWidth="1"/>
  </cols>
  <sheetData>
    <row r="1" spans="1:1" x14ac:dyDescent="0.25">
      <c r="A1" t="s">
        <v>345</v>
      </c>
    </row>
    <row r="2" spans="1:1" x14ac:dyDescent="0.25">
      <c r="A2" t="s">
        <v>288</v>
      </c>
    </row>
    <row r="3" spans="1:1" x14ac:dyDescent="0.25">
      <c r="A3" t="s">
        <v>332</v>
      </c>
    </row>
    <row r="4" spans="1:1" x14ac:dyDescent="0.25">
      <c r="A4" t="s">
        <v>36</v>
      </c>
    </row>
    <row r="5" spans="1:1" x14ac:dyDescent="0.25">
      <c r="A5" s="18" t="s">
        <v>400</v>
      </c>
    </row>
    <row r="6" spans="1:1" x14ac:dyDescent="0.25">
      <c r="A6" t="s">
        <v>42</v>
      </c>
    </row>
    <row r="7" spans="1:1" x14ac:dyDescent="0.25">
      <c r="A7" t="s">
        <v>397</v>
      </c>
    </row>
    <row r="8" spans="1:1" x14ac:dyDescent="0.25">
      <c r="A8" t="s">
        <v>171</v>
      </c>
    </row>
    <row r="9" spans="1:1" x14ac:dyDescent="0.25">
      <c r="A9" t="s">
        <v>62</v>
      </c>
    </row>
    <row r="10" spans="1:1" x14ac:dyDescent="0.25">
      <c r="A10" t="s">
        <v>41</v>
      </c>
    </row>
    <row r="11" spans="1:1" x14ac:dyDescent="0.25">
      <c r="A11" t="s">
        <v>49</v>
      </c>
    </row>
    <row r="12" spans="1:1" x14ac:dyDescent="0.25">
      <c r="A12" t="s">
        <v>29</v>
      </c>
    </row>
    <row r="13" spans="1:1" x14ac:dyDescent="0.25">
      <c r="A13" t="s">
        <v>39</v>
      </c>
    </row>
    <row r="14" spans="1:1" x14ac:dyDescent="0.25">
      <c r="A14" t="s">
        <v>30</v>
      </c>
    </row>
    <row r="15" spans="1:1" x14ac:dyDescent="0.25">
      <c r="A15" t="s">
        <v>44</v>
      </c>
    </row>
    <row r="16" spans="1:1" x14ac:dyDescent="0.25">
      <c r="A16" t="s">
        <v>50</v>
      </c>
    </row>
    <row r="17" spans="1:1" x14ac:dyDescent="0.25">
      <c r="A17" t="s">
        <v>392</v>
      </c>
    </row>
    <row r="18" spans="1:1" x14ac:dyDescent="0.25">
      <c r="A18" t="s">
        <v>326</v>
      </c>
    </row>
    <row r="19" spans="1:1" x14ac:dyDescent="0.25">
      <c r="A19" t="s">
        <v>58</v>
      </c>
    </row>
    <row r="20" spans="1:1" x14ac:dyDescent="0.25">
      <c r="A20" t="s">
        <v>147</v>
      </c>
    </row>
    <row r="21" spans="1:1" x14ac:dyDescent="0.25">
      <c r="A21" t="s">
        <v>53</v>
      </c>
    </row>
    <row r="22" spans="1:1" x14ac:dyDescent="0.25">
      <c r="A22" t="s">
        <v>331</v>
      </c>
    </row>
    <row r="23" spans="1:1" x14ac:dyDescent="0.25">
      <c r="A23" t="s">
        <v>262</v>
      </c>
    </row>
    <row r="24" spans="1:1" x14ac:dyDescent="0.25">
      <c r="A24" t="s">
        <v>32</v>
      </c>
    </row>
    <row r="25" spans="1:1" x14ac:dyDescent="0.25">
      <c r="A25" t="s">
        <v>47</v>
      </c>
    </row>
    <row r="26" spans="1:1" x14ac:dyDescent="0.25">
      <c r="A26" t="s">
        <v>31</v>
      </c>
    </row>
    <row r="27" spans="1:1" x14ac:dyDescent="0.25">
      <c r="A27" t="s">
        <v>285</v>
      </c>
    </row>
    <row r="28" spans="1:1" x14ac:dyDescent="0.25">
      <c r="A28" t="s">
        <v>54</v>
      </c>
    </row>
    <row r="29" spans="1:1" x14ac:dyDescent="0.25">
      <c r="A29" t="s">
        <v>374</v>
      </c>
    </row>
    <row r="30" spans="1:1" x14ac:dyDescent="0.25">
      <c r="A30" t="s">
        <v>26</v>
      </c>
    </row>
    <row r="31" spans="1:1" x14ac:dyDescent="0.25">
      <c r="A31" t="s">
        <v>25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17"/>
  <sheetViews>
    <sheetView tabSelected="1" workbookViewId="0"/>
  </sheetViews>
  <sheetFormatPr defaultRowHeight="13.2" x14ac:dyDescent="0.25"/>
  <cols>
    <col min="1" max="1" width="37.5546875" style="3" customWidth="1"/>
  </cols>
  <sheetData>
    <row r="1" spans="1:1" x14ac:dyDescent="0.25">
      <c r="A1" s="17" t="s">
        <v>480</v>
      </c>
    </row>
    <row r="2" spans="1:1" x14ac:dyDescent="0.25">
      <c r="A2" s="3" t="s">
        <v>491</v>
      </c>
    </row>
    <row r="4" spans="1:1" x14ac:dyDescent="0.25">
      <c r="A4" s="17" t="s">
        <v>481</v>
      </c>
    </row>
    <row r="5" spans="1:1" x14ac:dyDescent="0.25">
      <c r="A5" s="17" t="s">
        <v>338</v>
      </c>
    </row>
    <row r="7" spans="1:1" x14ac:dyDescent="0.25">
      <c r="A7" s="3" t="s">
        <v>405</v>
      </c>
    </row>
    <row r="8" spans="1:1" x14ac:dyDescent="0.25">
      <c r="A8" s="114">
        <v>45891.375</v>
      </c>
    </row>
    <row r="10" spans="1:1" x14ac:dyDescent="0.25">
      <c r="A10" s="3" t="s">
        <v>404</v>
      </c>
    </row>
    <row r="11" spans="1:1" x14ac:dyDescent="0.25">
      <c r="A11" s="114">
        <v>45891.708333333336</v>
      </c>
    </row>
    <row r="13" spans="1:1" x14ac:dyDescent="0.25">
      <c r="A13" s="17" t="s">
        <v>428</v>
      </c>
    </row>
    <row r="14" spans="1:1" x14ac:dyDescent="0.25">
      <c r="A14" s="115">
        <v>1.0416666666666667E-3</v>
      </c>
    </row>
    <row r="16" spans="1:1" x14ac:dyDescent="0.25">
      <c r="A16" s="17" t="s">
        <v>449</v>
      </c>
    </row>
    <row r="17" spans="1:1" x14ac:dyDescent="0.25">
      <c r="A17" s="116">
        <v>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80" zoomScaleNormal="80" workbookViewId="0">
      <selection activeCell="A18" sqref="A18"/>
    </sheetView>
  </sheetViews>
  <sheetFormatPr defaultColWidth="8.5546875" defaultRowHeight="13.2" x14ac:dyDescent="0.25"/>
  <cols>
    <col min="1" max="1" width="3" customWidth="1"/>
    <col min="2" max="2" width="18.33203125" customWidth="1"/>
    <col min="3" max="3" width="5.109375" style="3" customWidth="1"/>
    <col min="4" max="4" width="6.109375" style="40" bestFit="1" customWidth="1"/>
    <col min="5" max="5" width="8.5546875" style="3"/>
    <col min="6" max="6" width="17.88671875" style="18" bestFit="1" customWidth="1"/>
    <col min="7" max="7" width="8.5546875" style="67" customWidth="1"/>
    <col min="8" max="8" width="19.5546875" style="18" bestFit="1" customWidth="1"/>
    <col min="9" max="9" width="8.5546875" style="67"/>
    <col min="10" max="10" width="17.88671875" style="18" bestFit="1" customWidth="1"/>
    <col min="11" max="11" width="8.5546875" style="67"/>
    <col min="12" max="12" width="17.88671875" style="18" bestFit="1" customWidth="1"/>
    <col min="13" max="13" width="8.5546875" style="67"/>
    <col min="14" max="14" width="16.33203125" style="18" bestFit="1" customWidth="1"/>
    <col min="15" max="15" width="8.5546875" style="67"/>
    <col min="16" max="16" width="17.88671875" style="18" bestFit="1" customWidth="1"/>
    <col min="17" max="17" width="8.5546875" style="67"/>
    <col min="18" max="18" width="17.88671875" style="18" bestFit="1" customWidth="1"/>
    <col min="19" max="19" width="8.5546875" style="67"/>
    <col min="20" max="20" width="16.44140625" style="18" bestFit="1" customWidth="1"/>
    <col min="21" max="21" width="8.5546875" style="17"/>
    <col min="22" max="22" width="6.88671875" customWidth="1"/>
    <col min="23" max="23" width="8.5546875" style="3"/>
  </cols>
  <sheetData>
    <row r="1" spans="1:21" x14ac:dyDescent="0.25">
      <c r="A1" s="15"/>
      <c r="B1" s="117" t="s">
        <v>316</v>
      </c>
      <c r="C1" s="3" t="s">
        <v>490</v>
      </c>
      <c r="D1" s="39"/>
      <c r="E1" s="8"/>
    </row>
    <row r="2" spans="1:21" s="7" customFormat="1" x14ac:dyDescent="0.25">
      <c r="B2" s="32" t="s">
        <v>1</v>
      </c>
      <c r="C2" s="33"/>
      <c r="D2" s="64" t="s">
        <v>267</v>
      </c>
      <c r="E2" s="12"/>
      <c r="F2" s="10" t="s">
        <v>2</v>
      </c>
      <c r="G2" s="11">
        <f>SMALL(G3:G12,1)+SMALL(G3:G12,2)+SMALL(G3:G12,3)+SMALL(G3:G12,4)+SMALL(G3:G12,5)</f>
        <v>-29</v>
      </c>
      <c r="H2" s="10" t="s">
        <v>289</v>
      </c>
      <c r="I2" s="11">
        <f>SMALL(I3:I12,1)+SMALL(I3:I12,2)+SMALL(I3:I12,3)+SMALL(I3:I12,4)+SMALL(I3:I12,5)</f>
        <v>-27</v>
      </c>
      <c r="J2" s="10" t="s">
        <v>3</v>
      </c>
      <c r="K2" s="11">
        <f>SMALL(K3:K12,1)+SMALL(K3:K12,2)+SMALL(K3:K12,3)+SMALL(K3:K12,4)+SMALL(K3:K12,5)</f>
        <v>-32</v>
      </c>
      <c r="L2" s="7" t="s">
        <v>8</v>
      </c>
      <c r="M2" s="11">
        <f>SMALL(M3:M12,1)+SMALL(M3:M12,2)+SMALL(M3:M12,3)+SMALL(M3:M12,4)+SMALL(M3:M12,5)</f>
        <v>-32</v>
      </c>
      <c r="N2" s="10" t="s">
        <v>5</v>
      </c>
      <c r="O2" s="11">
        <f>SMALL(O3:O12,1)+SMALL(O3:O12,2)+SMALL(O3:O12,3)+SMALL(O3:O12,4)+SMALL(O3:O12,5)</f>
        <v>-26</v>
      </c>
      <c r="P2" s="10" t="s">
        <v>12</v>
      </c>
      <c r="Q2" s="11">
        <f>SMALL(Q3:Q12,1)+SMALL(Q3:Q12,2)+SMALL(Q3:Q12,3)+SMALL(Q3:Q12,4)+SMALL(Q3:Q12,5)</f>
        <v>-26</v>
      </c>
      <c r="R2" s="10" t="s">
        <v>15</v>
      </c>
      <c r="S2" s="11">
        <f>SMALL(S3:S12,1)+SMALL(S3:S12,2)+SMALL(S3:S12,3)+SMALL(S3:S12,4)+SMALL(S3:S12,5)</f>
        <v>-29</v>
      </c>
      <c r="T2" s="10" t="s">
        <v>17</v>
      </c>
      <c r="U2" s="11">
        <f>SMALL(U3:U12,1)+SMALL(U3:U12,2)+SMALL(U3:U12,3)+SMALL(U3:U12,4)+SMALL(U3:U12,5)</f>
        <v>-31</v>
      </c>
    </row>
    <row r="3" spans="1:21" x14ac:dyDescent="0.25">
      <c r="B3" s="34" t="str" cm="1">
        <f t="array" ref="B3:C24">TRANSPOSE(_xlfn._xlws.SORT(F45:AA46,2,1,TRUE))</f>
        <v>Steve McFadden</v>
      </c>
      <c r="C3" s="35">
        <v>-34</v>
      </c>
      <c r="D3" s="64">
        <f t="shared" ref="D3:D7" si="0">HLOOKUP(B3,$F$45:$AB$47,3,)</f>
        <v>-19</v>
      </c>
      <c r="E3" s="13">
        <v>1</v>
      </c>
      <c r="F3" s="18" t="s">
        <v>25</v>
      </c>
      <c r="G3" s="17">
        <f>VLOOKUP(F3,ESPNScores!$A$2:$B$91,2,FALSE)</f>
        <v>-7</v>
      </c>
      <c r="H3" s="18" t="s">
        <v>25</v>
      </c>
      <c r="I3" s="17">
        <f>VLOOKUP(H3,ESPNScores!$A$2:$B$91,2,FALSE)</f>
        <v>-7</v>
      </c>
      <c r="J3" s="18" t="s">
        <v>25</v>
      </c>
      <c r="K3" s="17">
        <f>VLOOKUP(J3,ESPNScores!$A$2:$B$91,2,FALSE)</f>
        <v>-7</v>
      </c>
      <c r="L3" s="18" t="s">
        <v>25</v>
      </c>
      <c r="M3" s="17">
        <f>VLOOKUP(L3,ESPNScores!$A$2:$B$91,2,FALSE)</f>
        <v>-7</v>
      </c>
      <c r="N3" s="18" t="s">
        <v>25</v>
      </c>
      <c r="O3" s="17">
        <f>VLOOKUP(N3,ESPNScores!$A$2:$B$91,2,FALSE)</f>
        <v>-7</v>
      </c>
      <c r="P3" s="18" t="s">
        <v>25</v>
      </c>
      <c r="Q3" s="17">
        <f>VLOOKUP(P3,ESPNScores!$A$2:$B$91,2,FALSE)</f>
        <v>-7</v>
      </c>
      <c r="R3" s="18" t="s">
        <v>25</v>
      </c>
      <c r="S3" s="17">
        <f>VLOOKUP(R3,ESPNScores!$A$2:$B$91,2,FALSE)</f>
        <v>-7</v>
      </c>
      <c r="T3" s="66" t="s">
        <v>25</v>
      </c>
      <c r="U3" s="17">
        <f>VLOOKUP(T3,ESPNScores!$A$2:$B$91,2,FALSE)</f>
        <v>-7</v>
      </c>
    </row>
    <row r="4" spans="1:21" x14ac:dyDescent="0.25">
      <c r="B4" s="34" t="str">
        <v>Mark Brenman</v>
      </c>
      <c r="C4" s="35">
        <v>-34</v>
      </c>
      <c r="D4" s="64">
        <f t="shared" si="0"/>
        <v>-11</v>
      </c>
      <c r="E4" s="13">
        <v>2</v>
      </c>
      <c r="F4" s="18" t="s">
        <v>31</v>
      </c>
      <c r="G4" s="17">
        <f>VLOOKUP(F4,ESPNScores!$A$2:$B$91,2,FALSE)</f>
        <v>-6</v>
      </c>
      <c r="H4" s="18" t="s">
        <v>54</v>
      </c>
      <c r="I4" s="17">
        <f>VLOOKUP(H4,ESPNScores!$A$2:$B$91,2,FALSE)</f>
        <v>-1</v>
      </c>
      <c r="J4" s="18" t="s">
        <v>54</v>
      </c>
      <c r="K4" s="17">
        <f>VLOOKUP(J4,ESPNScores!$A$2:$B$91,2,FALSE)</f>
        <v>-1</v>
      </c>
      <c r="L4" s="18" t="s">
        <v>31</v>
      </c>
      <c r="M4" s="17">
        <f>VLOOKUP(L4,ESPNScores!$A$2:$B$91,2,FALSE)</f>
        <v>-6</v>
      </c>
      <c r="N4" s="18" t="s">
        <v>54</v>
      </c>
      <c r="O4" s="17">
        <f>VLOOKUP(N4,ESPNScores!$A$2:$B$91,2,FALSE)</f>
        <v>-1</v>
      </c>
      <c r="P4" s="18" t="s">
        <v>54</v>
      </c>
      <c r="Q4" s="17">
        <f>VLOOKUP(P4,ESPNScores!$A$2:$B$91,2,FALSE)</f>
        <v>-1</v>
      </c>
      <c r="R4" s="18" t="s">
        <v>31</v>
      </c>
      <c r="S4" s="17">
        <f>VLOOKUP(R4,ESPNScores!$A$2:$B$91,2,FALSE)</f>
        <v>-6</v>
      </c>
      <c r="T4" s="66" t="s">
        <v>31</v>
      </c>
      <c r="U4" s="17">
        <f>VLOOKUP(T4,ESPNScores!$A$2:$B$91,2,FALSE)</f>
        <v>-6</v>
      </c>
    </row>
    <row r="5" spans="1:21" x14ac:dyDescent="0.25">
      <c r="B5" s="34" t="str">
        <v>Dean Nardone</v>
      </c>
      <c r="C5" s="35">
        <v>-32</v>
      </c>
      <c r="D5" s="64">
        <f t="shared" si="0"/>
        <v>-23</v>
      </c>
      <c r="E5" s="13">
        <v>3</v>
      </c>
      <c r="F5" s="18" t="s">
        <v>262</v>
      </c>
      <c r="G5" s="17">
        <f>VLOOKUP(F5,ESPNScores!$A$2:$B$91,2,FALSE)</f>
        <v>-6</v>
      </c>
      <c r="H5" s="18" t="s">
        <v>262</v>
      </c>
      <c r="I5" s="17">
        <f>VLOOKUP(H5,ESPNScores!$A$2:$B$91,2,FALSE)</f>
        <v>-6</v>
      </c>
      <c r="J5" s="18" t="s">
        <v>32</v>
      </c>
      <c r="K5" s="17">
        <f>VLOOKUP(J5,ESPNScores!$A$2:$B$91,2,FALSE)</f>
        <v>-9</v>
      </c>
      <c r="L5" s="18" t="s">
        <v>32</v>
      </c>
      <c r="M5" s="17">
        <f>VLOOKUP(L5,ESPNScores!$A$2:$B$91,2,FALSE)</f>
        <v>-9</v>
      </c>
      <c r="N5" s="18" t="s">
        <v>262</v>
      </c>
      <c r="O5" s="17">
        <f>VLOOKUP(N5,ESPNScores!$A$2:$B$91,2,FALSE)</f>
        <v>-6</v>
      </c>
      <c r="P5" s="18" t="s">
        <v>262</v>
      </c>
      <c r="Q5" s="17">
        <f>VLOOKUP(P5,ESPNScores!$A$2:$B$91,2,FALSE)</f>
        <v>-6</v>
      </c>
      <c r="R5" s="18" t="s">
        <v>262</v>
      </c>
      <c r="S5" s="17">
        <f>VLOOKUP(R5,ESPNScores!$A$2:$B$91,2,FALSE)</f>
        <v>-6</v>
      </c>
      <c r="T5" s="66" t="s">
        <v>32</v>
      </c>
      <c r="U5" s="17">
        <f>VLOOKUP(T5,ESPNScores!$A$2:$B$91,2,FALSE)</f>
        <v>-9</v>
      </c>
    </row>
    <row r="6" spans="1:21" x14ac:dyDescent="0.25">
      <c r="B6" s="34" t="str">
        <v>Charlie Adams</v>
      </c>
      <c r="C6" s="35">
        <v>-32</v>
      </c>
      <c r="D6" s="64">
        <f t="shared" si="0"/>
        <v>-11</v>
      </c>
      <c r="E6" s="13">
        <v>4</v>
      </c>
      <c r="F6" s="18" t="s">
        <v>331</v>
      </c>
      <c r="G6" s="17">
        <f>VLOOKUP(F6,ESPNScores!$A$2:$B$91,2,FALSE)</f>
        <v>1</v>
      </c>
      <c r="H6" s="18" t="s">
        <v>53</v>
      </c>
      <c r="I6" s="17">
        <f>VLOOKUP(H6,ESPNScores!$A$2:$B$91,2,FALSE)</f>
        <v>-2</v>
      </c>
      <c r="J6" s="18" t="s">
        <v>147</v>
      </c>
      <c r="K6" s="17">
        <f>VLOOKUP(J6,ESPNScores!$A$2:$B$91,2,FALSE)</f>
        <v>-6</v>
      </c>
      <c r="L6" s="18" t="s">
        <v>53</v>
      </c>
      <c r="M6" s="17">
        <f>VLOOKUP(L6,ESPNScores!$A$2:$B$91,2,FALSE)</f>
        <v>-2</v>
      </c>
      <c r="N6" s="18" t="s">
        <v>331</v>
      </c>
      <c r="O6" s="17">
        <f>VLOOKUP(N6,ESPNScores!$A$2:$B$91,2,FALSE)</f>
        <v>1</v>
      </c>
      <c r="P6" s="18" t="s">
        <v>53</v>
      </c>
      <c r="Q6" s="17">
        <f>VLOOKUP(P6,ESPNScores!$A$2:$B$91,2,FALSE)</f>
        <v>-2</v>
      </c>
      <c r="R6" s="18" t="s">
        <v>331</v>
      </c>
      <c r="S6" s="17">
        <f>VLOOKUP(R6,ESPNScores!$A$2:$B$91,2,FALSE)</f>
        <v>1</v>
      </c>
      <c r="T6" s="66" t="s">
        <v>331</v>
      </c>
      <c r="U6" s="17">
        <f>VLOOKUP(T6,ESPNScores!$A$2:$B$91,2,FALSE)</f>
        <v>1</v>
      </c>
    </row>
    <row r="7" spans="1:21" x14ac:dyDescent="0.25">
      <c r="B7" s="34" t="str">
        <v>Bill Seeger</v>
      </c>
      <c r="C7" s="35">
        <v>-32</v>
      </c>
      <c r="D7" s="64">
        <f t="shared" si="0"/>
        <v>-18</v>
      </c>
      <c r="E7" s="13">
        <v>5</v>
      </c>
      <c r="F7" s="18" t="s">
        <v>326</v>
      </c>
      <c r="G7" s="17">
        <f>VLOOKUP(F7,ESPNScores!$A$2:$B$91,2,FALSE)</f>
        <v>-4</v>
      </c>
      <c r="H7" s="18" t="s">
        <v>326</v>
      </c>
      <c r="I7" s="17">
        <f>VLOOKUP(H7,ESPNScores!$A$2:$B$91,2,FALSE)</f>
        <v>-4</v>
      </c>
      <c r="J7" s="18" t="s">
        <v>326</v>
      </c>
      <c r="K7" s="17">
        <f>VLOOKUP(J7,ESPNScores!$A$2:$B$91,2,FALSE)</f>
        <v>-4</v>
      </c>
      <c r="L7" s="18" t="s">
        <v>58</v>
      </c>
      <c r="M7" s="17">
        <f>VLOOKUP(L7,ESPNScores!$A$2:$B$91,2,FALSE)</f>
        <v>-3</v>
      </c>
      <c r="N7" s="18" t="s">
        <v>326</v>
      </c>
      <c r="O7" s="17">
        <f>VLOOKUP(N7,ESPNScores!$A$2:$B$91,2,FALSE)</f>
        <v>-4</v>
      </c>
      <c r="P7" s="18" t="s">
        <v>326</v>
      </c>
      <c r="Q7" s="17">
        <f>VLOOKUP(P7,ESPNScores!$A$2:$B$91,2,FALSE)</f>
        <v>-4</v>
      </c>
      <c r="R7" s="18" t="s">
        <v>326</v>
      </c>
      <c r="S7" s="17">
        <f>VLOOKUP(R7,ESPNScores!$A$2:$B$91,2,FALSE)</f>
        <v>-4</v>
      </c>
      <c r="T7" s="66" t="s">
        <v>58</v>
      </c>
      <c r="U7" s="17">
        <f>VLOOKUP(T7,ESPNScores!$A$2:$B$91,2,FALSE)</f>
        <v>-3</v>
      </c>
    </row>
    <row r="8" spans="1:21" x14ac:dyDescent="0.25">
      <c r="B8" s="34" t="str">
        <v>Chris Callahan</v>
      </c>
      <c r="C8" s="35">
        <v>-32</v>
      </c>
      <c r="D8" s="64"/>
      <c r="E8" s="13">
        <v>6</v>
      </c>
      <c r="F8" s="18" t="s">
        <v>44</v>
      </c>
      <c r="G8" s="17">
        <f>VLOOKUP(F8,ESPNScores!$A$2:$B$91,2,FALSE)</f>
        <v>-3</v>
      </c>
      <c r="H8" s="18" t="s">
        <v>44</v>
      </c>
      <c r="I8" s="17">
        <f>VLOOKUP(H8,ESPNScores!$A$2:$B$91,2,FALSE)</f>
        <v>-3</v>
      </c>
      <c r="J8" s="18" t="s">
        <v>50</v>
      </c>
      <c r="K8" s="17">
        <f>VLOOKUP(J8,ESPNScores!$A$2:$B$91,2,FALSE)</f>
        <v>0</v>
      </c>
      <c r="L8" s="18" t="s">
        <v>50</v>
      </c>
      <c r="M8" s="17">
        <f>VLOOKUP(L8,ESPNScores!$A$2:$B$91,2,FALSE)</f>
        <v>0</v>
      </c>
      <c r="N8" s="18" t="s">
        <v>44</v>
      </c>
      <c r="O8" s="17">
        <f>VLOOKUP(N8,ESPNScores!$A$2:$B$91,2,FALSE)</f>
        <v>-3</v>
      </c>
      <c r="P8" s="18" t="s">
        <v>44</v>
      </c>
      <c r="Q8" s="17">
        <f>VLOOKUP(P8,ESPNScores!$A$2:$B$91,2,FALSE)</f>
        <v>-3</v>
      </c>
      <c r="R8" s="18" t="s">
        <v>44</v>
      </c>
      <c r="S8" s="17">
        <f>VLOOKUP(R8,ESPNScores!$A$2:$B$91,2,FALSE)</f>
        <v>-3</v>
      </c>
      <c r="T8" s="66" t="s">
        <v>44</v>
      </c>
      <c r="U8" s="17">
        <f>VLOOKUP(T8,ESPNScores!$A$2:$B$91,2,FALSE)</f>
        <v>-3</v>
      </c>
    </row>
    <row r="9" spans="1:21" x14ac:dyDescent="0.25">
      <c r="B9" s="34" t="str">
        <v>Damon Chapman</v>
      </c>
      <c r="C9" s="35">
        <v>-32</v>
      </c>
      <c r="D9" s="64"/>
      <c r="E9" s="13">
        <v>7</v>
      </c>
      <c r="F9" s="18" t="s">
        <v>29</v>
      </c>
      <c r="G9" s="17">
        <f>VLOOKUP(F9,ESPNScores!$A$2:$B$91,2,FALSE)</f>
        <v>-6</v>
      </c>
      <c r="H9" s="18" t="s">
        <v>41</v>
      </c>
      <c r="I9" s="17">
        <f>VLOOKUP(H9,ESPNScores!$A$2:$B$91,2,FALSE)</f>
        <v>-6</v>
      </c>
      <c r="J9" s="18" t="s">
        <v>41</v>
      </c>
      <c r="K9" s="17">
        <f>VLOOKUP(J9,ESPNScores!$A$2:$B$91,2,FALSE)</f>
        <v>-6</v>
      </c>
      <c r="L9" s="18" t="s">
        <v>29</v>
      </c>
      <c r="M9" s="17">
        <f>VLOOKUP(L9,ESPNScores!$A$2:$B$91,2,FALSE)</f>
        <v>-6</v>
      </c>
      <c r="N9" s="18" t="s">
        <v>29</v>
      </c>
      <c r="O9" s="17">
        <f>VLOOKUP(N9,ESPNScores!$A$2:$B$91,2,FALSE)</f>
        <v>-6</v>
      </c>
      <c r="P9" s="18" t="s">
        <v>41</v>
      </c>
      <c r="Q9" s="17">
        <f>VLOOKUP(P9,ESPNScores!$A$2:$B$91,2,FALSE)</f>
        <v>-6</v>
      </c>
      <c r="R9" s="18" t="s">
        <v>29</v>
      </c>
      <c r="S9" s="17">
        <f>VLOOKUP(R9,ESPNScores!$A$2:$B$91,2,FALSE)</f>
        <v>-6</v>
      </c>
      <c r="T9" s="66" t="s">
        <v>41</v>
      </c>
      <c r="U9" s="17">
        <f>VLOOKUP(T9,ESPNScores!$A$2:$B$91,2,FALSE)</f>
        <v>-6</v>
      </c>
    </row>
    <row r="10" spans="1:21" x14ac:dyDescent="0.25">
      <c r="B10" s="34" t="str">
        <v>Matt Desai</v>
      </c>
      <c r="C10" s="35">
        <v>-31</v>
      </c>
      <c r="D10" s="64"/>
      <c r="E10" s="13">
        <v>8</v>
      </c>
      <c r="F10" s="18" t="s">
        <v>62</v>
      </c>
      <c r="G10" s="17">
        <f>VLOOKUP(F10,ESPNScores!$A$2:$B$91,2,FALSE)</f>
        <v>-1</v>
      </c>
      <c r="H10" s="18" t="s">
        <v>49</v>
      </c>
      <c r="I10" s="17">
        <f>VLOOKUP(H10,ESPNScores!$A$2:$B$91,2,FALSE)</f>
        <v>-2</v>
      </c>
      <c r="J10" s="18" t="s">
        <v>49</v>
      </c>
      <c r="K10" s="17">
        <f>VLOOKUP(J10,ESPNScores!$A$2:$B$91,2,FALSE)</f>
        <v>-2</v>
      </c>
      <c r="L10" s="18" t="s">
        <v>49</v>
      </c>
      <c r="M10" s="17">
        <f>VLOOKUP(L10,ESPNScores!$A$2:$B$91,2,FALSE)</f>
        <v>-2</v>
      </c>
      <c r="N10" s="18" t="s">
        <v>49</v>
      </c>
      <c r="O10" s="17">
        <f>VLOOKUP(N10,ESPNScores!$A$2:$B$91,2,FALSE)</f>
        <v>-2</v>
      </c>
      <c r="P10" s="18" t="s">
        <v>62</v>
      </c>
      <c r="Q10" s="17">
        <f>VLOOKUP(P10,ESPNScores!$A$2:$B$91,2,FALSE)</f>
        <v>-1</v>
      </c>
      <c r="R10" s="18" t="s">
        <v>49</v>
      </c>
      <c r="S10" s="17">
        <f>VLOOKUP(R10,ESPNScores!$A$2:$B$91,2,FALSE)</f>
        <v>-2</v>
      </c>
      <c r="T10" s="66" t="s">
        <v>49</v>
      </c>
      <c r="U10" s="17">
        <f>VLOOKUP(T10,ESPNScores!$A$2:$B$91,2,FALSE)</f>
        <v>-2</v>
      </c>
    </row>
    <row r="11" spans="1:21" x14ac:dyDescent="0.25">
      <c r="B11" s="34" t="str">
        <v>Anthony Neville</v>
      </c>
      <c r="C11" s="35">
        <v>-31</v>
      </c>
      <c r="D11" s="69"/>
      <c r="E11" s="13">
        <v>9</v>
      </c>
      <c r="F11" s="18" t="s">
        <v>42</v>
      </c>
      <c r="G11" s="17">
        <f>VLOOKUP(F11,ESPNScores!$A$2:$B$91,2,FALSE)</f>
        <v>-3</v>
      </c>
      <c r="H11" s="18" t="s">
        <v>42</v>
      </c>
      <c r="I11" s="17">
        <f>VLOOKUP(H11,ESPNScores!$A$2:$B$91,2,FALSE)</f>
        <v>-3</v>
      </c>
      <c r="J11" s="18" t="s">
        <v>397</v>
      </c>
      <c r="K11" s="17">
        <f>VLOOKUP(J11,ESPNScores!$A$2:$B$91,2,FALSE)</f>
        <v>0</v>
      </c>
      <c r="L11" s="18" t="s">
        <v>397</v>
      </c>
      <c r="M11" s="17">
        <f>VLOOKUP(L11,ESPNScores!$A$2:$B$91,2,FALSE)</f>
        <v>0</v>
      </c>
      <c r="N11" s="18" t="s">
        <v>397</v>
      </c>
      <c r="O11" s="17">
        <f>VLOOKUP(N11,ESPNScores!$A$2:$B$91,2,FALSE)</f>
        <v>0</v>
      </c>
      <c r="P11" s="18" t="s">
        <v>397</v>
      </c>
      <c r="Q11" s="17">
        <f>VLOOKUP(P11,ESPNScores!$A$2:$B$91,2,FALSE)</f>
        <v>0</v>
      </c>
      <c r="R11" s="18" t="s">
        <v>397</v>
      </c>
      <c r="S11" s="17">
        <f>VLOOKUP(R11,ESPNScores!$A$2:$B$91,2,FALSE)</f>
        <v>0</v>
      </c>
      <c r="T11" s="66" t="s">
        <v>397</v>
      </c>
      <c r="U11" s="17">
        <f>VLOOKUP(T11,ESPNScores!$A$2:$B$91,2,FALSE)</f>
        <v>0</v>
      </c>
    </row>
    <row r="12" spans="1:21" x14ac:dyDescent="0.25">
      <c r="B12" s="34" t="str">
        <v>Chris Marinis</v>
      </c>
      <c r="C12" s="35">
        <v>-30</v>
      </c>
      <c r="D12" s="69"/>
      <c r="E12" s="13">
        <v>10</v>
      </c>
      <c r="F12" s="18" t="s">
        <v>288</v>
      </c>
      <c r="G12" s="17">
        <f>VLOOKUP(F12,ESPNScores!$A$2:$B$91,2,FALSE)</f>
        <v>-4</v>
      </c>
      <c r="H12" s="18" t="s">
        <v>288</v>
      </c>
      <c r="I12" s="17">
        <f>VLOOKUP(H12,ESPNScores!$A$2:$B$91,2,FALSE)</f>
        <v>-4</v>
      </c>
      <c r="J12" s="18" t="s">
        <v>36</v>
      </c>
      <c r="K12" s="17">
        <f>VLOOKUP(J12,ESPNScores!$A$2:$B$91,2,FALSE)</f>
        <v>-2</v>
      </c>
      <c r="L12" s="18" t="s">
        <v>288</v>
      </c>
      <c r="M12" s="17">
        <f>VLOOKUP(L12,ESPNScores!$A$2:$B$91,2,FALSE)</f>
        <v>-4</v>
      </c>
      <c r="N12" s="18" t="s">
        <v>332</v>
      </c>
      <c r="O12" s="17">
        <f>VLOOKUP(N12,ESPNScores!$A$2:$B$91,2,FALSE)</f>
        <v>0</v>
      </c>
      <c r="P12" s="18" t="s">
        <v>332</v>
      </c>
      <c r="Q12" s="17">
        <f>VLOOKUP(P12,ESPNScores!$A$2:$B$91,2,FALSE)</f>
        <v>0</v>
      </c>
      <c r="R12" s="18" t="s">
        <v>288</v>
      </c>
      <c r="S12" s="17">
        <f>VLOOKUP(R12,ESPNScores!$A$2:$B$91,2,FALSE)</f>
        <v>-4</v>
      </c>
      <c r="T12" s="66" t="s">
        <v>36</v>
      </c>
      <c r="U12" s="17">
        <f>VLOOKUP(T12,ESPNScores!$A$2:$B$91,2,FALSE)</f>
        <v>-2</v>
      </c>
    </row>
    <row r="13" spans="1:21" x14ac:dyDescent="0.25">
      <c r="B13" s="34" t="str">
        <v>Joe Magnetico</v>
      </c>
      <c r="C13" s="35">
        <v>-29</v>
      </c>
      <c r="D13" s="69"/>
      <c r="E13" s="14"/>
    </row>
    <row r="14" spans="1:21" s="7" customFormat="1" x14ac:dyDescent="0.25">
      <c r="B14" s="34" t="str">
        <v>Halley Ganges</v>
      </c>
      <c r="C14" s="35">
        <v>-29</v>
      </c>
      <c r="D14" s="69"/>
      <c r="E14" s="12"/>
      <c r="F14" s="10" t="s">
        <v>14</v>
      </c>
      <c r="G14" s="11">
        <f>SMALL(G15:G24,1)+SMALL(G15:G24,2)+SMALL(G15:G24,3)+SMALL(G15:G24,4)+SMALL(G15:G24,5)</f>
        <v>-24</v>
      </c>
      <c r="H14" s="10" t="s">
        <v>6</v>
      </c>
      <c r="I14" s="11">
        <f>SMALL(I15:I24,1)+SMALL(I15:I24,2)+SMALL(I15:I24,3)+SMALL(I15:I24,4)+SMALL(I15:I24,5)</f>
        <v>-32</v>
      </c>
      <c r="J14" s="10" t="s">
        <v>13</v>
      </c>
      <c r="K14" s="11">
        <f>SMALL(K15:K24,1)+SMALL(K15:K24,2)+SMALL(K15:K24,3)+SMALL(K15:K24,4)+SMALL(K15:K24,5)</f>
        <v>-22</v>
      </c>
      <c r="L14" s="7" t="s">
        <v>355</v>
      </c>
      <c r="M14" s="11">
        <f>SMALL(M15:M24,1)+SMALL(M15:M24,2)+SMALL(M15:M24,3)+SMALL(M15:M24,4)+SMALL(M15:M24,5)</f>
        <v>-28</v>
      </c>
      <c r="N14" s="10" t="s">
        <v>4</v>
      </c>
      <c r="O14" s="11">
        <f>SMALL(O15:O24,1)+SMALL(O15:O24,2)+SMALL(O15:O24,3)+SMALL(O15:O24,4)+SMALL(O15:O24,5)</f>
        <v>-29</v>
      </c>
      <c r="P14" s="10" t="s">
        <v>22</v>
      </c>
      <c r="Q14" s="11">
        <f>SMALL(Q15:Q24,1)+SMALL(Q15:Q24,2)+SMALL(Q15:Q24,3)+SMALL(Q15:Q24,4)+SMALL(Q15:Q24,5)</f>
        <v>-34</v>
      </c>
      <c r="R14" s="10" t="s">
        <v>16</v>
      </c>
      <c r="S14" s="11">
        <f>SMALL(S15:S24,1)+SMALL(S15:S24,2)+SMALL(S15:S24,3)+SMALL(S15:S24,4)+SMALL(S15:S24,5)</f>
        <v>-32</v>
      </c>
      <c r="T14" s="10"/>
      <c r="U14" s="11"/>
    </row>
    <row r="15" spans="1:21" x14ac:dyDescent="0.25">
      <c r="B15" s="34" t="str">
        <v>Lorraine McGill</v>
      </c>
      <c r="C15" s="35">
        <v>-29</v>
      </c>
      <c r="D15" s="69"/>
      <c r="E15" s="13">
        <v>1</v>
      </c>
      <c r="F15" s="18" t="s">
        <v>25</v>
      </c>
      <c r="G15" s="17">
        <f>VLOOKUP(F15,ESPNScores!$A$2:$B$91,2,FALSE)</f>
        <v>-7</v>
      </c>
      <c r="H15" s="18" t="s">
        <v>25</v>
      </c>
      <c r="I15" s="17">
        <f>VLOOKUP(H15,ESPNScores!$A$2:$B$91,2,FALSE)</f>
        <v>-7</v>
      </c>
      <c r="J15" s="18" t="s">
        <v>25</v>
      </c>
      <c r="K15" s="17">
        <f>VLOOKUP(J15,ESPNScores!$A$2:$B$91,2,FALSE)</f>
        <v>-7</v>
      </c>
      <c r="L15" s="18" t="s">
        <v>26</v>
      </c>
      <c r="M15" s="17">
        <f>VLOOKUP(L15,ESPNScores!$A$2:$B$91,2,FALSE)</f>
        <v>-4</v>
      </c>
      <c r="N15" s="18" t="s">
        <v>25</v>
      </c>
      <c r="O15" s="17">
        <f>VLOOKUP(N15,ESPNScores!$A$2:$B$91,2,FALSE)</f>
        <v>-7</v>
      </c>
      <c r="P15" s="18" t="s">
        <v>25</v>
      </c>
      <c r="Q15" s="17">
        <f>VLOOKUP(P15,ESPNScores!$A$2:$B$91,2,FALSE)</f>
        <v>-7</v>
      </c>
      <c r="R15" s="18" t="s">
        <v>25</v>
      </c>
      <c r="S15" s="17">
        <f>VLOOKUP(R15,ESPNScores!$A$2:$B$91,2,FALSE)</f>
        <v>-7</v>
      </c>
      <c r="T15" s="66"/>
    </row>
    <row r="16" spans="1:21" x14ac:dyDescent="0.25">
      <c r="B16" s="34" t="str">
        <v>Anne Heal</v>
      </c>
      <c r="C16" s="35">
        <v>-28</v>
      </c>
      <c r="D16" s="69"/>
      <c r="E16" s="13">
        <v>2</v>
      </c>
      <c r="F16" s="18" t="s">
        <v>285</v>
      </c>
      <c r="G16" s="17">
        <f>VLOOKUP(F16,ESPNScores!$A$2:$B$91,2,FALSE)</f>
        <v>-4</v>
      </c>
      <c r="H16" s="18" t="s">
        <v>31</v>
      </c>
      <c r="I16" s="17">
        <f>VLOOKUP(H16,ESPNScores!$A$2:$B$91,2,FALSE)</f>
        <v>-6</v>
      </c>
      <c r="J16" s="18" t="s">
        <v>54</v>
      </c>
      <c r="K16" s="17">
        <f>VLOOKUP(J16,ESPNScores!$A$2:$B$91,2,FALSE)</f>
        <v>-1</v>
      </c>
      <c r="L16" s="18" t="s">
        <v>31</v>
      </c>
      <c r="M16" s="17">
        <f>VLOOKUP(L16,ESPNScores!$A$2:$B$91,2,FALSE)</f>
        <v>-6</v>
      </c>
      <c r="N16" s="18" t="s">
        <v>31</v>
      </c>
      <c r="O16" s="17">
        <f>VLOOKUP(N16,ESPNScores!$A$2:$B$91,2,FALSE)</f>
        <v>-6</v>
      </c>
      <c r="P16" s="18" t="s">
        <v>31</v>
      </c>
      <c r="Q16" s="17">
        <f>VLOOKUP(P16,ESPNScores!$A$2:$B$91,2,FALSE)</f>
        <v>-6</v>
      </c>
      <c r="R16" s="18" t="s">
        <v>31</v>
      </c>
      <c r="S16" s="17">
        <f>VLOOKUP(R16,ESPNScores!$A$2:$B$91,2,FALSE)</f>
        <v>-6</v>
      </c>
      <c r="T16" s="66"/>
    </row>
    <row r="17" spans="2:23" x14ac:dyDescent="0.25">
      <c r="B17" s="34" t="str">
        <v>Richard Webster</v>
      </c>
      <c r="C17" s="35">
        <v>-27</v>
      </c>
      <c r="D17" s="69"/>
      <c r="E17" s="13">
        <v>3</v>
      </c>
      <c r="F17" s="18" t="s">
        <v>47</v>
      </c>
      <c r="G17" s="17">
        <f>VLOOKUP(F17,ESPNScores!$A$2:$B$91,2,FALSE)</f>
        <v>4</v>
      </c>
      <c r="H17" s="18" t="s">
        <v>32</v>
      </c>
      <c r="I17" s="17">
        <f>VLOOKUP(H17,ESPNScores!$A$2:$B$91,2,FALSE)</f>
        <v>-9</v>
      </c>
      <c r="J17" s="18" t="s">
        <v>47</v>
      </c>
      <c r="K17" s="17">
        <f>VLOOKUP(J17,ESPNScores!$A$2:$B$91,2,FALSE)</f>
        <v>4</v>
      </c>
      <c r="L17" s="18" t="s">
        <v>262</v>
      </c>
      <c r="M17" s="17">
        <f>VLOOKUP(L17,ESPNScores!$A$2:$B$91,2,FALSE)</f>
        <v>-6</v>
      </c>
      <c r="N17" s="18" t="s">
        <v>262</v>
      </c>
      <c r="O17" s="17">
        <f>VLOOKUP(N17,ESPNScores!$A$2:$B$91,2,FALSE)</f>
        <v>-6</v>
      </c>
      <c r="P17" s="18" t="s">
        <v>32</v>
      </c>
      <c r="Q17" s="17">
        <f>VLOOKUP(P17,ESPNScores!$A$2:$B$91,2,FALSE)</f>
        <v>-9</v>
      </c>
      <c r="R17" s="18" t="s">
        <v>32</v>
      </c>
      <c r="S17" s="17">
        <f>VLOOKUP(R17,ESPNScores!$A$2:$B$91,2,FALSE)</f>
        <v>-9</v>
      </c>
      <c r="T17" s="66"/>
    </row>
    <row r="18" spans="2:23" x14ac:dyDescent="0.25">
      <c r="B18" s="34" t="str">
        <v>Sean Christian</v>
      </c>
      <c r="C18" s="35">
        <v>-27</v>
      </c>
      <c r="D18" s="69"/>
      <c r="E18" s="13">
        <v>4</v>
      </c>
      <c r="F18" s="18" t="s">
        <v>53</v>
      </c>
      <c r="G18" s="17">
        <f>VLOOKUP(F18,ESPNScores!$A$2:$B$91,2,FALSE)</f>
        <v>-2</v>
      </c>
      <c r="H18" s="18" t="s">
        <v>53</v>
      </c>
      <c r="I18" s="17">
        <f>VLOOKUP(H18,ESPNScores!$A$2:$B$91,2,FALSE)</f>
        <v>-2</v>
      </c>
      <c r="J18" s="18" t="s">
        <v>331</v>
      </c>
      <c r="K18" s="17">
        <f>VLOOKUP(J18,ESPNScores!$A$2:$B$91,2,FALSE)</f>
        <v>1</v>
      </c>
      <c r="L18" s="18" t="s">
        <v>147</v>
      </c>
      <c r="M18" s="17">
        <f>VLOOKUP(L18,ESPNScores!$A$2:$B$91,2,FALSE)</f>
        <v>-6</v>
      </c>
      <c r="N18" s="18" t="s">
        <v>331</v>
      </c>
      <c r="O18" s="17">
        <f>VLOOKUP(N18,ESPNScores!$A$2:$B$91,2,FALSE)</f>
        <v>1</v>
      </c>
      <c r="P18" s="18" t="s">
        <v>147</v>
      </c>
      <c r="Q18" s="17">
        <f>VLOOKUP(P18,ESPNScores!$A$2:$B$91,2,FALSE)</f>
        <v>-6</v>
      </c>
      <c r="R18" s="18" t="s">
        <v>331</v>
      </c>
      <c r="S18" s="17">
        <f>VLOOKUP(R18,ESPNScores!$A$2:$B$91,2,FALSE)</f>
        <v>1</v>
      </c>
      <c r="T18" s="66"/>
    </row>
    <row r="19" spans="2:23" x14ac:dyDescent="0.25">
      <c r="B19" s="34" t="str">
        <v>Russ Flagg</v>
      </c>
      <c r="C19" s="35">
        <v>-26</v>
      </c>
      <c r="D19" s="69"/>
      <c r="E19" s="13">
        <v>5</v>
      </c>
      <c r="F19" s="18" t="s">
        <v>326</v>
      </c>
      <c r="G19" s="17">
        <f>VLOOKUP(F19,ESPNScores!$A$2:$B$91,2,FALSE)</f>
        <v>-4</v>
      </c>
      <c r="H19" s="18" t="s">
        <v>326</v>
      </c>
      <c r="I19" s="17">
        <f>VLOOKUP(H19,ESPNScores!$A$2:$B$91,2,FALSE)</f>
        <v>-4</v>
      </c>
      <c r="J19" s="18" t="s">
        <v>326</v>
      </c>
      <c r="K19" s="17">
        <f>VLOOKUP(J19,ESPNScores!$A$2:$B$91,2,FALSE)</f>
        <v>-4</v>
      </c>
      <c r="L19" s="18" t="s">
        <v>58</v>
      </c>
      <c r="M19" s="17">
        <f>VLOOKUP(L19,ESPNScores!$A$2:$B$91,2,FALSE)</f>
        <v>-3</v>
      </c>
      <c r="N19" s="18" t="s">
        <v>326</v>
      </c>
      <c r="O19" s="17">
        <f>VLOOKUP(N19,ESPNScores!$A$2:$B$91,2,FALSE)</f>
        <v>-4</v>
      </c>
      <c r="P19" s="18" t="s">
        <v>326</v>
      </c>
      <c r="Q19" s="17">
        <f>VLOOKUP(P19,ESPNScores!$A$2:$B$91,2,FALSE)</f>
        <v>-4</v>
      </c>
      <c r="R19" s="18" t="s">
        <v>326</v>
      </c>
      <c r="S19" s="17">
        <f>VLOOKUP(R19,ESPNScores!$A$2:$B$91,2,FALSE)</f>
        <v>-4</v>
      </c>
      <c r="T19" s="66"/>
    </row>
    <row r="20" spans="2:23" x14ac:dyDescent="0.25">
      <c r="B20" s="34" t="str">
        <v>Gary Casarsa</v>
      </c>
      <c r="C20" s="35">
        <v>-26</v>
      </c>
      <c r="D20" s="69"/>
      <c r="E20" s="13">
        <v>6</v>
      </c>
      <c r="F20" s="18" t="s">
        <v>44</v>
      </c>
      <c r="G20" s="17">
        <f>VLOOKUP(F20,ESPNScores!$A$2:$B$91,2,FALSE)</f>
        <v>-3</v>
      </c>
      <c r="H20" s="18" t="s">
        <v>30</v>
      </c>
      <c r="I20" s="17">
        <f>VLOOKUP(H20,ESPNScores!$A$2:$B$91,2,FALSE)</f>
        <v>-3</v>
      </c>
      <c r="J20" s="18" t="s">
        <v>50</v>
      </c>
      <c r="K20" s="17">
        <f>VLOOKUP(J20,ESPNScores!$A$2:$B$91,2,FALSE)</f>
        <v>0</v>
      </c>
      <c r="L20" s="18" t="s">
        <v>50</v>
      </c>
      <c r="M20" s="17">
        <f>VLOOKUP(L20,ESPNScores!$A$2:$B$91,2,FALSE)</f>
        <v>0</v>
      </c>
      <c r="N20" s="18" t="s">
        <v>44</v>
      </c>
      <c r="O20" s="17">
        <f>VLOOKUP(N20,ESPNScores!$A$2:$B$91,2,FALSE)</f>
        <v>-3</v>
      </c>
      <c r="P20" s="18" t="s">
        <v>44</v>
      </c>
      <c r="Q20" s="17">
        <f>VLOOKUP(P20,ESPNScores!$A$2:$B$91,2,FALSE)</f>
        <v>-3</v>
      </c>
      <c r="R20" s="18" t="s">
        <v>44</v>
      </c>
      <c r="S20" s="17">
        <f>VLOOKUP(R20,ESPNScores!$A$2:$B$91,2,FALSE)</f>
        <v>-3</v>
      </c>
      <c r="T20" s="66"/>
    </row>
    <row r="21" spans="2:23" x14ac:dyDescent="0.25">
      <c r="B21" s="34" t="str">
        <v>Ken Webster</v>
      </c>
      <c r="C21" s="35">
        <v>-26</v>
      </c>
      <c r="D21" s="69"/>
      <c r="E21" s="13">
        <v>7</v>
      </c>
      <c r="F21" s="18" t="s">
        <v>41</v>
      </c>
      <c r="G21" s="17">
        <f>VLOOKUP(F21,ESPNScores!$A$2:$B$91,2,FALSE)</f>
        <v>-6</v>
      </c>
      <c r="H21" s="18" t="s">
        <v>41</v>
      </c>
      <c r="I21" s="17">
        <f>VLOOKUP(H21,ESPNScores!$A$2:$B$91,2,FALSE)</f>
        <v>-6</v>
      </c>
      <c r="J21" s="18" t="s">
        <v>29</v>
      </c>
      <c r="K21" s="17">
        <f>VLOOKUP(J21,ESPNScores!$A$2:$B$91,2,FALSE)</f>
        <v>-6</v>
      </c>
      <c r="L21" s="18" t="s">
        <v>29</v>
      </c>
      <c r="M21" s="17">
        <f>VLOOKUP(L21,ESPNScores!$A$2:$B$91,2,FALSE)</f>
        <v>-6</v>
      </c>
      <c r="N21" s="18" t="s">
        <v>41</v>
      </c>
      <c r="O21" s="17">
        <f>VLOOKUP(N21,ESPNScores!$A$2:$B$91,2,FALSE)</f>
        <v>-6</v>
      </c>
      <c r="P21" s="18" t="s">
        <v>29</v>
      </c>
      <c r="Q21" s="17">
        <f>VLOOKUP(P21,ESPNScores!$A$2:$B$91,2,FALSE)</f>
        <v>-6</v>
      </c>
      <c r="R21" s="18" t="s">
        <v>41</v>
      </c>
      <c r="S21" s="17">
        <f>VLOOKUP(R21,ESPNScores!$A$2:$B$91,2,FALSE)</f>
        <v>-6</v>
      </c>
      <c r="T21" s="68"/>
    </row>
    <row r="22" spans="2:23" x14ac:dyDescent="0.25">
      <c r="B22" s="34" t="str">
        <v>Matt Myers</v>
      </c>
      <c r="C22" s="35">
        <v>-25</v>
      </c>
      <c r="D22" s="69"/>
      <c r="E22" s="13">
        <v>8</v>
      </c>
      <c r="F22" s="18" t="s">
        <v>62</v>
      </c>
      <c r="G22" s="17">
        <f>VLOOKUP(F22,ESPNScores!$A$2:$B$91,2,FALSE)</f>
        <v>-1</v>
      </c>
      <c r="H22" s="18" t="s">
        <v>171</v>
      </c>
      <c r="I22" s="17">
        <f>VLOOKUP(H22,ESPNScores!$A$2:$B$91,2,FALSE)</f>
        <v>0</v>
      </c>
      <c r="J22" s="18" t="s">
        <v>49</v>
      </c>
      <c r="K22" s="17">
        <f>VLOOKUP(J22,ESPNScores!$A$2:$B$91,2,FALSE)</f>
        <v>-2</v>
      </c>
      <c r="L22" s="18" t="s">
        <v>171</v>
      </c>
      <c r="M22" s="17">
        <f>VLOOKUP(L22,ESPNScores!$A$2:$B$91,2,FALSE)</f>
        <v>0</v>
      </c>
      <c r="N22" s="18" t="s">
        <v>49</v>
      </c>
      <c r="O22" s="17">
        <f>VLOOKUP(N22,ESPNScores!$A$2:$B$91,2,FALSE)</f>
        <v>-2</v>
      </c>
      <c r="P22" s="18" t="s">
        <v>49</v>
      </c>
      <c r="Q22" s="17">
        <f>VLOOKUP(P22,ESPNScores!$A$2:$B$91,2,FALSE)</f>
        <v>-2</v>
      </c>
      <c r="R22" s="18" t="s">
        <v>49</v>
      </c>
      <c r="S22" s="17">
        <f>VLOOKUP(R22,ESPNScores!$A$2:$B$91,2,FALSE)</f>
        <v>-2</v>
      </c>
      <c r="T22" s="66"/>
    </row>
    <row r="23" spans="2:23" x14ac:dyDescent="0.25">
      <c r="B23" s="34" t="str">
        <v>Mike Coope</v>
      </c>
      <c r="C23" s="35">
        <v>-24</v>
      </c>
      <c r="D23" s="69"/>
      <c r="E23" s="13">
        <v>9</v>
      </c>
      <c r="F23" s="18" t="s">
        <v>397</v>
      </c>
      <c r="G23" s="17">
        <f>VLOOKUP(F23,ESPNScores!$A$2:$B$91,2,FALSE)</f>
        <v>0</v>
      </c>
      <c r="H23" s="18" t="s">
        <v>42</v>
      </c>
      <c r="I23" s="17">
        <f>VLOOKUP(H23,ESPNScores!$A$2:$B$91,2,FALSE)</f>
        <v>-3</v>
      </c>
      <c r="J23" s="18" t="s">
        <v>42</v>
      </c>
      <c r="K23" s="17">
        <f>VLOOKUP(J23,ESPNScores!$A$2:$B$91,2,FALSE)</f>
        <v>-3</v>
      </c>
      <c r="L23" s="18" t="s">
        <v>397</v>
      </c>
      <c r="M23" s="17">
        <f>VLOOKUP(L23,ESPNScores!$A$2:$B$91,2,FALSE)</f>
        <v>0</v>
      </c>
      <c r="N23" s="18" t="s">
        <v>397</v>
      </c>
      <c r="O23" s="17">
        <f>VLOOKUP(N23,ESPNScores!$A$2:$B$91,2,FALSE)</f>
        <v>0</v>
      </c>
      <c r="P23" s="18" t="s">
        <v>397</v>
      </c>
      <c r="Q23" s="17">
        <f>VLOOKUP(P23,ESPNScores!$A$2:$B$91,2,FALSE)</f>
        <v>0</v>
      </c>
      <c r="R23" s="18" t="s">
        <v>397</v>
      </c>
      <c r="S23" s="17">
        <f>VLOOKUP(R23,ESPNScores!$A$2:$B$91,2,FALSE)</f>
        <v>0</v>
      </c>
      <c r="T23" s="66"/>
    </row>
    <row r="24" spans="2:23" x14ac:dyDescent="0.25">
      <c r="B24" s="36" t="str">
        <v>Laurie Seeger</v>
      </c>
      <c r="C24" s="37">
        <v>-22</v>
      </c>
      <c r="D24" s="70"/>
      <c r="E24" s="13">
        <v>10</v>
      </c>
      <c r="F24" s="18" t="s">
        <v>332</v>
      </c>
      <c r="G24" s="17">
        <f>VLOOKUP(F24,ESPNScores!$A$2:$B$91,2,FALSE)</f>
        <v>0</v>
      </c>
      <c r="H24" s="18" t="s">
        <v>36</v>
      </c>
      <c r="I24" s="17">
        <f>VLOOKUP(H24,ESPNScores!$A$2:$B$91,2,FALSE)</f>
        <v>-2</v>
      </c>
      <c r="J24" s="18" t="s">
        <v>36</v>
      </c>
      <c r="K24" s="17">
        <f>VLOOKUP(J24,ESPNScores!$A$2:$B$91,2,FALSE)</f>
        <v>-2</v>
      </c>
      <c r="L24" s="18" t="s">
        <v>332</v>
      </c>
      <c r="M24" s="17">
        <f>VLOOKUP(L24,ESPNScores!$A$2:$B$91,2,FALSE)</f>
        <v>0</v>
      </c>
      <c r="N24" s="18" t="s">
        <v>288</v>
      </c>
      <c r="O24" s="17">
        <f>VLOOKUP(N24,ESPNScores!$A$2:$B$91,2,FALSE)</f>
        <v>-4</v>
      </c>
      <c r="P24" s="18" t="s">
        <v>332</v>
      </c>
      <c r="Q24" s="17">
        <f>VLOOKUP(P24,ESPNScores!$A$2:$B$91,2,FALSE)</f>
        <v>0</v>
      </c>
      <c r="R24" s="18" t="s">
        <v>288</v>
      </c>
      <c r="S24" s="17">
        <f>VLOOKUP(R24,ESPNScores!$A$2:$B$91,2,FALSE)</f>
        <v>-4</v>
      </c>
      <c r="T24" s="66"/>
    </row>
    <row r="25" spans="2:23" x14ac:dyDescent="0.25">
      <c r="B25" s="18"/>
      <c r="C25" s="18"/>
      <c r="D25" s="18"/>
      <c r="E25" s="14"/>
    </row>
    <row r="26" spans="2:23" s="7" customFormat="1" x14ac:dyDescent="0.25">
      <c r="B26" s="77" t="s">
        <v>329</v>
      </c>
      <c r="C26" s="17"/>
      <c r="D26" s="71"/>
      <c r="E26" s="12"/>
      <c r="F26" s="10" t="s">
        <v>19</v>
      </c>
      <c r="G26" s="11">
        <f>SMALL(G27:G36,1)+SMALL(G27:G36,2)+SMALL(G27:G36,3)+SMALL(G27:G36,4)+SMALL(G27:G36,5)</f>
        <v>-27</v>
      </c>
      <c r="H26" s="10" t="s">
        <v>18</v>
      </c>
      <c r="I26" s="11">
        <f>SMALL(I27:I36,1)+SMALL(I27:I36,2)+SMALL(I27:I36,3)+SMALL(I27:I36,4)+SMALL(I27:I36,5)</f>
        <v>-34</v>
      </c>
      <c r="J26" s="10" t="s">
        <v>20</v>
      </c>
      <c r="K26" s="11">
        <f>SMALL(K27:K36,1)+SMALL(K27:K36,2)+SMALL(K27:K36,3)+SMALL(K27:K36,4)+SMALL(K27:K36,5)</f>
        <v>-26</v>
      </c>
      <c r="L26" s="10" t="s">
        <v>7</v>
      </c>
      <c r="M26" s="11">
        <f>SMALL(M27:M36,1)+SMALL(M27:M36,2)+SMALL(M27:M36,3)+SMALL(M27:M36,4)+SMALL(M27:M36,5)</f>
        <v>-25</v>
      </c>
      <c r="N26" s="10" t="s">
        <v>11</v>
      </c>
      <c r="O26" s="11">
        <f>SMALL(O27:O36,1)+SMALL(O27:O36,2)+SMALL(O27:O36,3)+SMALL(O27:O36,4)+SMALL(O27:O36,5)</f>
        <v>-32</v>
      </c>
      <c r="P26" s="10" t="s">
        <v>21</v>
      </c>
      <c r="Q26" s="11">
        <f>SMALL(Q27:Q36,1)+SMALL(Q27:Q36,2)+SMALL(Q27:Q36,3)+SMALL(Q27:Q36,4)+SMALL(Q27:Q36,5)</f>
        <v>-30</v>
      </c>
      <c r="R26" s="10" t="s">
        <v>403</v>
      </c>
      <c r="S26" s="11">
        <f>SMALL(S27:S36,1)+SMALL(S27:S36,2)+SMALL(S27:S36,3)+SMALL(S27:S36,4)+SMALL(S27:S36,5)</f>
        <v>-31</v>
      </c>
      <c r="T26" s="18"/>
      <c r="U26" s="18"/>
      <c r="V26"/>
      <c r="W26"/>
    </row>
    <row r="27" spans="2:23" x14ac:dyDescent="0.25">
      <c r="B27" s="76" t="str">
        <f>ESPNScores!A2</f>
        <v>Russell Henley</v>
      </c>
      <c r="C27" s="76">
        <f>ESPNScores!B2</f>
        <v>-9</v>
      </c>
      <c r="D27" s="41"/>
      <c r="E27" s="13">
        <v>1</v>
      </c>
      <c r="F27" s="18" t="s">
        <v>25</v>
      </c>
      <c r="G27" s="17">
        <f>VLOOKUP(F27,ESPNScores!$A$2:$B$91,2,FALSE)</f>
        <v>-7</v>
      </c>
      <c r="H27" s="18" t="s">
        <v>25</v>
      </c>
      <c r="I27" s="17">
        <f>VLOOKUP(H27,ESPNScores!$A$2:$B$91,2,FALSE)</f>
        <v>-7</v>
      </c>
      <c r="J27" s="18" t="s">
        <v>25</v>
      </c>
      <c r="K27" s="17">
        <f>VLOOKUP(J27,ESPNScores!$A$2:$B$91,2,FALSE)</f>
        <v>-7</v>
      </c>
      <c r="L27" s="18" t="s">
        <v>25</v>
      </c>
      <c r="M27" s="17">
        <f>VLOOKUP(L27,ESPNScores!$A$2:$B$91,2,FALSE)</f>
        <v>-7</v>
      </c>
      <c r="N27" s="18" t="s">
        <v>25</v>
      </c>
      <c r="O27" s="17">
        <f>VLOOKUP(N27,ESPNScores!$A$2:$B$91,2,FALSE)</f>
        <v>-7</v>
      </c>
      <c r="P27" s="18" t="s">
        <v>25</v>
      </c>
      <c r="Q27" s="17">
        <f>VLOOKUP(P27,ESPNScores!$A$2:$B$91,2,FALSE)</f>
        <v>-7</v>
      </c>
      <c r="R27" s="18" t="s">
        <v>25</v>
      </c>
      <c r="S27" s="17">
        <f>VLOOKUP(R27,ESPNScores!$A$2:$B$91,2,FALSE)</f>
        <v>-7</v>
      </c>
      <c r="U27" s="18"/>
      <c r="W27"/>
    </row>
    <row r="28" spans="2:23" ht="14.4" x14ac:dyDescent="0.3">
      <c r="B28" s="76" t="str">
        <f>ESPNScores!A3</f>
        <v>Scottie Scheffler</v>
      </c>
      <c r="C28" s="76">
        <f>ESPNScores!B3</f>
        <v>-7</v>
      </c>
      <c r="D28" s="41"/>
      <c r="E28" s="13">
        <v>2</v>
      </c>
      <c r="F28" s="18" t="s">
        <v>31</v>
      </c>
      <c r="G28" s="17">
        <f>VLOOKUP(F28,ESPNScores!$A$2:$B$91,2,FALSE)</f>
        <v>-6</v>
      </c>
      <c r="H28" s="18" t="s">
        <v>31</v>
      </c>
      <c r="I28" s="17">
        <f>VLOOKUP(H28,ESPNScores!$A$2:$B$91,2,FALSE)</f>
        <v>-6</v>
      </c>
      <c r="J28" s="18" t="s">
        <v>285</v>
      </c>
      <c r="K28" s="17">
        <f>VLOOKUP(J28,ESPNScores!$A$2:$B$91,2,FALSE)</f>
        <v>-4</v>
      </c>
      <c r="L28" s="18" t="s">
        <v>31</v>
      </c>
      <c r="M28" s="17">
        <f>VLOOKUP(L28,ESPNScores!$A$2:$B$91,2,FALSE)</f>
        <v>-6</v>
      </c>
      <c r="N28" s="18" t="s">
        <v>31</v>
      </c>
      <c r="O28" s="17">
        <f>VLOOKUP(N28,ESPNScores!$A$2:$B$91,2,FALSE)</f>
        <v>-6</v>
      </c>
      <c r="P28" s="18" t="s">
        <v>285</v>
      </c>
      <c r="Q28" s="17">
        <f>VLOOKUP(P28,ESPNScores!$A$2:$B$91,2,FALSE)</f>
        <v>-4</v>
      </c>
      <c r="R28" s="18" t="s">
        <v>31</v>
      </c>
      <c r="S28" s="17">
        <f>VLOOKUP(R28,ESPNScores!$A$2:$B$91,2,FALSE)</f>
        <v>-6</v>
      </c>
      <c r="V28" s="9"/>
    </row>
    <row r="29" spans="2:23" ht="14.4" x14ac:dyDescent="0.3">
      <c r="B29" s="76" t="str">
        <f>ESPNScores!A4</f>
        <v>Collin Morikawa</v>
      </c>
      <c r="C29" s="76">
        <f>ESPNScores!B4</f>
        <v>-6</v>
      </c>
      <c r="D29" s="41"/>
      <c r="E29" s="13">
        <v>3</v>
      </c>
      <c r="F29" s="18" t="s">
        <v>47</v>
      </c>
      <c r="G29" s="17">
        <f>VLOOKUP(F29,ESPNScores!$A$2:$B$91,2,FALSE)</f>
        <v>4</v>
      </c>
      <c r="H29" s="18" t="s">
        <v>32</v>
      </c>
      <c r="I29" s="17">
        <f>VLOOKUP(H29,ESPNScores!$A$2:$B$91,2,FALSE)</f>
        <v>-9</v>
      </c>
      <c r="J29" s="18" t="s">
        <v>32</v>
      </c>
      <c r="K29" s="17">
        <f>VLOOKUP(J29,ESPNScores!$A$2:$B$91,2,FALSE)</f>
        <v>-9</v>
      </c>
      <c r="L29" s="18" t="s">
        <v>47</v>
      </c>
      <c r="M29" s="17">
        <f>VLOOKUP(L29,ESPNScores!$A$2:$B$91,2,FALSE)</f>
        <v>4</v>
      </c>
      <c r="N29" s="18" t="s">
        <v>32</v>
      </c>
      <c r="O29" s="17">
        <f>VLOOKUP(N29,ESPNScores!$A$2:$B$91,2,FALSE)</f>
        <v>-9</v>
      </c>
      <c r="P29" s="18" t="s">
        <v>32</v>
      </c>
      <c r="Q29" s="17">
        <f>VLOOKUP(P29,ESPNScores!$A$2:$B$91,2,FALSE)</f>
        <v>-9</v>
      </c>
      <c r="R29" s="18" t="s">
        <v>32</v>
      </c>
      <c r="S29" s="17">
        <f>VLOOKUP(R29,ESPNScores!$A$2:$B$91,2,FALSE)</f>
        <v>-9</v>
      </c>
      <c r="V29" s="9"/>
    </row>
    <row r="30" spans="2:23" ht="14.4" x14ac:dyDescent="0.3">
      <c r="B30" s="76" t="str">
        <f>ESPNScores!A5</f>
        <v>Patrick Cantlay</v>
      </c>
      <c r="C30" s="76">
        <f>ESPNScores!B5</f>
        <v>-6</v>
      </c>
      <c r="D30" s="41"/>
      <c r="E30" s="13">
        <v>4</v>
      </c>
      <c r="F30" s="18" t="s">
        <v>53</v>
      </c>
      <c r="G30" s="17">
        <f>VLOOKUP(F30,ESPNScores!$A$2:$B$91,2,FALSE)</f>
        <v>-2</v>
      </c>
      <c r="H30" s="18" t="s">
        <v>147</v>
      </c>
      <c r="I30" s="17">
        <f>VLOOKUP(H30,ESPNScores!$A$2:$B$91,2,FALSE)</f>
        <v>-6</v>
      </c>
      <c r="J30" s="18" t="s">
        <v>53</v>
      </c>
      <c r="K30" s="17">
        <f>VLOOKUP(J30,ESPNScores!$A$2:$B$91,2,FALSE)</f>
        <v>-2</v>
      </c>
      <c r="L30" s="18" t="s">
        <v>53</v>
      </c>
      <c r="M30" s="17">
        <f>VLOOKUP(L30,ESPNScores!$A$2:$B$91,2,FALSE)</f>
        <v>-2</v>
      </c>
      <c r="N30" s="18" t="s">
        <v>331</v>
      </c>
      <c r="O30" s="17">
        <f>VLOOKUP(N30,ESPNScores!$A$2:$B$91,2,FALSE)</f>
        <v>1</v>
      </c>
      <c r="P30" s="18" t="s">
        <v>331</v>
      </c>
      <c r="Q30" s="17">
        <f>VLOOKUP(P30,ESPNScores!$A$2:$B$91,2,FALSE)</f>
        <v>1</v>
      </c>
      <c r="R30" s="18" t="s">
        <v>147</v>
      </c>
      <c r="S30" s="17">
        <f>VLOOKUP(R30,ESPNScores!$A$2:$B$91,2,FALSE)</f>
        <v>-6</v>
      </c>
      <c r="V30" s="9"/>
    </row>
    <row r="31" spans="2:23" ht="14.4" x14ac:dyDescent="0.3">
      <c r="B31" s="76" t="str">
        <f>ESPNScores!A6</f>
        <v>Justin Thomas</v>
      </c>
      <c r="C31" s="76">
        <f>ESPNScores!B6</f>
        <v>-6</v>
      </c>
      <c r="D31" s="41"/>
      <c r="E31" s="13">
        <v>5</v>
      </c>
      <c r="F31" s="18" t="s">
        <v>326</v>
      </c>
      <c r="G31" s="17">
        <f>VLOOKUP(F31,ESPNScores!$A$2:$B$91,2,FALSE)</f>
        <v>-4</v>
      </c>
      <c r="H31" s="18" t="s">
        <v>326</v>
      </c>
      <c r="I31" s="17">
        <f>VLOOKUP(H31,ESPNScores!$A$2:$B$91,2,FALSE)</f>
        <v>-4</v>
      </c>
      <c r="J31" s="18" t="s">
        <v>392</v>
      </c>
      <c r="K31" s="17">
        <f>VLOOKUP(J31,ESPNScores!$A$2:$B$91,2,FALSE)</f>
        <v>0</v>
      </c>
      <c r="L31" s="18" t="s">
        <v>58</v>
      </c>
      <c r="M31" s="17">
        <f>VLOOKUP(L31,ESPNScores!$A$2:$B$91,2,FALSE)</f>
        <v>-3</v>
      </c>
      <c r="N31" s="18" t="s">
        <v>326</v>
      </c>
      <c r="O31" s="17">
        <f>VLOOKUP(N31,ESPNScores!$A$2:$B$91,2,FALSE)</f>
        <v>-4</v>
      </c>
      <c r="P31" s="18" t="s">
        <v>326</v>
      </c>
      <c r="Q31" s="17">
        <f>VLOOKUP(P31,ESPNScores!$A$2:$B$91,2,FALSE)</f>
        <v>-4</v>
      </c>
      <c r="R31" s="18" t="s">
        <v>392</v>
      </c>
      <c r="S31" s="17">
        <f>VLOOKUP(R31,ESPNScores!$A$2:$B$91,2,FALSE)</f>
        <v>0</v>
      </c>
      <c r="V31" s="31"/>
    </row>
    <row r="32" spans="2:23" ht="14.4" x14ac:dyDescent="0.3">
      <c r="B32" s="76" t="str">
        <f>ESPNScores!A7</f>
        <v>Robert MacIntyre</v>
      </c>
      <c r="C32" s="76">
        <f>ESPNScores!B7</f>
        <v>-6</v>
      </c>
      <c r="D32" s="41"/>
      <c r="E32" s="13">
        <v>6</v>
      </c>
      <c r="F32" s="18" t="s">
        <v>44</v>
      </c>
      <c r="G32" s="17">
        <f>VLOOKUP(F32,ESPNScores!$A$2:$B$91,2,FALSE)</f>
        <v>-3</v>
      </c>
      <c r="H32" s="18" t="s">
        <v>44</v>
      </c>
      <c r="I32" s="17">
        <f>VLOOKUP(H32,ESPNScores!$A$2:$B$91,2,FALSE)</f>
        <v>-3</v>
      </c>
      <c r="J32" s="18" t="s">
        <v>44</v>
      </c>
      <c r="K32" s="17">
        <f>VLOOKUP(J32,ESPNScores!$A$2:$B$91,2,FALSE)</f>
        <v>-3</v>
      </c>
      <c r="L32" s="18" t="s">
        <v>30</v>
      </c>
      <c r="M32" s="17">
        <f>VLOOKUP(L32,ESPNScores!$A$2:$B$91,2,FALSE)</f>
        <v>-3</v>
      </c>
      <c r="N32" s="18" t="s">
        <v>44</v>
      </c>
      <c r="O32" s="17">
        <f>VLOOKUP(N32,ESPNScores!$A$2:$B$91,2,FALSE)</f>
        <v>-3</v>
      </c>
      <c r="P32" s="18" t="s">
        <v>44</v>
      </c>
      <c r="Q32" s="17">
        <f>VLOOKUP(P32,ESPNScores!$A$2:$B$91,2,FALSE)</f>
        <v>-3</v>
      </c>
      <c r="R32" s="18" t="s">
        <v>44</v>
      </c>
      <c r="S32" s="17">
        <f>VLOOKUP(R32,ESPNScores!$A$2:$B$91,2,FALSE)</f>
        <v>-3</v>
      </c>
      <c r="V32" s="9"/>
    </row>
    <row r="33" spans="2:27" ht="14.4" x14ac:dyDescent="0.3">
      <c r="B33" s="76" t="str">
        <f>ESPNScores!A8</f>
        <v>Tommy Fleetwood</v>
      </c>
      <c r="C33" s="76">
        <f>ESPNScores!B8</f>
        <v>-6</v>
      </c>
      <c r="D33" s="41"/>
      <c r="E33" s="13">
        <v>7</v>
      </c>
      <c r="F33" s="18" t="s">
        <v>41</v>
      </c>
      <c r="G33" s="17">
        <f>VLOOKUP(F33,ESPNScores!$A$2:$B$91,2,FALSE)</f>
        <v>-6</v>
      </c>
      <c r="H33" s="18" t="s">
        <v>29</v>
      </c>
      <c r="I33" s="17">
        <f>VLOOKUP(H33,ESPNScores!$A$2:$B$91,2,FALSE)</f>
        <v>-6</v>
      </c>
      <c r="J33" s="18" t="s">
        <v>39</v>
      </c>
      <c r="K33" s="17">
        <f>VLOOKUP(J33,ESPNScores!$A$2:$B$91,2,FALSE)</f>
        <v>0</v>
      </c>
      <c r="L33" s="18" t="s">
        <v>41</v>
      </c>
      <c r="M33" s="17">
        <f>VLOOKUP(L33,ESPNScores!$A$2:$B$91,2,FALSE)</f>
        <v>-6</v>
      </c>
      <c r="N33" s="18" t="s">
        <v>29</v>
      </c>
      <c r="O33" s="17">
        <f>VLOOKUP(N33,ESPNScores!$A$2:$B$91,2,FALSE)</f>
        <v>-6</v>
      </c>
      <c r="P33" s="18" t="s">
        <v>41</v>
      </c>
      <c r="Q33" s="17">
        <f>VLOOKUP(P33,ESPNScores!$A$2:$B$91,2,FALSE)</f>
        <v>-6</v>
      </c>
      <c r="R33" s="18" t="s">
        <v>39</v>
      </c>
      <c r="S33" s="17">
        <f>VLOOKUP(R33,ESPNScores!$A$2:$B$91,2,FALSE)</f>
        <v>0</v>
      </c>
      <c r="V33" s="9"/>
    </row>
    <row r="34" spans="2:27" ht="14.4" x14ac:dyDescent="0.3">
      <c r="B34" s="18"/>
      <c r="C34" s="17"/>
      <c r="D34" s="41"/>
      <c r="E34" s="13">
        <v>8</v>
      </c>
      <c r="F34" s="18" t="s">
        <v>49</v>
      </c>
      <c r="G34" s="17">
        <f>VLOOKUP(F34,ESPNScores!$A$2:$B$91,2,FALSE)</f>
        <v>-2</v>
      </c>
      <c r="H34" s="18" t="s">
        <v>49</v>
      </c>
      <c r="I34" s="17">
        <f>VLOOKUP(H34,ESPNScores!$A$2:$B$91,2,FALSE)</f>
        <v>-2</v>
      </c>
      <c r="J34" s="18" t="s">
        <v>62</v>
      </c>
      <c r="K34" s="17">
        <f>VLOOKUP(J34,ESPNScores!$A$2:$B$91,2,FALSE)</f>
        <v>-1</v>
      </c>
      <c r="L34" s="18" t="s">
        <v>171</v>
      </c>
      <c r="M34" s="17">
        <f>VLOOKUP(L34,ESPNScores!$A$2:$B$91,2,FALSE)</f>
        <v>0</v>
      </c>
      <c r="N34" s="18" t="s">
        <v>49</v>
      </c>
      <c r="O34" s="17">
        <f>VLOOKUP(N34,ESPNScores!$A$2:$B$91,2,FALSE)</f>
        <v>-2</v>
      </c>
      <c r="P34" s="18" t="s">
        <v>49</v>
      </c>
      <c r="Q34" s="17">
        <f>VLOOKUP(P34,ESPNScores!$A$2:$B$91,2,FALSE)</f>
        <v>-2</v>
      </c>
      <c r="R34" s="18" t="s">
        <v>171</v>
      </c>
      <c r="S34" s="17">
        <f>VLOOKUP(R34,ESPNScores!$A$2:$B$91,2,FALSE)</f>
        <v>0</v>
      </c>
      <c r="T34" s="66"/>
      <c r="V34" s="9"/>
    </row>
    <row r="35" spans="2:27" ht="14.4" x14ac:dyDescent="0.3">
      <c r="B35" s="77" t="s">
        <v>339</v>
      </c>
      <c r="C35" s="17"/>
      <c r="D35" s="41"/>
      <c r="E35" s="13">
        <v>9</v>
      </c>
      <c r="F35" s="18" t="s">
        <v>42</v>
      </c>
      <c r="G35" s="17">
        <f>VLOOKUP(F35,ESPNScores!$A$2:$B$91,2,FALSE)</f>
        <v>-3</v>
      </c>
      <c r="H35" s="18" t="s">
        <v>397</v>
      </c>
      <c r="I35" s="17">
        <f>VLOOKUP(H35,ESPNScores!$A$2:$B$91,2,FALSE)</f>
        <v>0</v>
      </c>
      <c r="J35" s="18" t="s">
        <v>42</v>
      </c>
      <c r="K35" s="17">
        <f>VLOOKUP(J35,ESPNScores!$A$2:$B$91,2,FALSE)</f>
        <v>-3</v>
      </c>
      <c r="L35" s="18" t="s">
        <v>42</v>
      </c>
      <c r="M35" s="17">
        <f>VLOOKUP(L35,ESPNScores!$A$2:$B$91,2,FALSE)</f>
        <v>-3</v>
      </c>
      <c r="N35" s="18" t="s">
        <v>397</v>
      </c>
      <c r="O35" s="17">
        <f>VLOOKUP(N35,ESPNScores!$A$2:$B$91,2,FALSE)</f>
        <v>0</v>
      </c>
      <c r="P35" s="18" t="s">
        <v>42</v>
      </c>
      <c r="Q35" s="17">
        <f>VLOOKUP(P35,ESPNScores!$A$2:$B$91,2,FALSE)</f>
        <v>-3</v>
      </c>
      <c r="R35" s="18" t="s">
        <v>397</v>
      </c>
      <c r="S35" s="17">
        <f>VLOOKUP(R35,ESPNScores!$A$2:$B$91,2,FALSE)</f>
        <v>0</v>
      </c>
      <c r="V35" s="9"/>
    </row>
    <row r="36" spans="2:27" ht="14.4" x14ac:dyDescent="0.3">
      <c r="B36" s="78" t="s">
        <v>489</v>
      </c>
      <c r="C36" s="17"/>
      <c r="D36" s="41"/>
      <c r="E36" s="13">
        <v>10</v>
      </c>
      <c r="F36" s="18" t="s">
        <v>288</v>
      </c>
      <c r="G36" s="17">
        <f>VLOOKUP(F36,ESPNScores!$A$2:$B$91,2,FALSE)</f>
        <v>-4</v>
      </c>
      <c r="H36" s="18" t="s">
        <v>332</v>
      </c>
      <c r="I36" s="17">
        <f>VLOOKUP(H36,ESPNScores!$A$2:$B$91,2,FALSE)</f>
        <v>0</v>
      </c>
      <c r="J36" s="18" t="s">
        <v>36</v>
      </c>
      <c r="K36" s="17">
        <f>VLOOKUP(J36,ESPNScores!$A$2:$B$91,2,FALSE)</f>
        <v>-2</v>
      </c>
      <c r="L36" s="18" t="s">
        <v>36</v>
      </c>
      <c r="M36" s="17">
        <f>VLOOKUP(L36,ESPNScores!$A$2:$B$91,2,FALSE)</f>
        <v>-2</v>
      </c>
      <c r="N36" s="18" t="s">
        <v>288</v>
      </c>
      <c r="O36" s="17">
        <f>VLOOKUP(N36,ESPNScores!$A$2:$B$91,2,FALSE)</f>
        <v>-4</v>
      </c>
      <c r="P36" s="18" t="s">
        <v>288</v>
      </c>
      <c r="Q36" s="17">
        <f>VLOOKUP(P36,ESPNScores!$A$2:$B$91,2,FALSE)</f>
        <v>-4</v>
      </c>
      <c r="R36" s="18" t="s">
        <v>36</v>
      </c>
      <c r="S36" s="17">
        <f>VLOOKUP(R36,ESPNScores!$A$2:$B$91,2,FALSE)</f>
        <v>-2</v>
      </c>
      <c r="V36" s="9"/>
    </row>
    <row r="37" spans="2:27" ht="14.4" x14ac:dyDescent="0.3">
      <c r="B37" s="18"/>
      <c r="C37" s="17"/>
      <c r="D37" s="41"/>
      <c r="E37" s="8"/>
      <c r="F37" s="66"/>
      <c r="G37" s="17"/>
      <c r="H37" s="66"/>
      <c r="I37" s="17"/>
      <c r="J37" s="66"/>
      <c r="K37" s="17"/>
      <c r="L37" s="66"/>
      <c r="M37" s="17"/>
      <c r="N37" s="66"/>
      <c r="O37" s="17"/>
      <c r="P37" s="66"/>
      <c r="Q37" s="17"/>
      <c r="R37" s="66"/>
      <c r="S37" s="17"/>
      <c r="V37" s="9"/>
    </row>
    <row r="38" spans="2:27" ht="14.4" x14ac:dyDescent="0.3">
      <c r="E38" s="8"/>
      <c r="F38" s="66"/>
      <c r="G38" s="17"/>
      <c r="H38" s="66"/>
      <c r="I38" s="17"/>
      <c r="J38" s="66"/>
      <c r="K38" s="17"/>
      <c r="L38" s="66"/>
      <c r="M38" s="17"/>
      <c r="N38" s="66"/>
      <c r="O38" s="17"/>
      <c r="Q38" s="17"/>
      <c r="R38" s="66"/>
      <c r="S38" s="17"/>
      <c r="V38" s="31"/>
    </row>
    <row r="39" spans="2:27" ht="14.4" x14ac:dyDescent="0.3">
      <c r="E39" s="8"/>
      <c r="F39" s="66"/>
      <c r="G39" s="17"/>
      <c r="H39" s="66"/>
      <c r="I39" s="17"/>
      <c r="J39" s="66"/>
      <c r="K39" s="17"/>
      <c r="L39" s="66"/>
      <c r="M39" s="17"/>
      <c r="N39" s="66"/>
      <c r="O39" s="17"/>
      <c r="P39" s="66"/>
      <c r="Q39" s="17"/>
      <c r="R39" s="66"/>
      <c r="S39" s="17"/>
      <c r="V39" s="9"/>
    </row>
    <row r="40" spans="2:27" ht="14.4" x14ac:dyDescent="0.3">
      <c r="E40" s="8"/>
      <c r="F40" s="66"/>
      <c r="G40" s="17"/>
      <c r="H40" s="66"/>
      <c r="I40" s="17"/>
      <c r="J40" s="66"/>
      <c r="K40" s="17"/>
      <c r="L40" s="66"/>
      <c r="M40" s="17"/>
      <c r="N40" s="66"/>
      <c r="O40" s="17"/>
      <c r="P40" s="66"/>
      <c r="Q40" s="17"/>
      <c r="R40" s="66"/>
      <c r="S40" s="17"/>
      <c r="V40" s="9"/>
    </row>
    <row r="41" spans="2:27" x14ac:dyDescent="0.25">
      <c r="E41" s="8"/>
      <c r="G41" s="17"/>
      <c r="H41" s="66"/>
      <c r="I41" s="17"/>
      <c r="J41" s="66"/>
      <c r="K41" s="17"/>
      <c r="M41" s="17"/>
      <c r="N41" s="66"/>
      <c r="O41" s="17"/>
      <c r="Q41" s="17"/>
      <c r="R41" s="66"/>
      <c r="S41" s="17"/>
    </row>
    <row r="42" spans="2:27" ht="14.4" x14ac:dyDescent="0.3">
      <c r="E42" s="8"/>
      <c r="F42" s="66"/>
      <c r="G42" s="17"/>
      <c r="H42" s="66"/>
      <c r="I42" s="17"/>
      <c r="J42" s="66"/>
      <c r="K42" s="17"/>
      <c r="L42" s="66"/>
      <c r="M42" s="17"/>
      <c r="N42" s="66"/>
      <c r="O42" s="17"/>
      <c r="P42" s="66"/>
      <c r="Q42" s="17"/>
      <c r="R42" s="30"/>
      <c r="S42" s="17"/>
      <c r="V42" s="9"/>
    </row>
    <row r="43" spans="2:27" ht="14.4" x14ac:dyDescent="0.3">
      <c r="E43" s="8"/>
      <c r="F43" s="66"/>
      <c r="G43" s="17"/>
      <c r="H43" s="66"/>
      <c r="I43" s="17"/>
      <c r="J43" s="66"/>
      <c r="K43" s="17"/>
      <c r="L43" s="66"/>
      <c r="M43" s="17"/>
      <c r="N43" s="66"/>
      <c r="O43" s="17"/>
      <c r="P43" s="66"/>
      <c r="Q43" s="17"/>
      <c r="R43" s="66"/>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66</v>
      </c>
      <c r="F46" s="18">
        <f>G2</f>
        <v>-29</v>
      </c>
      <c r="G46" s="17">
        <f>I2</f>
        <v>-27</v>
      </c>
      <c r="H46" s="18">
        <f>K2</f>
        <v>-32</v>
      </c>
      <c r="I46" s="17">
        <f>M2</f>
        <v>-32</v>
      </c>
      <c r="J46" s="18">
        <f>O2</f>
        <v>-26</v>
      </c>
      <c r="K46" s="17">
        <f>Q2</f>
        <v>-26</v>
      </c>
      <c r="L46" s="18">
        <f>S2</f>
        <v>-29</v>
      </c>
      <c r="M46" s="17">
        <f>U2</f>
        <v>-31</v>
      </c>
      <c r="N46" s="18">
        <f>G14</f>
        <v>-24</v>
      </c>
      <c r="O46" s="17">
        <f>I14</f>
        <v>-32</v>
      </c>
      <c r="P46" s="18">
        <f>K14</f>
        <v>-22</v>
      </c>
      <c r="Q46" s="17">
        <f>M14</f>
        <v>-28</v>
      </c>
      <c r="R46" s="18">
        <f>O14</f>
        <v>-29</v>
      </c>
      <c r="S46" s="17">
        <f>Q14</f>
        <v>-34</v>
      </c>
      <c r="T46" s="18">
        <f>S14</f>
        <v>-32</v>
      </c>
      <c r="U46" s="17">
        <f>G26</f>
        <v>-27</v>
      </c>
      <c r="V46">
        <f>I26</f>
        <v>-34</v>
      </c>
      <c r="W46" s="3">
        <f>K26</f>
        <v>-26</v>
      </c>
      <c r="X46">
        <f>M26</f>
        <v>-25</v>
      </c>
      <c r="Y46">
        <f>O26</f>
        <v>-32</v>
      </c>
      <c r="Z46">
        <f>Q26</f>
        <v>-30</v>
      </c>
      <c r="AA46">
        <f>S26</f>
        <v>-31</v>
      </c>
    </row>
    <row r="47" spans="2:27" x14ac:dyDescent="0.25">
      <c r="E47" s="18" t="s">
        <v>317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58" priority="47" operator="equal">
      <formula>50</formula>
    </cfRule>
  </conditionalFormatting>
  <conditionalFormatting sqref="I3:I12">
    <cfRule type="cellIs" dxfId="57" priority="24" operator="equal">
      <formula>50</formula>
    </cfRule>
  </conditionalFormatting>
  <conditionalFormatting sqref="K3:K12">
    <cfRule type="cellIs" dxfId="56" priority="23" operator="equal">
      <formula>50</formula>
    </cfRule>
  </conditionalFormatting>
  <conditionalFormatting sqref="M3:M12">
    <cfRule type="cellIs" dxfId="55" priority="22" operator="equal">
      <formula>50</formula>
    </cfRule>
  </conditionalFormatting>
  <conditionalFormatting sqref="O3:O12">
    <cfRule type="cellIs" dxfId="54" priority="21" operator="equal">
      <formula>50</formula>
    </cfRule>
  </conditionalFormatting>
  <conditionalFormatting sqref="Q3:Q12">
    <cfRule type="cellIs" dxfId="53" priority="20" operator="equal">
      <formula>50</formula>
    </cfRule>
  </conditionalFormatting>
  <conditionalFormatting sqref="S3:S12">
    <cfRule type="cellIs" dxfId="52" priority="19" operator="equal">
      <formula>50</formula>
    </cfRule>
  </conditionalFormatting>
  <conditionalFormatting sqref="U3:U12">
    <cfRule type="cellIs" dxfId="51" priority="18" operator="equal">
      <formula>50</formula>
    </cfRule>
  </conditionalFormatting>
  <conditionalFormatting sqref="U15:U24">
    <cfRule type="cellIs" dxfId="50" priority="17" operator="equal">
      <formula>50</formula>
    </cfRule>
  </conditionalFormatting>
  <conditionalFormatting sqref="S15:S24">
    <cfRule type="cellIs" dxfId="49" priority="16" operator="equal">
      <formula>50</formula>
    </cfRule>
  </conditionalFormatting>
  <conditionalFormatting sqref="Q15:Q24">
    <cfRule type="cellIs" dxfId="48" priority="15" operator="equal">
      <formula>50</formula>
    </cfRule>
  </conditionalFormatting>
  <conditionalFormatting sqref="O15:O24">
    <cfRule type="cellIs" dxfId="47" priority="14" operator="equal">
      <formula>50</formula>
    </cfRule>
  </conditionalFormatting>
  <conditionalFormatting sqref="M15:M24">
    <cfRule type="cellIs" dxfId="46" priority="13" operator="equal">
      <formula>50</formula>
    </cfRule>
  </conditionalFormatting>
  <conditionalFormatting sqref="K15:K24">
    <cfRule type="cellIs" dxfId="45" priority="10" operator="equal">
      <formula>50</formula>
    </cfRule>
  </conditionalFormatting>
  <conditionalFormatting sqref="I15:I24">
    <cfRule type="cellIs" dxfId="44" priority="9" operator="equal">
      <formula>50</formula>
    </cfRule>
  </conditionalFormatting>
  <conditionalFormatting sqref="G15:G24">
    <cfRule type="cellIs" dxfId="43" priority="8" operator="equal">
      <formula>50</formula>
    </cfRule>
  </conditionalFormatting>
  <conditionalFormatting sqref="G27:G36">
    <cfRule type="cellIs" dxfId="42" priority="7" operator="equal">
      <formula>50</formula>
    </cfRule>
  </conditionalFormatting>
  <conditionalFormatting sqref="I27:I36">
    <cfRule type="cellIs" dxfId="41" priority="6" operator="equal">
      <formula>50</formula>
    </cfRule>
  </conditionalFormatting>
  <conditionalFormatting sqref="K27:K36">
    <cfRule type="cellIs" dxfId="40" priority="5" operator="equal">
      <formula>50</formula>
    </cfRule>
  </conditionalFormatting>
  <conditionalFormatting sqref="M27:M36">
    <cfRule type="cellIs" dxfId="39" priority="4" operator="equal">
      <formula>50</formula>
    </cfRule>
  </conditionalFormatting>
  <conditionalFormatting sqref="O27:O36">
    <cfRule type="cellIs" dxfId="38" priority="3" operator="equal">
      <formula>50</formula>
    </cfRule>
  </conditionalFormatting>
  <conditionalFormatting sqref="Q27:Q36">
    <cfRule type="cellIs" dxfId="37" priority="2" operator="equal">
      <formula>50</formula>
    </cfRule>
  </conditionalFormatting>
  <conditionalFormatting sqref="S27:S36">
    <cfRule type="cellIs" dxfId="36" priority="1" operator="equal">
      <formula>50</formula>
    </cfRule>
  </conditionalFormatting>
  <hyperlinks>
    <hyperlink ref="B26"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80" zoomScaleNormal="80" workbookViewId="0"/>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7" customWidth="1"/>
    <col min="8" max="8" width="19.5546875" style="18" bestFit="1" customWidth="1"/>
    <col min="9" max="9" width="8.5546875" style="67"/>
    <col min="10" max="10" width="19.5546875" style="18" customWidth="1"/>
    <col min="11" max="11" width="8.5546875" style="67"/>
    <col min="12" max="12" width="20.44140625" style="18" customWidth="1"/>
    <col min="13" max="13" width="8.5546875" style="67"/>
    <col min="14" max="14" width="18.33203125" style="18" customWidth="1"/>
    <col min="15" max="15" width="8.5546875" style="67"/>
    <col min="16" max="16" width="19.44140625" style="18" customWidth="1"/>
    <col min="17" max="17" width="8.5546875" style="67"/>
    <col min="18" max="18" width="20.33203125" style="18" customWidth="1"/>
    <col min="19" max="19" width="8.5546875" style="67"/>
    <col min="20" max="20" width="19.33203125" style="18" customWidth="1"/>
    <col min="21" max="21" width="8.5546875" style="17"/>
    <col min="22" max="22" width="19.44140625" customWidth="1"/>
    <col min="23" max="23" width="8.5546875" style="3"/>
  </cols>
  <sheetData>
    <row r="1" spans="1:21" x14ac:dyDescent="0.25">
      <c r="A1" s="15"/>
      <c r="B1" s="46" t="s">
        <v>316</v>
      </c>
      <c r="C1" s="17" t="s">
        <v>490</v>
      </c>
      <c r="E1" s="8"/>
    </row>
    <row r="2" spans="1:21" s="7" customFormat="1" x14ac:dyDescent="0.25">
      <c r="B2" s="47" t="s">
        <v>1</v>
      </c>
      <c r="C2" s="48"/>
      <c r="D2" s="63" t="s">
        <v>267</v>
      </c>
      <c r="E2" s="12"/>
      <c r="F2" s="10" t="s">
        <v>290</v>
      </c>
      <c r="G2" s="11">
        <f>SMALL(G3:G12,1)+SMALL(G3:G12,2)+SMALL(G3:G12,3)+SMALL(G3:G12,4)+SMALL(G3:G12,5)</f>
        <v>-27</v>
      </c>
      <c r="H2" s="10" t="s">
        <v>291</v>
      </c>
      <c r="I2" s="11">
        <f>SMALL(I3:I12,1)+SMALL(I3:I12,2)+SMALL(I3:I12,3)+SMALL(I3:I12,4)+SMALL(I3:I12,5)</f>
        <v>-29</v>
      </c>
      <c r="J2" s="10" t="s">
        <v>292</v>
      </c>
      <c r="K2" s="11">
        <f>SMALL(K3:K12,1)+SMALL(K3:K12,2)+SMALL(K3:K12,3)+SMALL(K3:K12,4)+SMALL(K3:K12,5)</f>
        <v>-16</v>
      </c>
      <c r="L2" s="10" t="s">
        <v>293</v>
      </c>
      <c r="M2" s="11">
        <f>SMALL(M3:M12,1)+SMALL(M3:M12,2)+SMALL(M3:M12,3)+SMALL(M3:M12,4)+SMALL(M3:M12,5)</f>
        <v>-29</v>
      </c>
      <c r="N2" s="10" t="s">
        <v>294</v>
      </c>
      <c r="O2" s="11">
        <f>SMALL(O3:O12,1)+SMALL(O3:O12,2)+SMALL(O3:O12,3)+SMALL(O3:O12,4)+SMALL(O3:O12,5)</f>
        <v>-32</v>
      </c>
      <c r="P2" s="10" t="s">
        <v>295</v>
      </c>
      <c r="Q2" s="11">
        <f>SMALL(Q3:Q12,1)+SMALL(Q3:Q12,2)+SMALL(Q3:Q12,3)+SMALL(Q3:Q12,4)+SMALL(Q3:Q12,5)</f>
        <v>-26</v>
      </c>
      <c r="R2" s="10" t="s">
        <v>296</v>
      </c>
      <c r="S2" s="11">
        <f>SMALL(S3:S12,1)+SMALL(S3:S12,2)+SMALL(S3:S12,3)+SMALL(S3:S12,4)+SMALL(S3:S12,5)</f>
        <v>-24</v>
      </c>
      <c r="T2" s="10" t="s">
        <v>297</v>
      </c>
      <c r="U2" s="11">
        <f>SMALL(U3:U12,1)+SMALL(U3:U12,2)+SMALL(U3:U12,3)+SMALL(U3:U12,4)+SMALL(U3:U12,5)</f>
        <v>-34</v>
      </c>
    </row>
    <row r="3" spans="1:21" x14ac:dyDescent="0.25">
      <c r="B3" s="49" t="str" cm="1">
        <f t="array" ref="B3:C32">TRANSPOSE(_xlfn._xlws.SORT(F50:AI51,2,1,TRUE))</f>
        <v>Horvath</v>
      </c>
      <c r="C3" s="50">
        <v>-34</v>
      </c>
      <c r="D3" s="64">
        <f>HLOOKUP(B3,$F$50:$AH$52,3,)</f>
        <v>-18</v>
      </c>
      <c r="E3" s="13">
        <v>1</v>
      </c>
      <c r="F3" s="18" t="s">
        <v>25</v>
      </c>
      <c r="G3" s="17">
        <f>VLOOKUP(F3,ESPNScores!$A$2:$B$91,2,FALSE)</f>
        <v>-7</v>
      </c>
      <c r="H3" s="18" t="s">
        <v>25</v>
      </c>
      <c r="I3" s="17">
        <f>VLOOKUP(H3,ESPNScores!$A$2:$B$91,2,FALSE)</f>
        <v>-7</v>
      </c>
      <c r="J3" s="18" t="s">
        <v>25</v>
      </c>
      <c r="K3" s="17">
        <f>VLOOKUP(J3,ESPNScores!$A$2:$B$91,2,FALSE)</f>
        <v>-7</v>
      </c>
      <c r="L3" s="18" t="s">
        <v>25</v>
      </c>
      <c r="M3" s="17">
        <f>VLOOKUP(L3,ESPNScores!$A$2:$B$91,2,FALSE)</f>
        <v>-7</v>
      </c>
      <c r="N3" s="18" t="s">
        <v>25</v>
      </c>
      <c r="O3" s="17">
        <f>VLOOKUP(N3,ESPNScores!$A$2:$B$91,2,FALSE)</f>
        <v>-7</v>
      </c>
      <c r="P3" s="18" t="s">
        <v>25</v>
      </c>
      <c r="Q3" s="17">
        <f>VLOOKUP(P3,ESPNScores!$A$2:$B$91,2,FALSE)</f>
        <v>-7</v>
      </c>
      <c r="R3" s="18" t="s">
        <v>26</v>
      </c>
      <c r="S3" s="17">
        <f>VLOOKUP(R3,ESPNScores!$A$2:$B$91,2,FALSE)</f>
        <v>-4</v>
      </c>
      <c r="T3" s="18" t="s">
        <v>25</v>
      </c>
      <c r="U3" s="17">
        <f>VLOOKUP(T3,ESPNScores!$A$2:$B$91,2,FALSE)</f>
        <v>-7</v>
      </c>
    </row>
    <row r="4" spans="1:21" x14ac:dyDescent="0.25">
      <c r="B4" s="49" t="str">
        <v>Allen</v>
      </c>
      <c r="C4" s="50">
        <v>-32</v>
      </c>
      <c r="D4" s="64">
        <f>HLOOKUP(B4,$F$50:$AH$52,3,)</f>
        <v>-16</v>
      </c>
      <c r="E4" s="13">
        <v>2</v>
      </c>
      <c r="F4" s="18" t="s">
        <v>54</v>
      </c>
      <c r="G4" s="17">
        <f>VLOOKUP(F4,ESPNScores!$A$2:$B$91,2,FALSE)</f>
        <v>-1</v>
      </c>
      <c r="H4" s="18" t="s">
        <v>31</v>
      </c>
      <c r="I4" s="17">
        <f>VLOOKUP(H4,ESPNScores!$A$2:$B$91,2,FALSE)</f>
        <v>-6</v>
      </c>
      <c r="J4" s="18" t="s">
        <v>54</v>
      </c>
      <c r="K4" s="17">
        <f>VLOOKUP(J4,ESPNScores!$A$2:$B$91,2,FALSE)</f>
        <v>-1</v>
      </c>
      <c r="L4" s="18" t="s">
        <v>31</v>
      </c>
      <c r="M4" s="17">
        <f>VLOOKUP(L4,ESPNScores!$A$2:$B$91,2,FALSE)</f>
        <v>-6</v>
      </c>
      <c r="N4" s="18" t="s">
        <v>31</v>
      </c>
      <c r="O4" s="17">
        <f>VLOOKUP(N4,ESPNScores!$A$2:$B$91,2,FALSE)</f>
        <v>-6</v>
      </c>
      <c r="P4" s="18" t="s">
        <v>31</v>
      </c>
      <c r="Q4" s="17">
        <f>VLOOKUP(P4,ESPNScores!$A$2:$B$91,2,FALSE)</f>
        <v>-6</v>
      </c>
      <c r="R4" s="18" t="s">
        <v>285</v>
      </c>
      <c r="S4" s="17">
        <f>VLOOKUP(R4,ESPNScores!$A$2:$B$91,2,FALSE)</f>
        <v>-4</v>
      </c>
      <c r="T4" s="18" t="s">
        <v>31</v>
      </c>
      <c r="U4" s="17">
        <f>VLOOKUP(T4,ESPNScores!$A$2:$B$91,2,FALSE)</f>
        <v>-6</v>
      </c>
    </row>
    <row r="5" spans="1:21" x14ac:dyDescent="0.25">
      <c r="B5" s="49" t="str">
        <v>Fish</v>
      </c>
      <c r="C5" s="50">
        <v>-32</v>
      </c>
      <c r="D5" s="64">
        <f>HLOOKUP(B5,$F$50:$AH$52,3,)</f>
        <v>-17</v>
      </c>
      <c r="E5" s="13">
        <v>3</v>
      </c>
      <c r="F5" s="18" t="s">
        <v>262</v>
      </c>
      <c r="G5" s="17">
        <f>VLOOKUP(F5,ESPNScores!$A$2:$B$91,2,FALSE)</f>
        <v>-6</v>
      </c>
      <c r="H5" s="18" t="s">
        <v>262</v>
      </c>
      <c r="I5" s="17">
        <f>VLOOKUP(H5,ESPNScores!$A$2:$B$91,2,FALSE)</f>
        <v>-6</v>
      </c>
      <c r="J5" s="18" t="s">
        <v>47</v>
      </c>
      <c r="K5" s="17">
        <f>VLOOKUP(J5,ESPNScores!$A$2:$B$91,2,FALSE)</f>
        <v>4</v>
      </c>
      <c r="L5" s="18" t="s">
        <v>262</v>
      </c>
      <c r="M5" s="17">
        <f>VLOOKUP(L5,ESPNScores!$A$2:$B$91,2,FALSE)</f>
        <v>-6</v>
      </c>
      <c r="N5" s="18" t="s">
        <v>32</v>
      </c>
      <c r="O5" s="17">
        <f>VLOOKUP(N5,ESPNScores!$A$2:$B$91,2,FALSE)</f>
        <v>-9</v>
      </c>
      <c r="P5" s="18" t="s">
        <v>47</v>
      </c>
      <c r="Q5" s="17">
        <f>VLOOKUP(P5,ESPNScores!$A$2:$B$91,2,FALSE)</f>
        <v>4</v>
      </c>
      <c r="R5" s="18" t="s">
        <v>32</v>
      </c>
      <c r="S5" s="17">
        <f>VLOOKUP(R5,ESPNScores!$A$2:$B$91,2,FALSE)</f>
        <v>-9</v>
      </c>
      <c r="T5" s="18" t="s">
        <v>32</v>
      </c>
      <c r="U5" s="17">
        <f>VLOOKUP(T5,ESPNScores!$A$2:$B$91,2,FALSE)</f>
        <v>-9</v>
      </c>
    </row>
    <row r="6" spans="1:21" x14ac:dyDescent="0.25">
      <c r="B6" s="49" t="str">
        <v>Hempel</v>
      </c>
      <c r="C6" s="50">
        <v>-32</v>
      </c>
      <c r="D6" s="64">
        <f>HLOOKUP(B6,$F$50:$AH$52,3,)</f>
        <v>-19</v>
      </c>
      <c r="E6" s="13">
        <v>4</v>
      </c>
      <c r="F6" s="18" t="s">
        <v>53</v>
      </c>
      <c r="G6" s="17">
        <f>VLOOKUP(F6,ESPNScores!$A$2:$B$91,2,FALSE)</f>
        <v>-2</v>
      </c>
      <c r="H6" s="18" t="s">
        <v>331</v>
      </c>
      <c r="I6" s="17">
        <f>VLOOKUP(H6,ESPNScores!$A$2:$B$91,2,FALSE)</f>
        <v>1</v>
      </c>
      <c r="J6" s="18" t="s">
        <v>331</v>
      </c>
      <c r="K6" s="17">
        <f>VLOOKUP(J6,ESPNScores!$A$2:$B$91,2,FALSE)</f>
        <v>1</v>
      </c>
      <c r="L6" s="18" t="s">
        <v>53</v>
      </c>
      <c r="M6" s="17">
        <f>VLOOKUP(L6,ESPNScores!$A$2:$B$91,2,FALSE)</f>
        <v>-2</v>
      </c>
      <c r="N6" s="18" t="s">
        <v>331</v>
      </c>
      <c r="O6" s="17">
        <f>VLOOKUP(N6,ESPNScores!$A$2:$B$91,2,FALSE)</f>
        <v>1</v>
      </c>
      <c r="P6" s="18" t="s">
        <v>53</v>
      </c>
      <c r="Q6" s="17">
        <f>VLOOKUP(P6,ESPNScores!$A$2:$B$91,2,FALSE)</f>
        <v>-2</v>
      </c>
      <c r="R6" s="18" t="s">
        <v>331</v>
      </c>
      <c r="S6" s="17">
        <f>VLOOKUP(R6,ESPNScores!$A$2:$B$91,2,FALSE)</f>
        <v>1</v>
      </c>
      <c r="T6" s="18" t="s">
        <v>147</v>
      </c>
      <c r="U6" s="17">
        <f>VLOOKUP(T6,ESPNScores!$A$2:$B$91,2,FALSE)</f>
        <v>-6</v>
      </c>
    </row>
    <row r="7" spans="1:21" x14ac:dyDescent="0.25">
      <c r="B7" s="49" t="str">
        <v>Tsutsumi</v>
      </c>
      <c r="C7" s="50">
        <v>-31</v>
      </c>
      <c r="D7" s="64">
        <f>HLOOKUP(B7,$F$50:$AH$52,3,)</f>
        <v>-17</v>
      </c>
      <c r="E7" s="13">
        <v>5</v>
      </c>
      <c r="F7" s="18" t="s">
        <v>326</v>
      </c>
      <c r="G7" s="17">
        <f>VLOOKUP(F7,ESPNScores!$A$2:$B$91,2,FALSE)</f>
        <v>-4</v>
      </c>
      <c r="H7" s="18" t="s">
        <v>326</v>
      </c>
      <c r="I7" s="17">
        <f>VLOOKUP(H7,ESPNScores!$A$2:$B$91,2,FALSE)</f>
        <v>-4</v>
      </c>
      <c r="J7" s="18" t="s">
        <v>392</v>
      </c>
      <c r="K7" s="17">
        <f>VLOOKUP(J7,ESPNScores!$A$2:$B$91,2,FALSE)</f>
        <v>0</v>
      </c>
      <c r="L7" s="18" t="s">
        <v>326</v>
      </c>
      <c r="M7" s="17">
        <f>VLOOKUP(L7,ESPNScores!$A$2:$B$91,2,FALSE)</f>
        <v>-4</v>
      </c>
      <c r="N7" s="18" t="s">
        <v>326</v>
      </c>
      <c r="O7" s="17">
        <f>VLOOKUP(N7,ESPNScores!$A$2:$B$91,2,FALSE)</f>
        <v>-4</v>
      </c>
      <c r="P7" s="18" t="s">
        <v>326</v>
      </c>
      <c r="Q7" s="17">
        <f>VLOOKUP(P7,ESPNScores!$A$2:$B$91,2,FALSE)</f>
        <v>-4</v>
      </c>
      <c r="R7" s="18" t="s">
        <v>326</v>
      </c>
      <c r="S7" s="17">
        <f>VLOOKUP(R7,ESPNScores!$A$2:$B$91,2,FALSE)</f>
        <v>-4</v>
      </c>
      <c r="T7" s="18" t="s">
        <v>326</v>
      </c>
      <c r="U7" s="17">
        <f>VLOOKUP(T7,ESPNScores!$A$2:$B$91,2,FALSE)</f>
        <v>-4</v>
      </c>
    </row>
    <row r="8" spans="1:21" x14ac:dyDescent="0.25">
      <c r="B8" s="49" t="str">
        <v>Stabile</v>
      </c>
      <c r="C8" s="50">
        <v>-31</v>
      </c>
      <c r="D8" s="64"/>
      <c r="E8" s="13">
        <v>6</v>
      </c>
      <c r="F8" s="18" t="s">
        <v>44</v>
      </c>
      <c r="G8" s="17">
        <f>VLOOKUP(F8,ESPNScores!$A$2:$B$91,2,FALSE)</f>
        <v>-3</v>
      </c>
      <c r="H8" s="18" t="s">
        <v>50</v>
      </c>
      <c r="I8" s="17">
        <f>VLOOKUP(H8,ESPNScores!$A$2:$B$91,2,FALSE)</f>
        <v>0</v>
      </c>
      <c r="J8" s="18" t="s">
        <v>44</v>
      </c>
      <c r="K8" s="17">
        <f>VLOOKUP(J8,ESPNScores!$A$2:$B$91,2,FALSE)</f>
        <v>-3</v>
      </c>
      <c r="L8" s="18" t="s">
        <v>30</v>
      </c>
      <c r="M8" s="17">
        <f>VLOOKUP(L8,ESPNScores!$A$2:$B$91,2,FALSE)</f>
        <v>-3</v>
      </c>
      <c r="N8" s="18" t="s">
        <v>44</v>
      </c>
      <c r="O8" s="17">
        <f>VLOOKUP(N8,ESPNScores!$A$2:$B$91,2,FALSE)</f>
        <v>-3</v>
      </c>
      <c r="P8" s="18" t="s">
        <v>50</v>
      </c>
      <c r="Q8" s="17">
        <f>VLOOKUP(P8,ESPNScores!$A$2:$B$91,2,FALSE)</f>
        <v>0</v>
      </c>
      <c r="R8" s="18" t="s">
        <v>44</v>
      </c>
      <c r="S8" s="17">
        <f>VLOOKUP(R8,ESPNScores!$A$2:$B$91,2,FALSE)</f>
        <v>-3</v>
      </c>
      <c r="T8" s="18" t="s">
        <v>44</v>
      </c>
      <c r="U8" s="17">
        <f>VLOOKUP(T8,ESPNScores!$A$2:$B$91,2,FALSE)</f>
        <v>-3</v>
      </c>
    </row>
    <row r="9" spans="1:21" x14ac:dyDescent="0.25">
      <c r="B9" s="49" t="str">
        <v>Hitchman</v>
      </c>
      <c r="C9" s="50">
        <v>-30</v>
      </c>
      <c r="D9" s="64"/>
      <c r="E9" s="13">
        <v>7</v>
      </c>
      <c r="F9" s="18" t="s">
        <v>41</v>
      </c>
      <c r="G9" s="17">
        <f>VLOOKUP(F9,ESPNScores!$A$2:$B$91,2,FALSE)</f>
        <v>-6</v>
      </c>
      <c r="H9" s="18" t="s">
        <v>41</v>
      </c>
      <c r="I9" s="17">
        <f>VLOOKUP(H9,ESPNScores!$A$2:$B$91,2,FALSE)</f>
        <v>-6</v>
      </c>
      <c r="J9" s="18" t="s">
        <v>39</v>
      </c>
      <c r="K9" s="17">
        <f>VLOOKUP(J9,ESPNScores!$A$2:$B$91,2,FALSE)</f>
        <v>0</v>
      </c>
      <c r="L9" s="18" t="s">
        <v>41</v>
      </c>
      <c r="M9" s="17">
        <f>VLOOKUP(L9,ESPNScores!$A$2:$B$91,2,FALSE)</f>
        <v>-6</v>
      </c>
      <c r="N9" s="18" t="s">
        <v>29</v>
      </c>
      <c r="O9" s="17">
        <f>VLOOKUP(N9,ESPNScores!$A$2:$B$91,2,FALSE)</f>
        <v>-6</v>
      </c>
      <c r="P9" s="18" t="s">
        <v>41</v>
      </c>
      <c r="Q9" s="17">
        <f>VLOOKUP(P9,ESPNScores!$A$2:$B$91,2,FALSE)</f>
        <v>-6</v>
      </c>
      <c r="R9" s="18" t="s">
        <v>39</v>
      </c>
      <c r="S9" s="17">
        <f>VLOOKUP(R9,ESPNScores!$A$2:$B$91,2,FALSE)</f>
        <v>0</v>
      </c>
      <c r="T9" s="18" t="s">
        <v>29</v>
      </c>
      <c r="U9" s="17">
        <f>VLOOKUP(T9,ESPNScores!$A$2:$B$91,2,FALSE)</f>
        <v>-6</v>
      </c>
    </row>
    <row r="10" spans="1:21" x14ac:dyDescent="0.25">
      <c r="B10" s="49" t="str">
        <v>Mattson</v>
      </c>
      <c r="C10" s="50">
        <v>-29</v>
      </c>
      <c r="D10" s="64"/>
      <c r="E10" s="13">
        <v>8</v>
      </c>
      <c r="F10" s="18" t="s">
        <v>49</v>
      </c>
      <c r="G10" s="17">
        <f>VLOOKUP(F10,ESPNScores!$A$2:$B$91,2,FALSE)</f>
        <v>-2</v>
      </c>
      <c r="H10" s="18" t="s">
        <v>49</v>
      </c>
      <c r="I10" s="17">
        <f>VLOOKUP(H10,ESPNScores!$A$2:$B$91,2,FALSE)</f>
        <v>-2</v>
      </c>
      <c r="J10" s="18" t="s">
        <v>49</v>
      </c>
      <c r="K10" s="17">
        <f>VLOOKUP(J10,ESPNScores!$A$2:$B$91,2,FALSE)</f>
        <v>-2</v>
      </c>
      <c r="L10" s="18" t="s">
        <v>49</v>
      </c>
      <c r="M10" s="17">
        <f>VLOOKUP(L10,ESPNScores!$A$2:$B$91,2,FALSE)</f>
        <v>-2</v>
      </c>
      <c r="N10" s="18" t="s">
        <v>49</v>
      </c>
      <c r="O10" s="17">
        <f>VLOOKUP(N10,ESPNScores!$A$2:$B$91,2,FALSE)</f>
        <v>-2</v>
      </c>
      <c r="P10" s="18" t="s">
        <v>62</v>
      </c>
      <c r="Q10" s="17">
        <f>VLOOKUP(P10,ESPNScores!$A$2:$B$91,2,FALSE)</f>
        <v>-1</v>
      </c>
      <c r="R10" s="18" t="s">
        <v>49</v>
      </c>
      <c r="S10" s="17">
        <f>VLOOKUP(R10,ESPNScores!$A$2:$B$91,2,FALSE)</f>
        <v>-2</v>
      </c>
      <c r="T10" s="18" t="s">
        <v>49</v>
      </c>
      <c r="U10" s="17">
        <f>VLOOKUP(T10,ESPNScores!$A$2:$B$91,2,FALSE)</f>
        <v>-2</v>
      </c>
    </row>
    <row r="11" spans="1:21" x14ac:dyDescent="0.25">
      <c r="B11" s="49" t="str">
        <v>Donasky</v>
      </c>
      <c r="C11" s="50">
        <v>-29</v>
      </c>
      <c r="D11" s="35"/>
      <c r="E11" s="13">
        <v>9</v>
      </c>
      <c r="F11" s="18" t="s">
        <v>42</v>
      </c>
      <c r="G11" s="17">
        <f>VLOOKUP(F11,ESPNScores!$A$2:$B$91,2,FALSE)</f>
        <v>-3</v>
      </c>
      <c r="H11" s="18" t="s">
        <v>400</v>
      </c>
      <c r="I11" s="17">
        <f>VLOOKUP(H11,ESPNScores!$A$2:$B$91,2,FALSE)</f>
        <v>-3</v>
      </c>
      <c r="J11" s="18" t="s">
        <v>42</v>
      </c>
      <c r="K11" s="17">
        <f>VLOOKUP(J11,ESPNScores!$A$2:$B$91,2,FALSE)</f>
        <v>-3</v>
      </c>
      <c r="L11" s="18" t="s">
        <v>42</v>
      </c>
      <c r="M11" s="17">
        <f>VLOOKUP(L11,ESPNScores!$A$2:$B$91,2,FALSE)</f>
        <v>-3</v>
      </c>
      <c r="N11" s="18" t="s">
        <v>42</v>
      </c>
      <c r="O11" s="17">
        <f>VLOOKUP(N11,ESPNScores!$A$2:$B$91,2,FALSE)</f>
        <v>-3</v>
      </c>
      <c r="P11" s="18" t="s">
        <v>42</v>
      </c>
      <c r="Q11" s="17">
        <f>VLOOKUP(P11,ESPNScores!$A$2:$B$91,2,FALSE)</f>
        <v>-3</v>
      </c>
      <c r="R11" s="18" t="s">
        <v>42</v>
      </c>
      <c r="S11" s="17">
        <f>VLOOKUP(R11,ESPNScores!$A$2:$B$91,2,FALSE)</f>
        <v>-3</v>
      </c>
      <c r="T11" s="18" t="s">
        <v>397</v>
      </c>
      <c r="U11" s="17">
        <f>VLOOKUP(T11,ESPNScores!$A$2:$B$91,2,FALSE)</f>
        <v>0</v>
      </c>
    </row>
    <row r="12" spans="1:21" x14ac:dyDescent="0.25">
      <c r="B12" s="49" t="str">
        <v>Chernick</v>
      </c>
      <c r="C12" s="50">
        <v>-29</v>
      </c>
      <c r="D12" s="35"/>
      <c r="E12" s="13">
        <v>10</v>
      </c>
      <c r="F12" s="18" t="s">
        <v>288</v>
      </c>
      <c r="G12" s="17">
        <f>VLOOKUP(F12,ESPNScores!$A$2:$B$91,2,FALSE)</f>
        <v>-4</v>
      </c>
      <c r="H12" s="18" t="s">
        <v>332</v>
      </c>
      <c r="I12" s="17">
        <f>VLOOKUP(H12,ESPNScores!$A$2:$B$91,2,FALSE)</f>
        <v>0</v>
      </c>
      <c r="J12" s="18" t="s">
        <v>332</v>
      </c>
      <c r="K12" s="17">
        <f>VLOOKUP(J12,ESPNScores!$A$2:$B$91,2,FALSE)</f>
        <v>0</v>
      </c>
      <c r="L12" s="18" t="s">
        <v>332</v>
      </c>
      <c r="M12" s="17">
        <f>VLOOKUP(L12,ESPNScores!$A$2:$B$91,2,FALSE)</f>
        <v>0</v>
      </c>
      <c r="N12" s="18" t="s">
        <v>288</v>
      </c>
      <c r="O12" s="17">
        <f>VLOOKUP(N12,ESPNScores!$A$2:$B$91,2,FALSE)</f>
        <v>-4</v>
      </c>
      <c r="P12" s="18" t="s">
        <v>36</v>
      </c>
      <c r="Q12" s="17">
        <f>VLOOKUP(P12,ESPNScores!$A$2:$B$91,2,FALSE)</f>
        <v>-2</v>
      </c>
      <c r="R12" s="18" t="s">
        <v>36</v>
      </c>
      <c r="S12" s="17">
        <f>VLOOKUP(R12,ESPNScores!$A$2:$B$91,2,FALSE)</f>
        <v>-2</v>
      </c>
      <c r="T12" s="18" t="s">
        <v>332</v>
      </c>
      <c r="U12" s="17">
        <f>VLOOKUP(T12,ESPNScores!$A$2:$B$91,2,FALSE)</f>
        <v>0</v>
      </c>
    </row>
    <row r="13" spans="1:21" x14ac:dyDescent="0.25">
      <c r="B13" s="49" t="str">
        <v>Rush</v>
      </c>
      <c r="C13" s="50">
        <v>-29</v>
      </c>
      <c r="D13" s="35"/>
      <c r="E13" s="56"/>
      <c r="F13" s="65"/>
      <c r="G13" s="65"/>
      <c r="H13" s="65"/>
      <c r="I13" s="65"/>
      <c r="J13" s="65"/>
      <c r="K13" s="65"/>
      <c r="L13" s="65"/>
      <c r="M13" s="65"/>
    </row>
    <row r="14" spans="1:21" s="7" customFormat="1" x14ac:dyDescent="0.25">
      <c r="B14" s="49" t="str">
        <v>Richard</v>
      </c>
      <c r="C14" s="50">
        <v>-29</v>
      </c>
      <c r="D14" s="35"/>
      <c r="E14" s="12"/>
      <c r="F14" s="10" t="s">
        <v>298</v>
      </c>
      <c r="G14" s="11">
        <f>SMALL(G15:G24,1)+SMALL(G15:G24,2)+SMALL(G15:G24,3)+SMALL(G15:G24,4)+SMALL(G15:G24,5)</f>
        <v>-29</v>
      </c>
      <c r="H14" s="10" t="s">
        <v>299</v>
      </c>
      <c r="I14" s="11">
        <f>SMALL(I15:I24,1)+SMALL(I15:I24,2)+SMALL(I15:I24,3)+SMALL(I15:I24,4)+SMALL(I15:I24,5)</f>
        <v>-29</v>
      </c>
      <c r="J14" s="10" t="s">
        <v>300</v>
      </c>
      <c r="K14" s="11">
        <f>SMALL(K15:K24,1)+SMALL(K15:K24,2)+SMALL(K15:K24,3)+SMALL(K15:K24,4)+SMALL(K15:K24,5)</f>
        <v>-31</v>
      </c>
      <c r="L14" s="10" t="s">
        <v>301</v>
      </c>
      <c r="M14" s="11">
        <f>SMALL(M15:M24,1)+SMALL(M15:M24,2)+SMALL(M15:M24,3)+SMALL(M15:M24,4)+SMALL(M15:M24,5)</f>
        <v>-28</v>
      </c>
      <c r="N14" s="10" t="s">
        <v>337</v>
      </c>
      <c r="O14" s="11">
        <f>SMALL(O15:O24,1)+SMALL(O15:O24,2)+SMALL(O15:O24,3)+SMALL(O15:O24,4)+SMALL(O15:O24,5)</f>
        <v>-24</v>
      </c>
      <c r="P14" s="10" t="s">
        <v>302</v>
      </c>
      <c r="Q14" s="11">
        <f>SMALL(Q15:Q24,1)+SMALL(Q15:Q24,2)+SMALL(Q15:Q24,3)+SMALL(Q15:Q24,4)+SMALL(Q15:Q24,5)</f>
        <v>-24</v>
      </c>
      <c r="R14" s="10" t="s">
        <v>303</v>
      </c>
      <c r="S14" s="11">
        <f>SMALL(S15:S24,1)+SMALL(S15:S24,2)+SMALL(S15:S24,3)+SMALL(S15:S24,4)+SMALL(S15:S24,5)</f>
        <v>-32</v>
      </c>
      <c r="T14" s="10" t="s">
        <v>304</v>
      </c>
      <c r="U14" s="11">
        <f>SMALL(U15:U24,1)+SMALL(U15:U24,2)+SMALL(U15:U24,3)+SMALL(U15:U24,4)+SMALL(U15:U24,5)</f>
        <v>-29</v>
      </c>
    </row>
    <row r="15" spans="1:21" x14ac:dyDescent="0.25">
      <c r="B15" s="49" t="str">
        <v>Howell</v>
      </c>
      <c r="C15" s="50">
        <v>-29</v>
      </c>
      <c r="D15" s="35"/>
      <c r="E15" s="13">
        <v>1</v>
      </c>
      <c r="F15" s="18" t="s">
        <v>25</v>
      </c>
      <c r="G15" s="17">
        <f>VLOOKUP(F15,ESPNScores!$A$2:$B$91,2,FALSE)</f>
        <v>-7</v>
      </c>
      <c r="H15" s="18" t="s">
        <v>25</v>
      </c>
      <c r="I15" s="17">
        <f>VLOOKUP(H15,ESPNScores!$A$2:$B$91,2,FALSE)</f>
        <v>-7</v>
      </c>
      <c r="J15" s="18" t="s">
        <v>25</v>
      </c>
      <c r="K15" s="17">
        <f>VLOOKUP(J15,ESPNScores!$A$2:$B$91,2,FALSE)</f>
        <v>-7</v>
      </c>
      <c r="L15" s="18" t="s">
        <v>25</v>
      </c>
      <c r="M15" s="17">
        <f>VLOOKUP(L15,ESPNScores!$A$2:$B$91,2,FALSE)</f>
        <v>-7</v>
      </c>
      <c r="N15" s="18" t="s">
        <v>25</v>
      </c>
      <c r="O15" s="17">
        <f>VLOOKUP(N15,ESPNScores!$A$2:$B$91,2,FALSE)</f>
        <v>-7</v>
      </c>
      <c r="P15" s="18" t="s">
        <v>25</v>
      </c>
      <c r="Q15" s="17">
        <f>VLOOKUP(P15,ESPNScores!$A$2:$B$91,2,FALSE)</f>
        <v>-7</v>
      </c>
      <c r="R15" s="18" t="s">
        <v>25</v>
      </c>
      <c r="S15" s="17">
        <f>VLOOKUP(R15,ESPNScores!$A$2:$B$91,2,FALSE)</f>
        <v>-7</v>
      </c>
      <c r="T15" s="18" t="s">
        <v>25</v>
      </c>
      <c r="U15" s="17">
        <f>VLOOKUP(T15,ESPNScores!$A$2:$B$91,2,FALSE)</f>
        <v>-7</v>
      </c>
    </row>
    <row r="16" spans="1:21" x14ac:dyDescent="0.25">
      <c r="B16" s="49" t="str">
        <v>Weiss</v>
      </c>
      <c r="C16" s="50">
        <v>-29</v>
      </c>
      <c r="D16" s="35"/>
      <c r="E16" s="13">
        <v>2</v>
      </c>
      <c r="F16" s="18" t="s">
        <v>31</v>
      </c>
      <c r="G16" s="17">
        <f>VLOOKUP(F16,ESPNScores!$A$2:$B$91,2,FALSE)</f>
        <v>-6</v>
      </c>
      <c r="H16" s="18" t="s">
        <v>31</v>
      </c>
      <c r="I16" s="17">
        <f>VLOOKUP(H16,ESPNScores!$A$2:$B$91,2,FALSE)</f>
        <v>-6</v>
      </c>
      <c r="J16" s="18" t="s">
        <v>54</v>
      </c>
      <c r="K16" s="17">
        <f>VLOOKUP(J16,ESPNScores!$A$2:$B$91,2,FALSE)</f>
        <v>-1</v>
      </c>
      <c r="L16" s="18" t="s">
        <v>285</v>
      </c>
      <c r="M16" s="17">
        <f>VLOOKUP(L16,ESPNScores!$A$2:$B$91,2,FALSE)</f>
        <v>-4</v>
      </c>
      <c r="N16" s="18" t="s">
        <v>54</v>
      </c>
      <c r="O16" s="17">
        <f>VLOOKUP(N16,ESPNScores!$A$2:$B$91,2,FALSE)</f>
        <v>-1</v>
      </c>
      <c r="P16" s="18" t="s">
        <v>54</v>
      </c>
      <c r="Q16" s="17">
        <f>VLOOKUP(P16,ESPNScores!$A$2:$B$91,2,FALSE)</f>
        <v>-1</v>
      </c>
      <c r="R16" s="18" t="s">
        <v>31</v>
      </c>
      <c r="S16" s="17">
        <f>VLOOKUP(R16,ESPNScores!$A$2:$B$91,2,FALSE)</f>
        <v>-6</v>
      </c>
      <c r="T16" s="18" t="s">
        <v>31</v>
      </c>
      <c r="U16" s="17">
        <f>VLOOKUP(T16,ESPNScores!$A$2:$B$91,2,FALSE)</f>
        <v>-6</v>
      </c>
    </row>
    <row r="17" spans="2:23" x14ac:dyDescent="0.25">
      <c r="B17" s="49" t="str">
        <v>Jones</v>
      </c>
      <c r="C17" s="50">
        <v>-29</v>
      </c>
      <c r="D17" s="35"/>
      <c r="E17" s="13">
        <v>3</v>
      </c>
      <c r="F17" s="18" t="s">
        <v>32</v>
      </c>
      <c r="G17" s="17">
        <f>VLOOKUP(F17,ESPNScores!$A$2:$B$91,2,FALSE)</f>
        <v>-9</v>
      </c>
      <c r="H17" s="18" t="s">
        <v>262</v>
      </c>
      <c r="I17" s="17">
        <f>VLOOKUP(H17,ESPNScores!$A$2:$B$91,2,FALSE)</f>
        <v>-6</v>
      </c>
      <c r="J17" s="18" t="s">
        <v>32</v>
      </c>
      <c r="K17" s="17">
        <f>VLOOKUP(J17,ESPNScores!$A$2:$B$91,2,FALSE)</f>
        <v>-9</v>
      </c>
      <c r="L17" s="18" t="s">
        <v>32</v>
      </c>
      <c r="M17" s="17">
        <f>VLOOKUP(L17,ESPNScores!$A$2:$B$91,2,FALSE)</f>
        <v>-9</v>
      </c>
      <c r="N17" s="18" t="s">
        <v>32</v>
      </c>
      <c r="O17" s="17">
        <f>VLOOKUP(N17,ESPNScores!$A$2:$B$91,2,FALSE)</f>
        <v>-9</v>
      </c>
      <c r="P17" s="18" t="s">
        <v>262</v>
      </c>
      <c r="Q17" s="17">
        <f>VLOOKUP(P17,ESPNScores!$A$2:$B$91,2,FALSE)</f>
        <v>-6</v>
      </c>
      <c r="R17" s="18" t="s">
        <v>32</v>
      </c>
      <c r="S17" s="17">
        <f>VLOOKUP(R17,ESPNScores!$A$2:$B$91,2,FALSE)</f>
        <v>-9</v>
      </c>
      <c r="T17" s="18" t="s">
        <v>262</v>
      </c>
      <c r="U17" s="17">
        <f>VLOOKUP(T17,ESPNScores!$A$2:$B$91,2,FALSE)</f>
        <v>-6</v>
      </c>
    </row>
    <row r="18" spans="2:23" x14ac:dyDescent="0.25">
      <c r="B18" s="49" t="str">
        <v>Bernau</v>
      </c>
      <c r="C18" s="50">
        <v>-28</v>
      </c>
      <c r="D18" s="35"/>
      <c r="E18" s="13">
        <v>4</v>
      </c>
      <c r="F18" s="18" t="s">
        <v>331</v>
      </c>
      <c r="G18" s="17">
        <f>VLOOKUP(F18,ESPNScores!$A$2:$B$91,2,FALSE)</f>
        <v>1</v>
      </c>
      <c r="H18" s="18" t="s">
        <v>331</v>
      </c>
      <c r="I18" s="17">
        <f>VLOOKUP(H18,ESPNScores!$A$2:$B$91,2,FALSE)</f>
        <v>1</v>
      </c>
      <c r="J18" s="18" t="s">
        <v>147</v>
      </c>
      <c r="K18" s="17">
        <f>VLOOKUP(J18,ESPNScores!$A$2:$B$91,2,FALSE)</f>
        <v>-6</v>
      </c>
      <c r="L18" s="18" t="s">
        <v>53</v>
      </c>
      <c r="M18" s="17">
        <f>VLOOKUP(L18,ESPNScores!$A$2:$B$91,2,FALSE)</f>
        <v>-2</v>
      </c>
      <c r="N18" s="18" t="s">
        <v>53</v>
      </c>
      <c r="O18" s="17">
        <f>VLOOKUP(N18,ESPNScores!$A$2:$B$91,2,FALSE)</f>
        <v>-2</v>
      </c>
      <c r="P18" s="18" t="s">
        <v>53</v>
      </c>
      <c r="Q18" s="17">
        <f>VLOOKUP(P18,ESPNScores!$A$2:$B$91,2,FALSE)</f>
        <v>-2</v>
      </c>
      <c r="R18" s="18" t="s">
        <v>331</v>
      </c>
      <c r="S18" s="17">
        <f>VLOOKUP(R18,ESPNScores!$A$2:$B$91,2,FALSE)</f>
        <v>1</v>
      </c>
      <c r="T18" s="18" t="s">
        <v>331</v>
      </c>
      <c r="U18" s="17">
        <f>VLOOKUP(T18,ESPNScores!$A$2:$B$91,2,FALSE)</f>
        <v>1</v>
      </c>
    </row>
    <row r="19" spans="2:23" x14ac:dyDescent="0.25">
      <c r="B19" s="49" t="str">
        <v>Rakusin</v>
      </c>
      <c r="C19" s="50">
        <v>-28</v>
      </c>
      <c r="D19" s="35"/>
      <c r="E19" s="13">
        <v>5</v>
      </c>
      <c r="F19" s="18" t="s">
        <v>326</v>
      </c>
      <c r="G19" s="17">
        <f>VLOOKUP(F19,ESPNScores!$A$2:$B$91,2,FALSE)</f>
        <v>-4</v>
      </c>
      <c r="H19" s="18" t="s">
        <v>326</v>
      </c>
      <c r="I19" s="17">
        <f>VLOOKUP(H19,ESPNScores!$A$2:$B$91,2,FALSE)</f>
        <v>-4</v>
      </c>
      <c r="J19" s="18" t="s">
        <v>58</v>
      </c>
      <c r="K19" s="17">
        <f>VLOOKUP(J19,ESPNScores!$A$2:$B$91,2,FALSE)</f>
        <v>-3</v>
      </c>
      <c r="L19" s="18" t="s">
        <v>326</v>
      </c>
      <c r="M19" s="17">
        <f>VLOOKUP(L19,ESPNScores!$A$2:$B$91,2,FALSE)</f>
        <v>-4</v>
      </c>
      <c r="N19" s="18" t="s">
        <v>58</v>
      </c>
      <c r="O19" s="17">
        <f>VLOOKUP(N19,ESPNScores!$A$2:$B$91,2,FALSE)</f>
        <v>-3</v>
      </c>
      <c r="P19" s="18" t="s">
        <v>392</v>
      </c>
      <c r="Q19" s="17">
        <f>VLOOKUP(P19,ESPNScores!$A$2:$B$91,2,FALSE)</f>
        <v>0</v>
      </c>
      <c r="R19" s="18" t="s">
        <v>326</v>
      </c>
      <c r="S19" s="17">
        <f>VLOOKUP(R19,ESPNScores!$A$2:$B$91,2,FALSE)</f>
        <v>-4</v>
      </c>
      <c r="T19" s="18" t="s">
        <v>326</v>
      </c>
      <c r="U19" s="17">
        <f>VLOOKUP(T19,ESPNScores!$A$2:$B$91,2,FALSE)</f>
        <v>-4</v>
      </c>
    </row>
    <row r="20" spans="2:23" x14ac:dyDescent="0.25">
      <c r="B20" s="49" t="str">
        <v>Webster</v>
      </c>
      <c r="C20" s="50">
        <v>-27</v>
      </c>
      <c r="D20" s="35"/>
      <c r="E20" s="13">
        <v>6</v>
      </c>
      <c r="F20" s="18" t="s">
        <v>44</v>
      </c>
      <c r="G20" s="17">
        <f>VLOOKUP(F20,ESPNScores!$A$2:$B$91,2,FALSE)</f>
        <v>-3</v>
      </c>
      <c r="H20" s="18" t="s">
        <v>44</v>
      </c>
      <c r="I20" s="17">
        <f>VLOOKUP(H20,ESPNScores!$A$2:$B$91,2,FALSE)</f>
        <v>-3</v>
      </c>
      <c r="J20" s="18" t="s">
        <v>44</v>
      </c>
      <c r="K20" s="17">
        <f>VLOOKUP(J20,ESPNScores!$A$2:$B$91,2,FALSE)</f>
        <v>-3</v>
      </c>
      <c r="L20" s="18" t="s">
        <v>50</v>
      </c>
      <c r="M20" s="17">
        <f>VLOOKUP(L20,ESPNScores!$A$2:$B$91,2,FALSE)</f>
        <v>0</v>
      </c>
      <c r="N20" s="18" t="s">
        <v>44</v>
      </c>
      <c r="O20" s="17">
        <f>VLOOKUP(N20,ESPNScores!$A$2:$B$91,2,FALSE)</f>
        <v>-3</v>
      </c>
      <c r="P20" s="18" t="s">
        <v>50</v>
      </c>
      <c r="Q20" s="17">
        <f>VLOOKUP(P20,ESPNScores!$A$2:$B$91,2,FALSE)</f>
        <v>0</v>
      </c>
      <c r="R20" s="18" t="s">
        <v>44</v>
      </c>
      <c r="S20" s="17">
        <f>VLOOKUP(R20,ESPNScores!$A$2:$B$91,2,FALSE)</f>
        <v>-3</v>
      </c>
      <c r="T20" s="18" t="s">
        <v>44</v>
      </c>
      <c r="U20" s="17">
        <f>VLOOKUP(T20,ESPNScores!$A$2:$B$91,2,FALSE)</f>
        <v>-3</v>
      </c>
    </row>
    <row r="21" spans="2:23" x14ac:dyDescent="0.25">
      <c r="B21" s="49" t="str">
        <v>Balme</v>
      </c>
      <c r="C21" s="50">
        <v>-27</v>
      </c>
      <c r="D21" s="35"/>
      <c r="E21" s="13">
        <v>7</v>
      </c>
      <c r="F21" s="18" t="s">
        <v>39</v>
      </c>
      <c r="G21" s="17">
        <f>VLOOKUP(F21,ESPNScores!$A$2:$B$91,2,FALSE)</f>
        <v>0</v>
      </c>
      <c r="H21" s="18" t="s">
        <v>41</v>
      </c>
      <c r="I21" s="17">
        <f>VLOOKUP(H21,ESPNScores!$A$2:$B$91,2,FALSE)</f>
        <v>-6</v>
      </c>
      <c r="J21" s="18" t="s">
        <v>41</v>
      </c>
      <c r="K21" s="17">
        <f>VLOOKUP(J21,ESPNScores!$A$2:$B$91,2,FALSE)</f>
        <v>-6</v>
      </c>
      <c r="L21" s="18" t="s">
        <v>39</v>
      </c>
      <c r="M21" s="17">
        <f>VLOOKUP(L21,ESPNScores!$A$2:$B$91,2,FALSE)</f>
        <v>0</v>
      </c>
      <c r="N21" s="18" t="s">
        <v>39</v>
      </c>
      <c r="O21" s="17">
        <f>VLOOKUP(N21,ESPNScores!$A$2:$B$91,2,FALSE)</f>
        <v>0</v>
      </c>
      <c r="P21" s="18" t="s">
        <v>41</v>
      </c>
      <c r="Q21" s="17">
        <f>VLOOKUP(P21,ESPNScores!$A$2:$B$91,2,FALSE)</f>
        <v>-6</v>
      </c>
      <c r="R21" s="18" t="s">
        <v>29</v>
      </c>
      <c r="S21" s="17">
        <f>VLOOKUP(R21,ESPNScores!$A$2:$B$91,2,FALSE)</f>
        <v>-6</v>
      </c>
      <c r="T21" s="18" t="s">
        <v>29</v>
      </c>
      <c r="U21" s="17">
        <f>VLOOKUP(T21,ESPNScores!$A$2:$B$91,2,FALSE)</f>
        <v>-6</v>
      </c>
    </row>
    <row r="22" spans="2:23" x14ac:dyDescent="0.25">
      <c r="B22" s="49" t="str">
        <v>L Hill</v>
      </c>
      <c r="C22" s="50">
        <v>-26</v>
      </c>
      <c r="D22" s="35"/>
      <c r="E22" s="13">
        <v>8</v>
      </c>
      <c r="F22" s="18" t="s">
        <v>49</v>
      </c>
      <c r="G22" s="17">
        <f>VLOOKUP(F22,ESPNScores!$A$2:$B$91,2,FALSE)</f>
        <v>-2</v>
      </c>
      <c r="H22" s="18" t="s">
        <v>49</v>
      </c>
      <c r="I22" s="17">
        <f>VLOOKUP(H22,ESPNScores!$A$2:$B$91,2,FALSE)</f>
        <v>-2</v>
      </c>
      <c r="J22" s="18" t="s">
        <v>49</v>
      </c>
      <c r="K22" s="17">
        <f>VLOOKUP(J22,ESPNScores!$A$2:$B$91,2,FALSE)</f>
        <v>-2</v>
      </c>
      <c r="L22" s="18" t="s">
        <v>49</v>
      </c>
      <c r="M22" s="17">
        <f>VLOOKUP(L22,ESPNScores!$A$2:$B$91,2,FALSE)</f>
        <v>-2</v>
      </c>
      <c r="N22" s="18" t="s">
        <v>49</v>
      </c>
      <c r="O22" s="17">
        <f>VLOOKUP(N22,ESPNScores!$A$2:$B$91,2,FALSE)</f>
        <v>-2</v>
      </c>
      <c r="P22" s="18" t="s">
        <v>49</v>
      </c>
      <c r="Q22" s="17">
        <f>VLOOKUP(P22,ESPNScores!$A$2:$B$91,2,FALSE)</f>
        <v>-2</v>
      </c>
      <c r="R22" s="18" t="s">
        <v>49</v>
      </c>
      <c r="S22" s="17">
        <f>VLOOKUP(R22,ESPNScores!$A$2:$B$91,2,FALSE)</f>
        <v>-2</v>
      </c>
      <c r="T22" s="18" t="s">
        <v>49</v>
      </c>
      <c r="U22" s="17">
        <f>VLOOKUP(T22,ESPNScores!$A$2:$B$91,2,FALSE)</f>
        <v>-2</v>
      </c>
    </row>
    <row r="23" spans="2:23" x14ac:dyDescent="0.25">
      <c r="B23" s="49" t="str">
        <v>Eliason</v>
      </c>
      <c r="C23" s="50">
        <v>-26</v>
      </c>
      <c r="D23" s="35"/>
      <c r="E23" s="13">
        <v>9</v>
      </c>
      <c r="F23" s="18" t="s">
        <v>397</v>
      </c>
      <c r="G23" s="17">
        <f>VLOOKUP(F23,ESPNScores!$A$2:$B$91,2,FALSE)</f>
        <v>0</v>
      </c>
      <c r="H23" s="18" t="s">
        <v>397</v>
      </c>
      <c r="I23" s="17">
        <f>VLOOKUP(H23,ESPNScores!$A$2:$B$91,2,FALSE)</f>
        <v>0</v>
      </c>
      <c r="J23" s="18" t="s">
        <v>397</v>
      </c>
      <c r="K23" s="17">
        <f>VLOOKUP(J23,ESPNScores!$A$2:$B$91,2,FALSE)</f>
        <v>0</v>
      </c>
      <c r="L23" s="18" t="s">
        <v>42</v>
      </c>
      <c r="M23" s="17">
        <f>VLOOKUP(L23,ESPNScores!$A$2:$B$91,2,FALSE)</f>
        <v>-3</v>
      </c>
      <c r="N23" s="18" t="s">
        <v>397</v>
      </c>
      <c r="O23" s="17">
        <f>VLOOKUP(N23,ESPNScores!$A$2:$B$91,2,FALSE)</f>
        <v>0</v>
      </c>
      <c r="P23" s="18" t="s">
        <v>400</v>
      </c>
      <c r="Q23" s="17">
        <f>VLOOKUP(P23,ESPNScores!$A$2:$B$91,2,FALSE)</f>
        <v>-3</v>
      </c>
      <c r="R23" s="18" t="s">
        <v>397</v>
      </c>
      <c r="S23" s="17">
        <f>VLOOKUP(R23,ESPNScores!$A$2:$B$91,2,FALSE)</f>
        <v>0</v>
      </c>
      <c r="T23" s="18" t="s">
        <v>397</v>
      </c>
      <c r="U23" s="17">
        <f>VLOOKUP(T23,ESPNScores!$A$2:$B$91,2,FALSE)</f>
        <v>0</v>
      </c>
    </row>
    <row r="24" spans="2:23" x14ac:dyDescent="0.25">
      <c r="B24" s="49" t="str">
        <v>Steigmeyer</v>
      </c>
      <c r="C24" s="50">
        <v>-26</v>
      </c>
      <c r="D24" s="35"/>
      <c r="E24" s="13">
        <v>10</v>
      </c>
      <c r="F24" s="18" t="s">
        <v>332</v>
      </c>
      <c r="G24" s="17">
        <f>VLOOKUP(F24,ESPNScores!$A$2:$B$91,2,FALSE)</f>
        <v>0</v>
      </c>
      <c r="H24" s="18" t="s">
        <v>36</v>
      </c>
      <c r="I24" s="17">
        <f>VLOOKUP(H24,ESPNScores!$A$2:$B$91,2,FALSE)</f>
        <v>-2</v>
      </c>
      <c r="J24" s="18" t="s">
        <v>332</v>
      </c>
      <c r="K24" s="17">
        <f>VLOOKUP(J24,ESPNScores!$A$2:$B$91,2,FALSE)</f>
        <v>0</v>
      </c>
      <c r="L24" s="18" t="s">
        <v>288</v>
      </c>
      <c r="M24" s="17">
        <f>VLOOKUP(L24,ESPNScores!$A$2:$B$91,2,FALSE)</f>
        <v>-4</v>
      </c>
      <c r="N24" s="18" t="s">
        <v>36</v>
      </c>
      <c r="O24" s="17">
        <f>VLOOKUP(N24,ESPNScores!$A$2:$B$91,2,FALSE)</f>
        <v>-2</v>
      </c>
      <c r="P24" s="18" t="s">
        <v>36</v>
      </c>
      <c r="Q24" s="17">
        <f>VLOOKUP(P24,ESPNScores!$A$2:$B$91,2,FALSE)</f>
        <v>-2</v>
      </c>
      <c r="R24" s="18" t="s">
        <v>332</v>
      </c>
      <c r="S24" s="17">
        <f>VLOOKUP(R24,ESPNScores!$A$2:$B$91,2,FALSE)</f>
        <v>0</v>
      </c>
      <c r="T24" s="18" t="s">
        <v>288</v>
      </c>
      <c r="U24" s="17">
        <f>VLOOKUP(T24,ESPNScores!$A$2:$B$91,2,FALSE)</f>
        <v>-4</v>
      </c>
    </row>
    <row r="25" spans="2:23" x14ac:dyDescent="0.25">
      <c r="B25" s="54" t="str">
        <v>Isaacson</v>
      </c>
      <c r="C25" s="55">
        <v>-26</v>
      </c>
      <c r="D25" s="56"/>
      <c r="E25" s="56"/>
      <c r="F25" s="65"/>
      <c r="G25" s="65"/>
      <c r="H25" s="65"/>
      <c r="I25" s="65"/>
      <c r="J25" s="65"/>
      <c r="K25" s="65"/>
      <c r="L25" s="65"/>
      <c r="M25" s="65"/>
      <c r="W25"/>
    </row>
    <row r="26" spans="2:23" s="7" customFormat="1" x14ac:dyDescent="0.25">
      <c r="B26" s="54" t="str">
        <v>McElroy</v>
      </c>
      <c r="C26" s="55">
        <v>-25</v>
      </c>
      <c r="D26" s="56"/>
      <c r="E26" s="12"/>
      <c r="F26" s="10" t="s">
        <v>305</v>
      </c>
      <c r="G26" s="11">
        <f>SMALL(G27:G36,1)+SMALL(G27:G36,2)+SMALL(G27:G36,3)+SMALL(G27:G36,4)+SMALL(G27:G36,5)</f>
        <v>-28</v>
      </c>
      <c r="H26" s="10" t="s">
        <v>306</v>
      </c>
      <c r="I26" s="11">
        <f>SMALL(I27:I36,1)+SMALL(I27:I36,2)+SMALL(I27:I36,3)+SMALL(I27:I36,4)+SMALL(I27:I36,5)</f>
        <v>-29</v>
      </c>
      <c r="J26" s="10" t="s">
        <v>314</v>
      </c>
      <c r="K26" s="11">
        <f>SMALL(K27:K36,1)+SMALL(K27:K36,2)+SMALL(K27:K36,3)+SMALL(K27:K36,4)+SMALL(K27:K36,5)</f>
        <v>-26</v>
      </c>
      <c r="L26" s="10" t="s">
        <v>312</v>
      </c>
      <c r="M26" s="11">
        <f>SMALL(M27:M36,1)+SMALL(M27:M36,2)+SMALL(M27:M36,3)+SMALL(M27:M36,4)+SMALL(M27:M36,5)</f>
        <v>-27</v>
      </c>
      <c r="N26" s="10" t="s">
        <v>308</v>
      </c>
      <c r="O26" s="11">
        <f>SMALL(O27:O36,1)+SMALL(O27:O36,2)+SMALL(O27:O36,3)+SMALL(O27:O36,4)+SMALL(O27:O36,5)</f>
        <v>-25</v>
      </c>
      <c r="P26" s="10" t="s">
        <v>309</v>
      </c>
      <c r="Q26" s="11">
        <f>SMALL(Q27:Q36,1)+SMALL(Q27:Q36,2)+SMALL(Q27:Q36,3)+SMALL(Q27:Q36,4)+SMALL(Q27:Q36,5)</f>
        <v>-30</v>
      </c>
      <c r="R26" s="10" t="s">
        <v>310</v>
      </c>
      <c r="S26" s="11">
        <f>SMALL(S27:S36,1)+SMALL(S27:S36,2)+SMALL(S27:S36,3)+SMALL(S27:S36,4)+SMALL(S27:S36,5)</f>
        <v>-32</v>
      </c>
      <c r="T26" s="10" t="s">
        <v>311</v>
      </c>
      <c r="U26" s="11">
        <f>SMALL(U27:U36,1)+SMALL(U27:U36,2)+SMALL(U27:U36,3)+SMALL(U27:U36,4)+SMALL(U27:U36,5)</f>
        <v>-23</v>
      </c>
      <c r="V26"/>
      <c r="W26"/>
    </row>
    <row r="27" spans="2:23" x14ac:dyDescent="0.25">
      <c r="B27" s="54" t="str">
        <v>Armstrong</v>
      </c>
      <c r="C27" s="50">
        <v>-24</v>
      </c>
      <c r="D27" s="56"/>
      <c r="E27" s="13">
        <v>1</v>
      </c>
      <c r="F27" s="18" t="s">
        <v>25</v>
      </c>
      <c r="G27" s="17">
        <f>VLOOKUP(F27,ESPNScores!$A$2:$B$91,2,FALSE)</f>
        <v>-7</v>
      </c>
      <c r="H27" s="18" t="s">
        <v>25</v>
      </c>
      <c r="I27" s="17">
        <f>VLOOKUP(H27,ESPNScores!$A$2:$B$91,2,FALSE)</f>
        <v>-7</v>
      </c>
      <c r="J27" s="18" t="s">
        <v>25</v>
      </c>
      <c r="K27" s="17">
        <f>VLOOKUP(J27,ESPNScores!$A$2:$B$91,2,FALSE)</f>
        <v>-7</v>
      </c>
      <c r="L27" s="18" t="s">
        <v>25</v>
      </c>
      <c r="M27" s="17">
        <f>VLOOKUP(L27,ESPNScores!$A$2:$B$91,2,FALSE)</f>
        <v>-7</v>
      </c>
      <c r="N27" s="18" t="s">
        <v>374</v>
      </c>
      <c r="O27" s="17">
        <f>VLOOKUP(N27,ESPNScores!$A$2:$B$91,2,FALSE)</f>
        <v>-2</v>
      </c>
      <c r="P27" s="18" t="s">
        <v>25</v>
      </c>
      <c r="Q27" s="17">
        <f>VLOOKUP(P27,ESPNScores!$A$2:$B$91,2,FALSE)</f>
        <v>-7</v>
      </c>
      <c r="R27" s="18" t="s">
        <v>25</v>
      </c>
      <c r="S27" s="17">
        <f>VLOOKUP(R27,ESPNScores!$A$2:$B$91,2,FALSE)</f>
        <v>-7</v>
      </c>
      <c r="T27" s="18" t="s">
        <v>25</v>
      </c>
      <c r="U27" s="17">
        <f>VLOOKUP(T27,ESPNScores!$A$2:$B$91,2,FALSE)</f>
        <v>-7</v>
      </c>
      <c r="W27"/>
    </row>
    <row r="28" spans="2:23" ht="14.4" x14ac:dyDescent="0.3">
      <c r="B28" s="54" t="str">
        <v>Dillabaugh</v>
      </c>
      <c r="C28" s="50">
        <v>-24</v>
      </c>
      <c r="D28" s="56"/>
      <c r="E28" s="13">
        <v>2</v>
      </c>
      <c r="F28" s="18" t="s">
        <v>54</v>
      </c>
      <c r="G28" s="17">
        <f>VLOOKUP(F28,ESPNScores!$A$2:$B$91,2,FALSE)</f>
        <v>-1</v>
      </c>
      <c r="H28" s="18" t="s">
        <v>31</v>
      </c>
      <c r="I28" s="17">
        <f>VLOOKUP(H28,ESPNScores!$A$2:$B$91,2,FALSE)</f>
        <v>-6</v>
      </c>
      <c r="J28" s="18" t="s">
        <v>31</v>
      </c>
      <c r="K28" s="17">
        <f>VLOOKUP(J28,ESPNScores!$A$2:$B$91,2,FALSE)</f>
        <v>-6</v>
      </c>
      <c r="L28" s="18" t="s">
        <v>285</v>
      </c>
      <c r="M28" s="17">
        <f>VLOOKUP(L28,ESPNScores!$A$2:$B$91,2,FALSE)</f>
        <v>-4</v>
      </c>
      <c r="N28" s="18" t="s">
        <v>31</v>
      </c>
      <c r="O28" s="17">
        <f>VLOOKUP(N28,ESPNScores!$A$2:$B$91,2,FALSE)</f>
        <v>-6</v>
      </c>
      <c r="P28" s="18" t="s">
        <v>285</v>
      </c>
      <c r="Q28" s="17">
        <f>VLOOKUP(P28,ESPNScores!$A$2:$B$91,2,FALSE)</f>
        <v>-4</v>
      </c>
      <c r="R28" s="18" t="s">
        <v>31</v>
      </c>
      <c r="S28" s="17">
        <f>VLOOKUP(R28,ESPNScores!$A$2:$B$91,2,FALSE)</f>
        <v>-6</v>
      </c>
      <c r="T28" s="18" t="s">
        <v>54</v>
      </c>
      <c r="U28" s="17">
        <f>VLOOKUP(T28,ESPNScores!$A$2:$B$91,2,FALSE)</f>
        <v>-1</v>
      </c>
      <c r="V28" s="9"/>
    </row>
    <row r="29" spans="2:23" ht="14.4" x14ac:dyDescent="0.3">
      <c r="B29" s="54" t="str">
        <v>B Hill</v>
      </c>
      <c r="C29" s="50">
        <v>-24</v>
      </c>
      <c r="D29" s="50"/>
      <c r="E29" s="13">
        <v>3</v>
      </c>
      <c r="F29" s="18" t="s">
        <v>32</v>
      </c>
      <c r="G29" s="17">
        <f>VLOOKUP(F29,ESPNScores!$A$2:$B$91,2,FALSE)</f>
        <v>-9</v>
      </c>
      <c r="H29" s="18" t="s">
        <v>47</v>
      </c>
      <c r="I29" s="17">
        <f>VLOOKUP(H29,ESPNScores!$A$2:$B$91,2,FALSE)</f>
        <v>4</v>
      </c>
      <c r="J29" s="18" t="s">
        <v>262</v>
      </c>
      <c r="K29" s="17">
        <f>VLOOKUP(J29,ESPNScores!$A$2:$B$91,2,FALSE)</f>
        <v>-6</v>
      </c>
      <c r="L29" s="18" t="s">
        <v>262</v>
      </c>
      <c r="M29" s="17">
        <f>VLOOKUP(L29,ESPNScores!$A$2:$B$91,2,FALSE)</f>
        <v>-6</v>
      </c>
      <c r="N29" s="18" t="s">
        <v>262</v>
      </c>
      <c r="O29" s="17">
        <f>VLOOKUP(N29,ESPNScores!$A$2:$B$91,2,FALSE)</f>
        <v>-6</v>
      </c>
      <c r="P29" s="18" t="s">
        <v>32</v>
      </c>
      <c r="Q29" s="17">
        <f>VLOOKUP(P29,ESPNScores!$A$2:$B$91,2,FALSE)</f>
        <v>-9</v>
      </c>
      <c r="R29" s="18" t="s">
        <v>32</v>
      </c>
      <c r="S29" s="17">
        <f>VLOOKUP(R29,ESPNScores!$A$2:$B$91,2,FALSE)</f>
        <v>-9</v>
      </c>
      <c r="T29" s="18" t="s">
        <v>32</v>
      </c>
      <c r="U29" s="17">
        <f>VLOOKUP(T29,ESPNScores!$A$2:$B$91,2,FALSE)</f>
        <v>-9</v>
      </c>
      <c r="V29" s="9"/>
    </row>
    <row r="30" spans="2:23" ht="14.4" x14ac:dyDescent="0.3">
      <c r="B30" s="54" t="str">
        <v>Langer</v>
      </c>
      <c r="C30" s="50">
        <v>-23</v>
      </c>
      <c r="D30" s="72"/>
      <c r="E30" s="13">
        <v>4</v>
      </c>
      <c r="F30" s="18" t="s">
        <v>53</v>
      </c>
      <c r="G30" s="17">
        <f>VLOOKUP(F30,ESPNScores!$A$2:$B$91,2,FALSE)</f>
        <v>-2</v>
      </c>
      <c r="H30" s="18" t="s">
        <v>147</v>
      </c>
      <c r="I30" s="17">
        <f>VLOOKUP(H30,ESPNScores!$A$2:$B$91,2,FALSE)</f>
        <v>-6</v>
      </c>
      <c r="J30" s="18" t="s">
        <v>53</v>
      </c>
      <c r="K30" s="17">
        <f>VLOOKUP(J30,ESPNScores!$A$2:$B$91,2,FALSE)</f>
        <v>-2</v>
      </c>
      <c r="L30" s="18" t="s">
        <v>53</v>
      </c>
      <c r="M30" s="17">
        <f>VLOOKUP(L30,ESPNScores!$A$2:$B$91,2,FALSE)</f>
        <v>-2</v>
      </c>
      <c r="N30" s="18" t="s">
        <v>331</v>
      </c>
      <c r="O30" s="17">
        <f>VLOOKUP(N30,ESPNScores!$A$2:$B$91,2,FALSE)</f>
        <v>1</v>
      </c>
      <c r="P30" s="18" t="s">
        <v>331</v>
      </c>
      <c r="Q30" s="17">
        <f>VLOOKUP(P30,ESPNScores!$A$2:$B$91,2,FALSE)</f>
        <v>1</v>
      </c>
      <c r="R30" s="18" t="s">
        <v>331</v>
      </c>
      <c r="S30" s="17">
        <f>VLOOKUP(R30,ESPNScores!$A$2:$B$91,2,FALSE)</f>
        <v>1</v>
      </c>
      <c r="T30" s="18" t="s">
        <v>331</v>
      </c>
      <c r="U30" s="17">
        <f>VLOOKUP(T30,ESPNScores!$A$2:$B$91,2,FALSE)</f>
        <v>1</v>
      </c>
      <c r="V30" s="9"/>
    </row>
    <row r="31" spans="2:23" ht="14.4" x14ac:dyDescent="0.3">
      <c r="B31" s="126" t="str">
        <v>Cruickshank</v>
      </c>
      <c r="C31" s="50">
        <v>-21</v>
      </c>
      <c r="D31" s="72"/>
      <c r="E31" s="13">
        <v>5</v>
      </c>
      <c r="F31" s="18" t="s">
        <v>58</v>
      </c>
      <c r="G31" s="17">
        <f>VLOOKUP(F31,ESPNScores!$A$2:$B$91,2,FALSE)</f>
        <v>-3</v>
      </c>
      <c r="H31" s="18" t="s">
        <v>326</v>
      </c>
      <c r="I31" s="17">
        <f>VLOOKUP(H31,ESPNScores!$A$2:$B$91,2,FALSE)</f>
        <v>-4</v>
      </c>
      <c r="J31" s="18" t="s">
        <v>326</v>
      </c>
      <c r="K31" s="17">
        <f>VLOOKUP(J31,ESPNScores!$A$2:$B$91,2,FALSE)</f>
        <v>-4</v>
      </c>
      <c r="L31" s="18" t="s">
        <v>326</v>
      </c>
      <c r="M31" s="17">
        <f>VLOOKUP(L31,ESPNScores!$A$2:$B$91,2,FALSE)</f>
        <v>-4</v>
      </c>
      <c r="N31" s="18" t="s">
        <v>326</v>
      </c>
      <c r="O31" s="17">
        <f>VLOOKUP(N31,ESPNScores!$A$2:$B$91,2,FALSE)</f>
        <v>-4</v>
      </c>
      <c r="P31" s="18" t="s">
        <v>326</v>
      </c>
      <c r="Q31" s="17">
        <f>VLOOKUP(P31,ESPNScores!$A$2:$B$91,2,FALSE)</f>
        <v>-4</v>
      </c>
      <c r="R31" s="18" t="s">
        <v>326</v>
      </c>
      <c r="S31" s="17">
        <f>VLOOKUP(R31,ESPNScores!$A$2:$B$91,2,FALSE)</f>
        <v>-4</v>
      </c>
      <c r="T31" s="18" t="s">
        <v>58</v>
      </c>
      <c r="U31" s="17">
        <f>VLOOKUP(T31,ESPNScores!$A$2:$B$91,2,FALSE)</f>
        <v>-3</v>
      </c>
      <c r="V31" s="31"/>
    </row>
    <row r="32" spans="2:23" ht="14.4" x14ac:dyDescent="0.3">
      <c r="B32" s="58" t="str">
        <v>Holiday</v>
      </c>
      <c r="C32" s="51">
        <v>-16</v>
      </c>
      <c r="D32" s="73"/>
      <c r="E32" s="13">
        <v>6</v>
      </c>
      <c r="F32" s="18" t="s">
        <v>30</v>
      </c>
      <c r="G32" s="17">
        <f>VLOOKUP(F32,ESPNScores!$A$2:$B$91,2,FALSE)</f>
        <v>-3</v>
      </c>
      <c r="H32" s="18" t="s">
        <v>44</v>
      </c>
      <c r="I32" s="17">
        <f>VLOOKUP(H32,ESPNScores!$A$2:$B$91,2,FALSE)</f>
        <v>-3</v>
      </c>
      <c r="J32" s="18" t="s">
        <v>44</v>
      </c>
      <c r="K32" s="17">
        <f>VLOOKUP(J32,ESPNScores!$A$2:$B$91,2,FALSE)</f>
        <v>-3</v>
      </c>
      <c r="L32" s="18" t="s">
        <v>44</v>
      </c>
      <c r="M32" s="17">
        <f>VLOOKUP(L32,ESPNScores!$A$2:$B$91,2,FALSE)</f>
        <v>-3</v>
      </c>
      <c r="N32" s="18" t="s">
        <v>44</v>
      </c>
      <c r="O32" s="17">
        <f>VLOOKUP(N32,ESPNScores!$A$2:$B$91,2,FALSE)</f>
        <v>-3</v>
      </c>
      <c r="P32" s="18" t="s">
        <v>44</v>
      </c>
      <c r="Q32" s="17">
        <f>VLOOKUP(P32,ESPNScores!$A$2:$B$91,2,FALSE)</f>
        <v>-3</v>
      </c>
      <c r="R32" s="18" t="s">
        <v>44</v>
      </c>
      <c r="S32" s="17">
        <f>VLOOKUP(R32,ESPNScores!$A$2:$B$91,2,FALSE)</f>
        <v>-3</v>
      </c>
      <c r="T32" s="18" t="s">
        <v>44</v>
      </c>
      <c r="U32" s="17">
        <f>VLOOKUP(T32,ESPNScores!$A$2:$B$91,2,FALSE)</f>
        <v>-3</v>
      </c>
      <c r="V32" s="9"/>
    </row>
    <row r="33" spans="2:23" ht="14.4" x14ac:dyDescent="0.3">
      <c r="E33" s="13">
        <v>7</v>
      </c>
      <c r="F33" s="18" t="s">
        <v>41</v>
      </c>
      <c r="G33" s="17">
        <f>VLOOKUP(F33,ESPNScores!$A$2:$B$91,2,FALSE)</f>
        <v>-6</v>
      </c>
      <c r="H33" s="18" t="s">
        <v>41</v>
      </c>
      <c r="I33" s="17">
        <f>VLOOKUP(H33,ESPNScores!$A$2:$B$91,2,FALSE)</f>
        <v>-6</v>
      </c>
      <c r="J33" s="18" t="s">
        <v>39</v>
      </c>
      <c r="K33" s="17">
        <f>VLOOKUP(J33,ESPNScores!$A$2:$B$91,2,FALSE)</f>
        <v>0</v>
      </c>
      <c r="L33" s="18" t="s">
        <v>41</v>
      </c>
      <c r="M33" s="17">
        <f>VLOOKUP(L33,ESPNScores!$A$2:$B$91,2,FALSE)</f>
        <v>-6</v>
      </c>
      <c r="N33" s="18" t="s">
        <v>41</v>
      </c>
      <c r="O33" s="17">
        <f>VLOOKUP(N33,ESPNScores!$A$2:$B$91,2,FALSE)</f>
        <v>-6</v>
      </c>
      <c r="P33" s="18" t="s">
        <v>29</v>
      </c>
      <c r="Q33" s="17">
        <f>VLOOKUP(P33,ESPNScores!$A$2:$B$91,2,FALSE)</f>
        <v>-6</v>
      </c>
      <c r="R33" s="18" t="s">
        <v>41</v>
      </c>
      <c r="S33" s="17">
        <f>VLOOKUP(R33,ESPNScores!$A$2:$B$91,2,FALSE)</f>
        <v>-6</v>
      </c>
      <c r="T33" s="18" t="s">
        <v>39</v>
      </c>
      <c r="U33" s="17">
        <f>VLOOKUP(T33,ESPNScores!$A$2:$B$91,2,FALSE)</f>
        <v>0</v>
      </c>
      <c r="V33" s="9"/>
    </row>
    <row r="34" spans="2:23" ht="14.4" x14ac:dyDescent="0.3">
      <c r="B34" s="77" t="s">
        <v>329</v>
      </c>
      <c r="E34" s="13">
        <v>8</v>
      </c>
      <c r="F34" s="18" t="s">
        <v>49</v>
      </c>
      <c r="G34" s="17">
        <f>VLOOKUP(F34,ESPNScores!$A$2:$B$91,2,FALSE)</f>
        <v>-2</v>
      </c>
      <c r="H34" s="18" t="s">
        <v>49</v>
      </c>
      <c r="I34" s="17">
        <f>VLOOKUP(H34,ESPNScores!$A$2:$B$91,2,FALSE)</f>
        <v>-2</v>
      </c>
      <c r="J34" s="18" t="s">
        <v>49</v>
      </c>
      <c r="K34" s="17">
        <f>VLOOKUP(J34,ESPNScores!$A$2:$B$91,2,FALSE)</f>
        <v>-2</v>
      </c>
      <c r="L34" s="18" t="s">
        <v>49</v>
      </c>
      <c r="M34" s="17">
        <f>VLOOKUP(L34,ESPNScores!$A$2:$B$91,2,FALSE)</f>
        <v>-2</v>
      </c>
      <c r="N34" s="18" t="s">
        <v>49</v>
      </c>
      <c r="O34" s="17">
        <f>VLOOKUP(N34,ESPNScores!$A$2:$B$91,2,FALSE)</f>
        <v>-2</v>
      </c>
      <c r="P34" s="18" t="s">
        <v>49</v>
      </c>
      <c r="Q34" s="17">
        <f>VLOOKUP(P34,ESPNScores!$A$2:$B$91,2,FALSE)</f>
        <v>-2</v>
      </c>
      <c r="R34" s="18" t="s">
        <v>171</v>
      </c>
      <c r="S34" s="17">
        <f>VLOOKUP(R34,ESPNScores!$A$2:$B$91,2,FALSE)</f>
        <v>0</v>
      </c>
      <c r="T34" s="18" t="s">
        <v>171</v>
      </c>
      <c r="U34" s="17">
        <f>VLOOKUP(T34,ESPNScores!$A$2:$B$91,2,FALSE)</f>
        <v>0</v>
      </c>
      <c r="V34" s="9"/>
    </row>
    <row r="35" spans="2:23" ht="14.4" x14ac:dyDescent="0.3">
      <c r="B35" s="76" t="str">
        <f>ESPNScores!A2</f>
        <v>Russell Henley</v>
      </c>
      <c r="C35" s="75">
        <f>ESPNScores!B2</f>
        <v>-9</v>
      </c>
      <c r="E35" s="13">
        <v>9</v>
      </c>
      <c r="F35" s="18" t="s">
        <v>400</v>
      </c>
      <c r="G35" s="17">
        <f>VLOOKUP(F35,ESPNScores!$A$2:$B$91,2,FALSE)</f>
        <v>-3</v>
      </c>
      <c r="H35" s="18" t="s">
        <v>397</v>
      </c>
      <c r="I35" s="17">
        <f>VLOOKUP(H35,ESPNScores!$A$2:$B$91,2,FALSE)</f>
        <v>0</v>
      </c>
      <c r="J35" s="18" t="s">
        <v>397</v>
      </c>
      <c r="K35" s="17">
        <f>VLOOKUP(J35,ESPNScores!$A$2:$B$91,2,FALSE)</f>
        <v>0</v>
      </c>
      <c r="L35" s="18" t="s">
        <v>400</v>
      </c>
      <c r="M35" s="17">
        <f>VLOOKUP(L35,ESPNScores!$A$2:$B$91,2,FALSE)</f>
        <v>-3</v>
      </c>
      <c r="N35" s="18" t="s">
        <v>397</v>
      </c>
      <c r="O35" s="17">
        <f>VLOOKUP(N35,ESPNScores!$A$2:$B$91,2,FALSE)</f>
        <v>0</v>
      </c>
      <c r="P35" s="18" t="s">
        <v>400</v>
      </c>
      <c r="Q35" s="17">
        <f>VLOOKUP(P35,ESPNScores!$A$2:$B$91,2,FALSE)</f>
        <v>-3</v>
      </c>
      <c r="R35" s="18" t="s">
        <v>397</v>
      </c>
      <c r="S35" s="17">
        <f>VLOOKUP(R35,ESPNScores!$A$2:$B$91,2,FALSE)</f>
        <v>0</v>
      </c>
      <c r="T35" s="18" t="s">
        <v>397</v>
      </c>
      <c r="U35" s="17">
        <f>VLOOKUP(T35,ESPNScores!$A$2:$B$91,2,FALSE)</f>
        <v>0</v>
      </c>
      <c r="V35" s="9"/>
    </row>
    <row r="36" spans="2:23" ht="14.4" x14ac:dyDescent="0.3">
      <c r="B36" s="76" t="str">
        <f>ESPNScores!A3</f>
        <v>Scottie Scheffler</v>
      </c>
      <c r="C36" s="75">
        <f>ESPNScores!B3</f>
        <v>-7</v>
      </c>
      <c r="E36" s="13">
        <v>10</v>
      </c>
      <c r="F36" s="18" t="s">
        <v>36</v>
      </c>
      <c r="G36" s="17">
        <f>VLOOKUP(F36,ESPNScores!$A$2:$B$91,2,FALSE)</f>
        <v>-2</v>
      </c>
      <c r="H36" s="18" t="s">
        <v>288</v>
      </c>
      <c r="I36" s="17">
        <f>VLOOKUP(H36,ESPNScores!$A$2:$B$91,2,FALSE)</f>
        <v>-4</v>
      </c>
      <c r="J36" s="18" t="s">
        <v>36</v>
      </c>
      <c r="K36" s="17">
        <f>VLOOKUP(J36,ESPNScores!$A$2:$B$91,2,FALSE)</f>
        <v>-2</v>
      </c>
      <c r="L36" s="18" t="s">
        <v>332</v>
      </c>
      <c r="M36" s="17">
        <f>VLOOKUP(L36,ESPNScores!$A$2:$B$91,2,FALSE)</f>
        <v>0</v>
      </c>
      <c r="N36" s="18" t="s">
        <v>332</v>
      </c>
      <c r="O36" s="17">
        <f>VLOOKUP(N36,ESPNScores!$A$2:$B$91,2,FALSE)</f>
        <v>0</v>
      </c>
      <c r="P36" s="18" t="s">
        <v>332</v>
      </c>
      <c r="Q36" s="17">
        <f>VLOOKUP(P36,ESPNScores!$A$2:$B$91,2,FALSE)</f>
        <v>0</v>
      </c>
      <c r="R36" s="18" t="s">
        <v>332</v>
      </c>
      <c r="S36" s="17">
        <f>VLOOKUP(R36,ESPNScores!$A$2:$B$91,2,FALSE)</f>
        <v>0</v>
      </c>
      <c r="T36" s="18" t="s">
        <v>332</v>
      </c>
      <c r="U36" s="17">
        <f>VLOOKUP(T36,ESPNScores!$A$2:$B$91,2,FALSE)</f>
        <v>0</v>
      </c>
      <c r="V36" s="9"/>
    </row>
    <row r="37" spans="2:23" x14ac:dyDescent="0.25">
      <c r="B37" s="76" t="str">
        <f>ESPNScores!A4</f>
        <v>Collin Morikawa</v>
      </c>
      <c r="C37" s="75">
        <f>ESPNScores!B4</f>
        <v>-6</v>
      </c>
      <c r="E37" s="18"/>
      <c r="G37" s="17"/>
      <c r="I37" s="17"/>
      <c r="K37" s="17"/>
      <c r="M37" s="17"/>
      <c r="O37" s="17"/>
      <c r="Q37" s="17"/>
      <c r="S37" s="17"/>
    </row>
    <row r="38" spans="2:23" x14ac:dyDescent="0.25">
      <c r="B38" s="76" t="str">
        <f>ESPNScores!A5</f>
        <v>Patrick Cantlay</v>
      </c>
      <c r="C38" s="75">
        <f>ESPNScores!B5</f>
        <v>-6</v>
      </c>
      <c r="E38" s="12"/>
      <c r="F38" s="10" t="s">
        <v>313</v>
      </c>
      <c r="G38" s="11">
        <f>SMALL(G39:G48,1)+SMALL(G39:G48,2)+SMALL(G39:G48,3)+SMALL(G39:G48,4)+SMALL(G39:G48,5)</f>
        <v>-29</v>
      </c>
      <c r="H38" s="10" t="s">
        <v>307</v>
      </c>
      <c r="I38" s="11">
        <f>SMALL(I39:I48,1)+SMALL(I39:I48,2)+SMALL(I39:I48,3)+SMALL(I39:I48,4)+SMALL(I39:I48,5)</f>
        <v>-26</v>
      </c>
      <c r="J38" s="10" t="s">
        <v>315</v>
      </c>
      <c r="K38" s="11">
        <f>SMALL(K39:K48,1)+SMALL(K39:K48,2)+SMALL(K39:K48,3)+SMALL(K39:K48,4)+SMALL(K39:K48,5)</f>
        <v>-31</v>
      </c>
      <c r="L38" s="10" t="s">
        <v>327</v>
      </c>
      <c r="M38" s="11">
        <f>SMALL(M39:M48,1)+SMALL(M39:M48,2)+SMALL(M39:M48,3)+SMALL(M39:M48,4)+SMALL(M39:M48,5)</f>
        <v>-21</v>
      </c>
      <c r="N38" s="10" t="s">
        <v>328</v>
      </c>
      <c r="O38" s="11">
        <f>SMALL(O39:O48,1)+SMALL(O39:O48,2)+SMALL(O39:O48,3)+SMALL(O39:O48,4)+SMALL(O39:O48,5)</f>
        <v>-26</v>
      </c>
      <c r="P38" s="10" t="s">
        <v>402</v>
      </c>
      <c r="Q38" s="11">
        <f>SMALL(Q39:Q48,1)+SMALL(Q39:Q48,2)+SMALL(Q39:Q48,3)+SMALL(Q39:Q48,4)+SMALL(Q39:Q48,5)</f>
        <v>-29</v>
      </c>
      <c r="R38" s="7"/>
      <c r="S38" s="1"/>
      <c r="T38" s="7"/>
      <c r="U38" s="1"/>
      <c r="V38" s="7"/>
      <c r="W38" s="1"/>
    </row>
    <row r="39" spans="2:23" ht="14.4" x14ac:dyDescent="0.3">
      <c r="B39" s="76" t="str">
        <f>ESPNScores!A6</f>
        <v>Justin Thomas</v>
      </c>
      <c r="C39" s="75">
        <f>ESPNScores!B6</f>
        <v>-6</v>
      </c>
      <c r="E39" s="13">
        <v>1</v>
      </c>
      <c r="F39" s="18" t="s">
        <v>25</v>
      </c>
      <c r="G39" s="17">
        <f>VLOOKUP(F39,ESPNScores!$A$2:$B$91,2,FALSE)</f>
        <v>-7</v>
      </c>
      <c r="H39" s="18" t="s">
        <v>25</v>
      </c>
      <c r="I39" s="17">
        <f>VLOOKUP(H39,ESPNScores!$A$2:$B$91,2,FALSE)</f>
        <v>-7</v>
      </c>
      <c r="J39" s="18" t="s">
        <v>25</v>
      </c>
      <c r="K39" s="17">
        <f>VLOOKUP(J39,ESPNScores!$A$2:$B$91,2,FALSE)</f>
        <v>-7</v>
      </c>
      <c r="L39" s="18" t="s">
        <v>25</v>
      </c>
      <c r="M39" s="17">
        <f>VLOOKUP(L39,ESPNScores!$A$2:$B$91,2,FALSE)</f>
        <v>-7</v>
      </c>
      <c r="N39" s="30" t="s">
        <v>25</v>
      </c>
      <c r="O39" s="17">
        <f>VLOOKUP(N39,ESPNScores!$A$2:$B$91,2,FALSE)</f>
        <v>-7</v>
      </c>
      <c r="P39" s="30" t="s">
        <v>25</v>
      </c>
      <c r="Q39" s="17">
        <f>VLOOKUP(P39,ESPNScores!$A$2:$B$91,2,FALSE)</f>
        <v>-7</v>
      </c>
      <c r="R39" s="66"/>
      <c r="S39" s="17"/>
      <c r="V39" s="9"/>
    </row>
    <row r="40" spans="2:23" ht="14.4" x14ac:dyDescent="0.3">
      <c r="B40" s="76" t="str">
        <f>ESPNScores!A7</f>
        <v>Robert MacIntyre</v>
      </c>
      <c r="C40" s="75">
        <f>ESPNScores!B7</f>
        <v>-6</v>
      </c>
      <c r="E40" s="13">
        <v>2</v>
      </c>
      <c r="F40" s="18" t="s">
        <v>31</v>
      </c>
      <c r="G40" s="17">
        <f>VLOOKUP(F40,ESPNScores!$A$2:$B$91,2,FALSE)</f>
        <v>-6</v>
      </c>
      <c r="H40" s="18" t="s">
        <v>285</v>
      </c>
      <c r="I40" s="17">
        <f>VLOOKUP(H40,ESPNScores!$A$2:$B$91,2,FALSE)</f>
        <v>-4</v>
      </c>
      <c r="J40" s="18" t="s">
        <v>31</v>
      </c>
      <c r="K40" s="17">
        <f>VLOOKUP(J40,ESPNScores!$A$2:$B$91,2,FALSE)</f>
        <v>-6</v>
      </c>
      <c r="L40" s="18" t="s">
        <v>54</v>
      </c>
      <c r="M40" s="17">
        <f>VLOOKUP(L40,ESPNScores!$A$2:$B$91,2,FALSE)</f>
        <v>-1</v>
      </c>
      <c r="N40" s="18" t="s">
        <v>31</v>
      </c>
      <c r="O40" s="17">
        <f>VLOOKUP(N40,ESPNScores!$A$2:$B$91,2,FALSE)</f>
        <v>-6</v>
      </c>
      <c r="P40" s="18" t="s">
        <v>31</v>
      </c>
      <c r="Q40" s="17">
        <f>VLOOKUP(P40,ESPNScores!$A$2:$B$91,2,FALSE)</f>
        <v>-6</v>
      </c>
      <c r="R40" s="66"/>
      <c r="S40" s="17"/>
      <c r="V40" s="9"/>
    </row>
    <row r="41" spans="2:23" ht="14.4" x14ac:dyDescent="0.3">
      <c r="B41" s="76" t="str">
        <f>ESPNScores!A8</f>
        <v>Tommy Fleetwood</v>
      </c>
      <c r="C41" s="75">
        <f>ESPNScores!B8</f>
        <v>-6</v>
      </c>
      <c r="E41" s="13">
        <v>3</v>
      </c>
      <c r="F41" s="18" t="s">
        <v>262</v>
      </c>
      <c r="G41" s="17">
        <f>VLOOKUP(F41,ESPNScores!$A$2:$B$91,2,FALSE)</f>
        <v>-6</v>
      </c>
      <c r="H41" s="18" t="s">
        <v>262</v>
      </c>
      <c r="I41" s="17">
        <f>VLOOKUP(H41,ESPNScores!$A$2:$B$91,2,FALSE)</f>
        <v>-6</v>
      </c>
      <c r="J41" s="18" t="s">
        <v>32</v>
      </c>
      <c r="K41" s="17">
        <f>VLOOKUP(J41,ESPNScores!$A$2:$B$91,2,FALSE)</f>
        <v>-9</v>
      </c>
      <c r="L41" s="18" t="s">
        <v>262</v>
      </c>
      <c r="M41" s="17">
        <f>VLOOKUP(L41,ESPNScores!$A$2:$B$91,2,FALSE)</f>
        <v>-6</v>
      </c>
      <c r="N41" s="18" t="s">
        <v>262</v>
      </c>
      <c r="O41" s="17">
        <f>VLOOKUP(N41,ESPNScores!$A$2:$B$91,2,FALSE)</f>
        <v>-6</v>
      </c>
      <c r="P41" s="18" t="s">
        <v>262</v>
      </c>
      <c r="Q41" s="17">
        <f>VLOOKUP(P41,ESPNScores!$A$2:$B$91,2,FALSE)</f>
        <v>-6</v>
      </c>
      <c r="R41" s="66"/>
      <c r="S41" s="17"/>
      <c r="V41" s="9"/>
    </row>
    <row r="42" spans="2:23" ht="14.4" x14ac:dyDescent="0.3">
      <c r="B42" s="76" t="str">
        <f>ESPNScores!A9</f>
        <v>Akshay Bhatia</v>
      </c>
      <c r="C42" s="75">
        <f>ESPNScores!B9</f>
        <v>-4</v>
      </c>
      <c r="E42" s="13">
        <v>4</v>
      </c>
      <c r="F42" s="18" t="s">
        <v>53</v>
      </c>
      <c r="G42" s="17">
        <f>VLOOKUP(F42,ESPNScores!$A$2:$B$91,2,FALSE)</f>
        <v>-2</v>
      </c>
      <c r="H42" s="18" t="s">
        <v>53</v>
      </c>
      <c r="I42" s="17">
        <f>VLOOKUP(H42,ESPNScores!$A$2:$B$91,2,FALSE)</f>
        <v>-2</v>
      </c>
      <c r="J42" s="18" t="s">
        <v>331</v>
      </c>
      <c r="K42" s="17">
        <f>VLOOKUP(J42,ESPNScores!$A$2:$B$91,2,FALSE)</f>
        <v>1</v>
      </c>
      <c r="L42" s="18" t="s">
        <v>53</v>
      </c>
      <c r="M42" s="17">
        <f>VLOOKUP(L42,ESPNScores!$A$2:$B$91,2,FALSE)</f>
        <v>-2</v>
      </c>
      <c r="N42" s="18" t="s">
        <v>331</v>
      </c>
      <c r="O42" s="17">
        <f>VLOOKUP(N42,ESPNScores!$A$2:$B$91,2,FALSE)</f>
        <v>1</v>
      </c>
      <c r="P42" s="18" t="s">
        <v>53</v>
      </c>
      <c r="Q42" s="17">
        <f>VLOOKUP(P42,ESPNScores!$A$2:$B$91,2,FALSE)</f>
        <v>-2</v>
      </c>
      <c r="R42" s="66"/>
      <c r="S42" s="17"/>
      <c r="V42" s="9"/>
    </row>
    <row r="43" spans="2:23" ht="14.4" x14ac:dyDescent="0.3">
      <c r="B43" s="76" t="str">
        <f>ESPNScores!A10</f>
        <v>Ludvig Åberg</v>
      </c>
      <c r="C43" s="75">
        <f>ESPNScores!B10</f>
        <v>-4</v>
      </c>
      <c r="E43" s="13">
        <v>5</v>
      </c>
      <c r="F43" s="18" t="s">
        <v>326</v>
      </c>
      <c r="G43" s="17">
        <f>VLOOKUP(F43,ESPNScores!$A$2:$B$91,2,FALSE)</f>
        <v>-4</v>
      </c>
      <c r="H43" s="18" t="s">
        <v>58</v>
      </c>
      <c r="I43" s="17">
        <f>VLOOKUP(H43,ESPNScores!$A$2:$B$91,2,FALSE)</f>
        <v>-3</v>
      </c>
      <c r="J43" s="18" t="s">
        <v>58</v>
      </c>
      <c r="K43" s="17">
        <f>VLOOKUP(J43,ESPNScores!$A$2:$B$91,2,FALSE)</f>
        <v>-3</v>
      </c>
      <c r="L43" s="18" t="s">
        <v>58</v>
      </c>
      <c r="M43" s="17">
        <f>VLOOKUP(L43,ESPNScores!$A$2:$B$91,2,FALSE)</f>
        <v>-3</v>
      </c>
      <c r="N43" s="18" t="s">
        <v>326</v>
      </c>
      <c r="O43" s="17">
        <f>VLOOKUP(N43,ESPNScores!$A$2:$B$91,2,FALSE)</f>
        <v>-4</v>
      </c>
      <c r="P43" s="18" t="s">
        <v>326</v>
      </c>
      <c r="Q43" s="17">
        <f>VLOOKUP(P43,ESPNScores!$A$2:$B$91,2,FALSE)</f>
        <v>-4</v>
      </c>
      <c r="R43" s="66"/>
      <c r="S43" s="17"/>
      <c r="V43" s="31"/>
    </row>
    <row r="44" spans="2:23" ht="14.4" x14ac:dyDescent="0.3">
      <c r="B44" s="76" t="str">
        <f>ESPNScores!A11</f>
        <v>Ben Griffin</v>
      </c>
      <c r="C44" s="75">
        <f>ESPNScores!B11</f>
        <v>-4</v>
      </c>
      <c r="E44" s="13">
        <v>6</v>
      </c>
      <c r="F44" s="18" t="s">
        <v>44</v>
      </c>
      <c r="G44" s="17">
        <f>VLOOKUP(F44,ESPNScores!$A$2:$B$91,2,FALSE)</f>
        <v>-3</v>
      </c>
      <c r="H44" s="18" t="s">
        <v>30</v>
      </c>
      <c r="I44" s="17">
        <f>VLOOKUP(H44,ESPNScores!$A$2:$B$91,2,FALSE)</f>
        <v>-3</v>
      </c>
      <c r="J44" s="18" t="s">
        <v>50</v>
      </c>
      <c r="K44" s="17">
        <f>VLOOKUP(J44,ESPNScores!$A$2:$B$91,2,FALSE)</f>
        <v>0</v>
      </c>
      <c r="L44" s="18" t="s">
        <v>44</v>
      </c>
      <c r="M44" s="17">
        <f>VLOOKUP(L44,ESPNScores!$A$2:$B$91,2,FALSE)</f>
        <v>-3</v>
      </c>
      <c r="N44" s="18" t="s">
        <v>44</v>
      </c>
      <c r="O44" s="17">
        <f>VLOOKUP(N44,ESPNScores!$A$2:$B$91,2,FALSE)</f>
        <v>-3</v>
      </c>
      <c r="P44" s="18" t="s">
        <v>44</v>
      </c>
      <c r="Q44" s="17">
        <f>VLOOKUP(P44,ESPNScores!$A$2:$B$91,2,FALSE)</f>
        <v>-3</v>
      </c>
      <c r="R44" s="66"/>
      <c r="S44" s="17"/>
      <c r="V44" s="9"/>
    </row>
    <row r="45" spans="2:23" ht="14.4" x14ac:dyDescent="0.3">
      <c r="B45" s="76" t="str">
        <f>ESPNScores!A12</f>
        <v>Rory McIlroy</v>
      </c>
      <c r="C45" s="75">
        <f>ESPNScores!B12</f>
        <v>-4</v>
      </c>
      <c r="E45" s="13">
        <v>7</v>
      </c>
      <c r="F45" s="18" t="s">
        <v>41</v>
      </c>
      <c r="G45" s="17">
        <f>VLOOKUP(F45,ESPNScores!$A$2:$B$91,2,FALSE)</f>
        <v>-6</v>
      </c>
      <c r="H45" s="18" t="s">
        <v>41</v>
      </c>
      <c r="I45" s="17">
        <f>VLOOKUP(H45,ESPNScores!$A$2:$B$91,2,FALSE)</f>
        <v>-6</v>
      </c>
      <c r="J45" s="18" t="s">
        <v>41</v>
      </c>
      <c r="K45" s="17">
        <f>VLOOKUP(J45,ESPNScores!$A$2:$B$91,2,FALSE)</f>
        <v>-6</v>
      </c>
      <c r="L45" s="18" t="s">
        <v>39</v>
      </c>
      <c r="M45" s="17">
        <f>VLOOKUP(L45,ESPNScores!$A$2:$B$91,2,FALSE)</f>
        <v>0</v>
      </c>
      <c r="N45" s="18" t="s">
        <v>39</v>
      </c>
      <c r="O45" s="17">
        <f>VLOOKUP(N45,ESPNScores!$A$2:$B$91,2,FALSE)</f>
        <v>0</v>
      </c>
      <c r="P45" s="18" t="s">
        <v>41</v>
      </c>
      <c r="Q45" s="17">
        <f>VLOOKUP(P45,ESPNScores!$A$2:$B$91,2,FALSE)</f>
        <v>-6</v>
      </c>
      <c r="R45" s="66"/>
      <c r="S45" s="17"/>
      <c r="V45" s="9"/>
    </row>
    <row r="46" spans="2:23" x14ac:dyDescent="0.25">
      <c r="E46" s="13">
        <v>8</v>
      </c>
      <c r="F46" s="18" t="s">
        <v>49</v>
      </c>
      <c r="G46" s="17">
        <f>VLOOKUP(F46,ESPNScores!$A$2:$B$91,2,FALSE)</f>
        <v>-2</v>
      </c>
      <c r="H46" s="18" t="s">
        <v>62</v>
      </c>
      <c r="I46" s="17">
        <f>VLOOKUP(H46,ESPNScores!$A$2:$B$91,2,FALSE)</f>
        <v>-1</v>
      </c>
      <c r="J46" s="18" t="s">
        <v>49</v>
      </c>
      <c r="K46" s="17">
        <f>VLOOKUP(J46,ESPNScores!$A$2:$B$91,2,FALSE)</f>
        <v>-2</v>
      </c>
      <c r="L46" s="18" t="s">
        <v>62</v>
      </c>
      <c r="M46" s="17">
        <f>VLOOKUP(L46,ESPNScores!$A$2:$B$91,2,FALSE)</f>
        <v>-1</v>
      </c>
      <c r="N46" s="18" t="s">
        <v>49</v>
      </c>
      <c r="O46" s="17">
        <f>VLOOKUP(N46,ESPNScores!$A$2:$B$91,2,FALSE)</f>
        <v>-2</v>
      </c>
      <c r="P46" s="18" t="s">
        <v>62</v>
      </c>
      <c r="Q46" s="17">
        <f>VLOOKUP(P46,ESPNScores!$A$2:$B$91,2,FALSE)</f>
        <v>-1</v>
      </c>
      <c r="R46" s="66"/>
      <c r="S46" s="17"/>
    </row>
    <row r="47" spans="2:23" ht="14.4" x14ac:dyDescent="0.3">
      <c r="B47" s="77" t="s">
        <v>339</v>
      </c>
      <c r="E47" s="13">
        <v>9</v>
      </c>
      <c r="F47" s="18" t="s">
        <v>397</v>
      </c>
      <c r="G47" s="17">
        <f>VLOOKUP(F47,ESPNScores!$A$2:$B$91,2,FALSE)</f>
        <v>0</v>
      </c>
      <c r="H47" s="18" t="s">
        <v>397</v>
      </c>
      <c r="I47" s="17">
        <f>VLOOKUP(H47,ESPNScores!$A$2:$B$91,2,FALSE)</f>
        <v>0</v>
      </c>
      <c r="J47" s="18" t="s">
        <v>42</v>
      </c>
      <c r="K47" s="17">
        <f>VLOOKUP(J47,ESPNScores!$A$2:$B$91,2,FALSE)</f>
        <v>-3</v>
      </c>
      <c r="L47" s="18" t="s">
        <v>397</v>
      </c>
      <c r="M47" s="17">
        <f>VLOOKUP(L47,ESPNScores!$A$2:$B$91,2,FALSE)</f>
        <v>0</v>
      </c>
      <c r="N47" s="18" t="s">
        <v>397</v>
      </c>
      <c r="O47" s="17">
        <f>VLOOKUP(N47,ESPNScores!$A$2:$B$91,2,FALSE)</f>
        <v>0</v>
      </c>
      <c r="P47" s="18" t="s">
        <v>397</v>
      </c>
      <c r="Q47" s="17">
        <f>VLOOKUP(P47,ESPNScores!$A$2:$B$91,2,FALSE)</f>
        <v>0</v>
      </c>
      <c r="R47" s="30"/>
      <c r="S47" s="17"/>
      <c r="V47" s="9"/>
    </row>
    <row r="48" spans="2:23" ht="14.4" x14ac:dyDescent="0.3">
      <c r="B48" s="78" t="s">
        <v>489</v>
      </c>
      <c r="E48" s="13">
        <v>10</v>
      </c>
      <c r="F48" s="18" t="s">
        <v>332</v>
      </c>
      <c r="G48" s="17">
        <f>VLOOKUP(F48,ESPNScores!$A$2:$B$91,2,FALSE)</f>
        <v>0</v>
      </c>
      <c r="H48" s="18" t="s">
        <v>36</v>
      </c>
      <c r="I48" s="17">
        <f>VLOOKUP(H48,ESPNScores!$A$2:$B$91,2,FALSE)</f>
        <v>-2</v>
      </c>
      <c r="J48" s="18" t="s">
        <v>332</v>
      </c>
      <c r="K48" s="17">
        <f>VLOOKUP(J48,ESPNScores!$A$2:$B$91,2,FALSE)</f>
        <v>0</v>
      </c>
      <c r="L48" s="18" t="s">
        <v>332</v>
      </c>
      <c r="M48" s="17">
        <f>VLOOKUP(L48,ESPNScores!$A$2:$B$91,2,FALSE)</f>
        <v>0</v>
      </c>
      <c r="N48" s="18" t="s">
        <v>332</v>
      </c>
      <c r="O48" s="17">
        <f>VLOOKUP(N48,ESPNScores!$A$2:$B$91,2,FALSE)</f>
        <v>0</v>
      </c>
      <c r="P48" s="18" t="s">
        <v>332</v>
      </c>
      <c r="Q48" s="17">
        <f>VLOOKUP(P48,ESPNScores!$A$2:$B$91,2,FALSE)</f>
        <v>0</v>
      </c>
      <c r="R48" s="66"/>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402</v>
      </c>
    </row>
    <row r="51" spans="5:35" x14ac:dyDescent="0.25">
      <c r="E51" s="18" t="s">
        <v>66</v>
      </c>
      <c r="F51" s="17">
        <f>G2</f>
        <v>-27</v>
      </c>
      <c r="G51" s="17">
        <f>I2</f>
        <v>-29</v>
      </c>
      <c r="H51" s="17">
        <f>K2</f>
        <v>-16</v>
      </c>
      <c r="I51" s="17">
        <f>M2</f>
        <v>-29</v>
      </c>
      <c r="J51" s="17">
        <f>O2</f>
        <v>-32</v>
      </c>
      <c r="K51" s="17">
        <f>Q2</f>
        <v>-26</v>
      </c>
      <c r="L51" s="17">
        <f>S2</f>
        <v>-24</v>
      </c>
      <c r="M51" s="17">
        <f>U2</f>
        <v>-34</v>
      </c>
      <c r="N51" s="17">
        <f>G14</f>
        <v>-29</v>
      </c>
      <c r="O51" s="17">
        <f>I14</f>
        <v>-29</v>
      </c>
      <c r="P51" s="17">
        <f>K14</f>
        <v>-31</v>
      </c>
      <c r="Q51" s="17">
        <f>M14</f>
        <v>-28</v>
      </c>
      <c r="R51" s="17">
        <f>O14</f>
        <v>-24</v>
      </c>
      <c r="S51" s="17">
        <f>Q14</f>
        <v>-24</v>
      </c>
      <c r="T51" s="17">
        <f>S14</f>
        <v>-32</v>
      </c>
      <c r="U51" s="17">
        <f>U14</f>
        <v>-29</v>
      </c>
      <c r="V51" s="3">
        <f>G26</f>
        <v>-28</v>
      </c>
      <c r="W51" s="3">
        <f>I26</f>
        <v>-29</v>
      </c>
      <c r="X51" s="3">
        <f>K26</f>
        <v>-26</v>
      </c>
      <c r="Y51" s="3">
        <f>M26</f>
        <v>-27</v>
      </c>
      <c r="Z51" s="3">
        <f>O26</f>
        <v>-25</v>
      </c>
      <c r="AA51" s="3">
        <f>Q26</f>
        <v>-30</v>
      </c>
      <c r="AB51" s="3">
        <f>S26</f>
        <v>-32</v>
      </c>
      <c r="AC51" s="3">
        <f>U26</f>
        <v>-23</v>
      </c>
      <c r="AD51" s="3">
        <f>G38</f>
        <v>-29</v>
      </c>
      <c r="AE51" s="3">
        <f>I38</f>
        <v>-26</v>
      </c>
      <c r="AF51" s="3">
        <f>K38</f>
        <v>-31</v>
      </c>
      <c r="AG51" s="3">
        <f>M38</f>
        <v>-21</v>
      </c>
      <c r="AH51" s="3">
        <f>O38</f>
        <v>-26</v>
      </c>
      <c r="AI51" s="3">
        <f>Q38</f>
        <v>-29</v>
      </c>
    </row>
    <row r="52" spans="5:35" x14ac:dyDescent="0.25">
      <c r="E52" s="18" t="s">
        <v>317</v>
      </c>
      <c r="F52" s="17">
        <v>-19</v>
      </c>
      <c r="G52" s="17">
        <v>-21</v>
      </c>
      <c r="H52" s="17">
        <v>-15</v>
      </c>
      <c r="I52" s="17">
        <v>-16</v>
      </c>
      <c r="J52" s="17">
        <v>-16</v>
      </c>
      <c r="K52" s="67">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4"/>
      <c r="G53" s="74"/>
      <c r="H53" s="74"/>
      <c r="I53" s="74"/>
      <c r="J53" s="74"/>
      <c r="K53" s="74"/>
      <c r="L53" s="74"/>
      <c r="M53" s="74"/>
      <c r="N53" s="74"/>
      <c r="O53" s="74"/>
      <c r="P53" s="74"/>
      <c r="Q53" s="74"/>
      <c r="R53" s="74"/>
      <c r="S53" s="74"/>
      <c r="T53" s="74"/>
      <c r="U53" s="74"/>
      <c r="V53" s="45"/>
      <c r="W53" s="45"/>
      <c r="X53" s="45"/>
      <c r="Y53" s="45"/>
      <c r="Z53" s="45"/>
      <c r="AA53" s="45"/>
      <c r="AB53" s="44"/>
      <c r="AC53" s="44"/>
      <c r="AD53" s="44"/>
      <c r="AE53" s="44"/>
      <c r="AF53" s="44"/>
      <c r="AG53" s="44"/>
      <c r="AH53" s="44"/>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35" priority="35" operator="equal">
      <formula>50</formula>
    </cfRule>
  </conditionalFormatting>
  <conditionalFormatting sqref="F38:K38">
    <cfRule type="cellIs" dxfId="34" priority="34" operator="equal">
      <formula>50</formula>
    </cfRule>
  </conditionalFormatting>
  <conditionalFormatting sqref="F1:U2 F13:U14 F25:U26 F37:U37 R38:U48 F38:Q38">
    <cfRule type="expression" dxfId="33" priority="33">
      <formula>G1=50</formula>
    </cfRule>
  </conditionalFormatting>
  <conditionalFormatting sqref="L38:M38">
    <cfRule type="cellIs" dxfId="32" priority="32" operator="equal">
      <formula>50</formula>
    </cfRule>
  </conditionalFormatting>
  <conditionalFormatting sqref="N38:Q38">
    <cfRule type="cellIs" dxfId="31" priority="31" operator="equal">
      <formula>50</formula>
    </cfRule>
  </conditionalFormatting>
  <conditionalFormatting sqref="G3:G12">
    <cfRule type="cellIs" dxfId="30" priority="30" operator="equal">
      <formula>50</formula>
    </cfRule>
  </conditionalFormatting>
  <conditionalFormatting sqref="I3:I12">
    <cfRule type="cellIs" dxfId="29" priority="29" operator="equal">
      <formula>50</formula>
    </cfRule>
  </conditionalFormatting>
  <conditionalFormatting sqref="K3:K12">
    <cfRule type="cellIs" dxfId="28" priority="28" operator="equal">
      <formula>50</formula>
    </cfRule>
  </conditionalFormatting>
  <conditionalFormatting sqref="M3:M12">
    <cfRule type="cellIs" dxfId="27" priority="27" operator="equal">
      <formula>50</formula>
    </cfRule>
  </conditionalFormatting>
  <conditionalFormatting sqref="O3:O12">
    <cfRule type="cellIs" dxfId="26" priority="26" operator="equal">
      <formula>50</formula>
    </cfRule>
  </conditionalFormatting>
  <conditionalFormatting sqref="Q3:Q12">
    <cfRule type="cellIs" dxfId="25" priority="25" operator="equal">
      <formula>50</formula>
    </cfRule>
  </conditionalFormatting>
  <conditionalFormatting sqref="S3:S12">
    <cfRule type="cellIs" dxfId="24" priority="24" operator="equal">
      <formula>50</formula>
    </cfRule>
  </conditionalFormatting>
  <conditionalFormatting sqref="U3:U12">
    <cfRule type="cellIs" dxfId="23" priority="23" operator="equal">
      <formula>50</formula>
    </cfRule>
  </conditionalFormatting>
  <conditionalFormatting sqref="U15:U24">
    <cfRule type="cellIs" dxfId="22" priority="22" operator="equal">
      <formula>50</formula>
    </cfRule>
  </conditionalFormatting>
  <conditionalFormatting sqref="S15:S24">
    <cfRule type="cellIs" dxfId="21" priority="21" operator="equal">
      <formula>50</formula>
    </cfRule>
  </conditionalFormatting>
  <conditionalFormatting sqref="Q15:Q24">
    <cfRule type="cellIs" dxfId="20" priority="20" operator="equal">
      <formula>50</formula>
    </cfRule>
  </conditionalFormatting>
  <conditionalFormatting sqref="O15:O24">
    <cfRule type="cellIs" dxfId="19" priority="19" operator="equal">
      <formula>50</formula>
    </cfRule>
  </conditionalFormatting>
  <conditionalFormatting sqref="M15:M24">
    <cfRule type="cellIs" dxfId="18" priority="18" operator="equal">
      <formula>50</formula>
    </cfRule>
  </conditionalFormatting>
  <conditionalFormatting sqref="K15:K24">
    <cfRule type="cellIs" dxfId="17" priority="17" operator="equal">
      <formula>50</formula>
    </cfRule>
  </conditionalFormatting>
  <conditionalFormatting sqref="I15:I24">
    <cfRule type="cellIs" dxfId="16" priority="16" operator="equal">
      <formula>50</formula>
    </cfRule>
  </conditionalFormatting>
  <conditionalFormatting sqref="G15:G24">
    <cfRule type="cellIs" dxfId="15" priority="15" operator="equal">
      <formula>50</formula>
    </cfRule>
  </conditionalFormatting>
  <conditionalFormatting sqref="G27:G36">
    <cfRule type="cellIs" dxfId="14" priority="14" operator="equal">
      <formula>50</formula>
    </cfRule>
  </conditionalFormatting>
  <conditionalFormatting sqref="I27:I36">
    <cfRule type="cellIs" dxfId="13" priority="13" operator="equal">
      <formula>50</formula>
    </cfRule>
  </conditionalFormatting>
  <conditionalFormatting sqref="K27:K36">
    <cfRule type="cellIs" dxfId="12" priority="12" operator="equal">
      <formula>50</formula>
    </cfRule>
  </conditionalFormatting>
  <conditionalFormatting sqref="M27:M36">
    <cfRule type="cellIs" dxfId="11" priority="11" operator="equal">
      <formula>50</formula>
    </cfRule>
  </conditionalFormatting>
  <conditionalFormatting sqref="O27:O36">
    <cfRule type="cellIs" dxfId="10" priority="10" operator="equal">
      <formula>50</formula>
    </cfRule>
  </conditionalFormatting>
  <conditionalFormatting sqref="Q27:Q36">
    <cfRule type="cellIs" dxfId="9" priority="9" operator="equal">
      <formula>50</formula>
    </cfRule>
  </conditionalFormatting>
  <conditionalFormatting sqref="S27:S36">
    <cfRule type="cellIs" dxfId="8" priority="8" operator="equal">
      <formula>50</formula>
    </cfRule>
  </conditionalFormatting>
  <conditionalFormatting sqref="U27:U36">
    <cfRule type="cellIs" dxfId="7" priority="7" operator="equal">
      <formula>50</formula>
    </cfRule>
  </conditionalFormatting>
  <conditionalFormatting sqref="G39:G48">
    <cfRule type="cellIs" dxfId="6" priority="6" operator="equal">
      <formula>50</formula>
    </cfRule>
  </conditionalFormatting>
  <conditionalFormatting sqref="I39:I48">
    <cfRule type="cellIs" dxfId="5" priority="5" operator="equal">
      <formula>50</formula>
    </cfRule>
  </conditionalFormatting>
  <conditionalFormatting sqref="K39:K48">
    <cfRule type="cellIs" dxfId="4" priority="4" operator="equal">
      <formula>50</formula>
    </cfRule>
  </conditionalFormatting>
  <conditionalFormatting sqref="M39:M48">
    <cfRule type="cellIs" dxfId="3" priority="3" operator="equal">
      <formula>50</formula>
    </cfRule>
  </conditionalFormatting>
  <conditionalFormatting sqref="O39:O48">
    <cfRule type="cellIs" dxfId="2" priority="2" operator="equal">
      <formula>50</formula>
    </cfRule>
  </conditionalFormatting>
  <conditionalFormatting sqref="Q39:Q48">
    <cfRule type="cellIs" dxfId="1" priority="1" operator="equal">
      <formula>50</formula>
    </cfRule>
  </conditionalFormatting>
  <hyperlinks>
    <hyperlink ref="B34" r:id="rId1" xr:uid="{6F72E693-F3FB-45F7-B2A9-4A94B4303148}"/>
    <hyperlink ref="B47"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7F5270E5-E5A1-463C-AA49-8C3E4194CD6A}">
          <x14:formula1>
            <xm:f>ESPNField!$A$2:$A$76</xm:f>
          </x14:formula1>
          <xm:sqref>T47:T48 R47:R48 V47:V48 V35:V36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C14" sqref="C14:E23"/>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38" t="s">
        <v>25</v>
      </c>
      <c r="D3" s="112" t="s">
        <v>26</v>
      </c>
      <c r="E3" s="38" t="s">
        <v>374</v>
      </c>
    </row>
    <row r="4" spans="2:7" x14ac:dyDescent="0.25">
      <c r="B4" s="1">
        <v>2</v>
      </c>
      <c r="C4" s="38" t="s">
        <v>54</v>
      </c>
      <c r="D4" s="38" t="s">
        <v>31</v>
      </c>
      <c r="E4" s="38" t="s">
        <v>285</v>
      </c>
    </row>
    <row r="5" spans="2:7" x14ac:dyDescent="0.25">
      <c r="B5" s="1">
        <v>3</v>
      </c>
      <c r="C5" s="113" t="s">
        <v>32</v>
      </c>
      <c r="D5" s="62" t="s">
        <v>47</v>
      </c>
      <c r="E5" s="62" t="s">
        <v>262</v>
      </c>
    </row>
    <row r="6" spans="2:7" x14ac:dyDescent="0.25">
      <c r="B6" s="1">
        <v>4</v>
      </c>
      <c r="C6" s="112" t="s">
        <v>331</v>
      </c>
      <c r="D6" s="38" t="s">
        <v>53</v>
      </c>
      <c r="E6" s="38" t="s">
        <v>147</v>
      </c>
    </row>
    <row r="7" spans="2:7" x14ac:dyDescent="0.25">
      <c r="B7" s="1">
        <v>5</v>
      </c>
      <c r="C7" s="38" t="s">
        <v>58</v>
      </c>
      <c r="D7" s="30" t="s">
        <v>326</v>
      </c>
      <c r="E7" s="38" t="s">
        <v>392</v>
      </c>
      <c r="F7"/>
    </row>
    <row r="8" spans="2:7" x14ac:dyDescent="0.25">
      <c r="B8" s="1">
        <v>6</v>
      </c>
      <c r="C8" s="113" t="s">
        <v>50</v>
      </c>
      <c r="D8" s="38" t="s">
        <v>44</v>
      </c>
      <c r="E8" s="38" t="s">
        <v>30</v>
      </c>
      <c r="F8" s="6"/>
    </row>
    <row r="9" spans="2:7" x14ac:dyDescent="0.25">
      <c r="B9" s="1">
        <v>7</v>
      </c>
      <c r="C9" s="111" t="s">
        <v>39</v>
      </c>
      <c r="D9" s="113" t="s">
        <v>29</v>
      </c>
      <c r="E9" s="113" t="s">
        <v>41</v>
      </c>
      <c r="F9" s="6"/>
      <c r="G9" s="6"/>
    </row>
    <row r="10" spans="2:7" x14ac:dyDescent="0.25">
      <c r="B10" s="1">
        <v>8</v>
      </c>
      <c r="C10" s="113" t="s">
        <v>49</v>
      </c>
      <c r="D10" s="62" t="s">
        <v>62</v>
      </c>
      <c r="E10" s="62" t="s">
        <v>171</v>
      </c>
      <c r="F10" s="6"/>
      <c r="G10" s="6"/>
    </row>
    <row r="11" spans="2:7" x14ac:dyDescent="0.25">
      <c r="B11" s="1">
        <v>9</v>
      </c>
      <c r="C11" s="112" t="s">
        <v>42</v>
      </c>
      <c r="D11" s="38" t="s">
        <v>397</v>
      </c>
      <c r="E11" s="38" t="s">
        <v>400</v>
      </c>
      <c r="F11" s="6"/>
      <c r="G11" s="6"/>
    </row>
    <row r="12" spans="2:7" x14ac:dyDescent="0.25">
      <c r="B12" s="1">
        <v>10</v>
      </c>
      <c r="C12" s="113" t="s">
        <v>36</v>
      </c>
      <c r="D12" s="38" t="s">
        <v>332</v>
      </c>
      <c r="E12" s="113" t="s">
        <v>288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65</v>
      </c>
      <c r="D25"/>
      <c r="E25" s="3"/>
      <c r="F25" s="7" t="s">
        <v>65</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66</v>
      </c>
      <c r="C36"/>
      <c r="D36"/>
      <c r="E36" s="8" t="s">
        <v>66</v>
      </c>
      <c r="F36"/>
    </row>
    <row r="37" spans="1:10" x14ac:dyDescent="0.25">
      <c r="B37" s="3"/>
      <c r="C37"/>
      <c r="D37"/>
    </row>
    <row r="38" spans="1:10" x14ac:dyDescent="0.25">
      <c r="B38" s="3"/>
      <c r="C38"/>
      <c r="D38"/>
    </row>
    <row r="39" spans="1:10" x14ac:dyDescent="0.25">
      <c r="A39" s="18" t="s">
        <v>67</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D4" sqref="D4"/>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64</v>
      </c>
    </row>
    <row r="3" spans="2:7" x14ac:dyDescent="0.25">
      <c r="B3" s="1">
        <v>1</v>
      </c>
      <c r="C3" s="6" t="str" cm="1">
        <f t="array" ref="C3:G3">TRANSPOSE(OWGR!F2:F6)</f>
        <v>Scottie Scheffler</v>
      </c>
      <c r="D3" s="6" t="str">
        <v>Rory McIlroy</v>
      </c>
      <c r="E3" s="6" t="str">
        <v>Xander Schauffele</v>
      </c>
      <c r="F3" s="6" t="str">
        <v>Russell Henley</v>
      </c>
      <c r="G3" s="6" t="str">
        <v>Justin Thomas</v>
      </c>
    </row>
    <row r="4" spans="2:7" x14ac:dyDescent="0.25">
      <c r="B4" s="1">
        <v>2</v>
      </c>
      <c r="C4" s="6" t="str" cm="1">
        <f t="array" ref="C4:G4">TRANSPOSE(OWGR!F7:F11)</f>
        <v>J.J. Spaun</v>
      </c>
      <c r="D4" s="6" t="str">
        <v>Collin Morikawa</v>
      </c>
      <c r="E4" s="6" t="str">
        <v>Robert MacIntyre</v>
      </c>
      <c r="F4" s="6" t="str">
        <v>Harris English</v>
      </c>
      <c r="G4" s="6" t="str">
        <v>Tommy Fleetwood</v>
      </c>
    </row>
    <row r="5" spans="2:7" x14ac:dyDescent="0.25">
      <c r="B5" s="1">
        <v>3</v>
      </c>
      <c r="C5" s="6" t="str" cm="1">
        <f t="array" ref="C5:G5">TRANSPOSE(OWGR!F12:F16)</f>
        <v>Justin Rose</v>
      </c>
      <c r="D5" s="6" t="str">
        <v>Sepp Straka</v>
      </c>
      <c r="E5" s="6" t="str">
        <v>Keegan Bradley</v>
      </c>
      <c r="F5" s="6" t="str">
        <v>Ludvig Aberg</v>
      </c>
      <c r="G5" s="6" t="str">
        <v>Viktor Hovland</v>
      </c>
    </row>
    <row r="6" spans="2:7" x14ac:dyDescent="0.25">
      <c r="B6" s="1">
        <v>4</v>
      </c>
      <c r="C6" s="6" t="str" cm="1">
        <f t="array" ref="C6:G6">TRANSPOSE(OWGR!F17:F21)</f>
        <v>Hideki Matsuyama</v>
      </c>
      <c r="D6" s="6" t="str">
        <v>Ben Griffin</v>
      </c>
      <c r="E6" s="6" t="str">
        <v>Bryson DeChambeau</v>
      </c>
      <c r="F6" s="6" t="str">
        <v>Maverick McNealy</v>
      </c>
      <c r="G6" s="6" t="str">
        <v>Cameron Young</v>
      </c>
    </row>
    <row r="7" spans="2:7" x14ac:dyDescent="0.25">
      <c r="B7" s="1">
        <v>5</v>
      </c>
      <c r="C7" s="6" t="str" cm="1">
        <f t="array" ref="C7:G7">TRANSPOSE(OWGR!F22:F26)</f>
        <v>Shane Lowry</v>
      </c>
      <c r="D7" s="6" t="str">
        <v>Sam Burns</v>
      </c>
      <c r="E7" s="6" t="str">
        <v>Patrick Cantlay</v>
      </c>
      <c r="F7" s="6" t="str">
        <v>Tyrrell Hatton</v>
      </c>
      <c r="G7" s="6" t="str">
        <v>Corey Conners</v>
      </c>
    </row>
    <row r="8" spans="2:7" x14ac:dyDescent="0.25">
      <c r="B8" s="1">
        <v>6</v>
      </c>
      <c r="C8" s="6" t="str" cm="1">
        <f t="array" ref="C8:G8">TRANSPOSE(OWGR!F27:F31)</f>
        <v>Wyndham Clark</v>
      </c>
      <c r="D8" s="6" t="str">
        <v>Chris Gotterup</v>
      </c>
      <c r="E8" s="6" t="str">
        <v>Brian Harman</v>
      </c>
      <c r="F8" s="6" t="str">
        <v>Sungjae Im</v>
      </c>
      <c r="G8" s="6" t="str">
        <v>Andrew Novak</v>
      </c>
    </row>
    <row r="9" spans="2:7" x14ac:dyDescent="0.25">
      <c r="B9" s="1">
        <v>7</v>
      </c>
      <c r="C9" s="6" t="str" cm="1">
        <f t="array" ref="C9:G9">TRANSPOSE(OWGR!F32:F36)</f>
        <v>Billy Horschel</v>
      </c>
      <c r="D9" s="6" t="str">
        <v>Aaron Rai</v>
      </c>
      <c r="E9" s="6" t="str">
        <v>Kurt Kitayama</v>
      </c>
      <c r="F9" s="6" t="str">
        <v>Akshay Bhatia</v>
      </c>
      <c r="G9" s="6" t="str">
        <v>Matt Fitzpatrick</v>
      </c>
    </row>
    <row r="10" spans="2:7" x14ac:dyDescent="0.25">
      <c r="B10" s="1">
        <v>8</v>
      </c>
      <c r="C10" s="6" t="str" cm="1">
        <f t="array" ref="C10:G10">TRANSPOSE(OWGR!F37:F41)</f>
        <v>Nick Taylor</v>
      </c>
      <c r="D10" s="6" t="str">
        <v>Ryan Fox</v>
      </c>
      <c r="E10" s="6" t="str">
        <v>Jason Day</v>
      </c>
      <c r="F10" s="6" t="str">
        <v>Taylor Pendrith</v>
      </c>
      <c r="G10" s="6" t="str">
        <v>Max Greyserman</v>
      </c>
    </row>
    <row r="12" spans="2:7" x14ac:dyDescent="0.25">
      <c r="B12" s="1">
        <v>1</v>
      </c>
      <c r="C12" t="str">
        <f t="shared" ref="C12:G19" si="0">UPPER(MID(C3,FIND(" ", C3, 1),30))</f>
        <v xml:space="preserve"> SCHEFFLER</v>
      </c>
      <c r="D12" t="str">
        <f t="shared" si="0"/>
        <v xml:space="preserve"> MCILROY</v>
      </c>
      <c r="E12" t="str">
        <f t="shared" si="0"/>
        <v xml:space="preserve"> SCHAUFFELE</v>
      </c>
      <c r="F12" t="str">
        <f t="shared" si="0"/>
        <v xml:space="preserve"> HENLEY</v>
      </c>
      <c r="G12" t="str">
        <f t="shared" si="0"/>
        <v xml:space="preserve"> THOMAS</v>
      </c>
    </row>
    <row r="13" spans="2:7" x14ac:dyDescent="0.25">
      <c r="B13" s="1">
        <v>2</v>
      </c>
      <c r="C13" t="str">
        <f t="shared" si="0"/>
        <v xml:space="preserve"> SPAUN</v>
      </c>
      <c r="D13" t="str">
        <f t="shared" si="0"/>
        <v xml:space="preserve"> MORIKAWA</v>
      </c>
      <c r="E13" t="str">
        <f t="shared" si="0"/>
        <v xml:space="preserve"> MACINTYRE</v>
      </c>
      <c r="F13" t="str">
        <f t="shared" si="0"/>
        <v xml:space="preserve"> ENGLISH</v>
      </c>
      <c r="G13" t="str">
        <f t="shared" si="0"/>
        <v xml:space="preserve"> FLEETWOOD</v>
      </c>
    </row>
    <row r="14" spans="2:7" x14ac:dyDescent="0.25">
      <c r="B14" s="1">
        <v>3</v>
      </c>
      <c r="C14" t="str">
        <f t="shared" si="0"/>
        <v xml:space="preserve"> ROSE</v>
      </c>
      <c r="D14" t="str">
        <f t="shared" si="0"/>
        <v xml:space="preserve"> STRAKA</v>
      </c>
      <c r="E14" t="str">
        <f t="shared" si="0"/>
        <v xml:space="preserve"> BRADLEY</v>
      </c>
      <c r="F14" t="str">
        <f t="shared" si="0"/>
        <v xml:space="preserve"> ABERG</v>
      </c>
      <c r="G14" t="str">
        <f t="shared" si="0"/>
        <v xml:space="preserve"> HOVLAND</v>
      </c>
    </row>
    <row r="15" spans="2:7" x14ac:dyDescent="0.25">
      <c r="B15" s="1">
        <v>4</v>
      </c>
      <c r="C15" t="str">
        <f t="shared" si="0"/>
        <v xml:space="preserve"> MATSUYAMA</v>
      </c>
      <c r="D15" t="str">
        <f t="shared" si="0"/>
        <v xml:space="preserve"> GRIFFIN</v>
      </c>
      <c r="E15" t="str">
        <f t="shared" si="0"/>
        <v xml:space="preserve"> DECHAMBEAU</v>
      </c>
      <c r="F15" t="str">
        <f t="shared" si="0"/>
        <v xml:space="preserve"> MCNEALY</v>
      </c>
      <c r="G15" t="str">
        <f t="shared" si="0"/>
        <v xml:space="preserve"> YOUNG</v>
      </c>
    </row>
    <row r="16" spans="2:7" x14ac:dyDescent="0.25">
      <c r="B16" s="1">
        <v>5</v>
      </c>
      <c r="C16" t="str">
        <f t="shared" si="0"/>
        <v xml:space="preserve"> LOWRY</v>
      </c>
      <c r="D16" t="str">
        <f t="shared" si="0"/>
        <v xml:space="preserve"> BURNS</v>
      </c>
      <c r="E16" t="str">
        <f t="shared" si="0"/>
        <v xml:space="preserve"> CANTLAY</v>
      </c>
      <c r="F16" t="str">
        <f t="shared" si="0"/>
        <v xml:space="preserve"> HATTON</v>
      </c>
      <c r="G16" t="str">
        <f t="shared" si="0"/>
        <v xml:space="preserve"> CONNERS</v>
      </c>
    </row>
    <row r="17" spans="2:7" x14ac:dyDescent="0.25">
      <c r="B17" s="1">
        <v>6</v>
      </c>
      <c r="C17" t="str">
        <f t="shared" si="0"/>
        <v xml:space="preserve"> CLARK</v>
      </c>
      <c r="D17" t="str">
        <f t="shared" si="0"/>
        <v xml:space="preserve"> GOTTERUP</v>
      </c>
      <c r="E17" t="str">
        <f t="shared" si="0"/>
        <v xml:space="preserve"> HARMAN</v>
      </c>
      <c r="F17" t="str">
        <f t="shared" si="0"/>
        <v xml:space="preserve"> IM</v>
      </c>
      <c r="G17" t="str">
        <f t="shared" si="0"/>
        <v xml:space="preserve"> NOVAK</v>
      </c>
    </row>
    <row r="18" spans="2:7" x14ac:dyDescent="0.25">
      <c r="B18" s="8">
        <v>7</v>
      </c>
      <c r="C18" t="str">
        <f t="shared" si="0"/>
        <v xml:space="preserve"> HORSCHEL</v>
      </c>
      <c r="D18" t="str">
        <f t="shared" si="0"/>
        <v xml:space="preserve"> RAI</v>
      </c>
      <c r="E18" t="str">
        <f t="shared" si="0"/>
        <v xml:space="preserve"> KITAYAMA</v>
      </c>
      <c r="F18" t="str">
        <f t="shared" si="0"/>
        <v xml:space="preserve"> BHATIA</v>
      </c>
      <c r="G18" t="str">
        <f t="shared" si="0"/>
        <v xml:space="preserve"> FITZPATRICK</v>
      </c>
    </row>
    <row r="19" spans="2:7" x14ac:dyDescent="0.25">
      <c r="B19" s="8">
        <v>8</v>
      </c>
      <c r="C19" t="str">
        <f t="shared" si="0"/>
        <v xml:space="preserve"> TAYLOR</v>
      </c>
      <c r="D19" t="str">
        <f t="shared" si="0"/>
        <v xml:space="preserve"> FOX</v>
      </c>
      <c r="E19" t="str">
        <f t="shared" si="0"/>
        <v xml:space="preserve"> DAY</v>
      </c>
      <c r="F19" t="str">
        <f t="shared" si="0"/>
        <v xml:space="preserve"> PENDRITH</v>
      </c>
      <c r="G19" t="str">
        <f t="shared" si="0"/>
        <v xml:space="preserve"> GREYSERMAN</v>
      </c>
    </row>
    <row r="20" spans="2:7" x14ac:dyDescent="0.25">
      <c r="B20" s="3"/>
      <c r="C20"/>
      <c r="D20"/>
      <c r="E20"/>
      <c r="F20"/>
      <c r="G20"/>
    </row>
    <row r="21" spans="2:7" x14ac:dyDescent="0.25">
      <c r="B21" s="3"/>
      <c r="C21" s="7" t="s">
        <v>65</v>
      </c>
      <c r="D21"/>
      <c r="E21" s="3"/>
      <c r="F21" s="7" t="s">
        <v>65</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66</v>
      </c>
      <c r="C32"/>
      <c r="D32"/>
      <c r="E32" s="8" t="s">
        <v>66</v>
      </c>
      <c r="F32"/>
    </row>
    <row r="33" spans="1:10" x14ac:dyDescent="0.25">
      <c r="B33" s="3"/>
      <c r="C33"/>
      <c r="D33"/>
    </row>
    <row r="34" spans="1:10" x14ac:dyDescent="0.25">
      <c r="B34" s="3"/>
      <c r="C34"/>
      <c r="D34"/>
    </row>
    <row r="35" spans="1:10" x14ac:dyDescent="0.25">
      <c r="A35" s="18" t="s">
        <v>67</v>
      </c>
      <c r="B35" s="16">
        <f>SMALL(B36:B43,1)+SMALL(B36:B43,2)+SMALL(B36:B43,3)+SMALL(B36:B43,4)+SMALL(B36:B43,5)</f>
        <v>-29</v>
      </c>
      <c r="C35"/>
      <c r="D35"/>
    </row>
    <row r="36" spans="1:10" x14ac:dyDescent="0.25">
      <c r="B36" s="3">
        <f t="shared" ref="B36:B42" si="1">MIN(C36:G36)</f>
        <v>-9</v>
      </c>
      <c r="C36" s="22">
        <f>IFERROR(VLOOKUP(C3,ESPNScores!$A$2:$B$91,2,FALSE),400)</f>
        <v>-7</v>
      </c>
      <c r="D36" s="22">
        <f>IFERROR(VLOOKUP(D3,ESPNScores!$A$2:$B$91,2,FALSE),400)</f>
        <v>-4</v>
      </c>
      <c r="E36" s="22">
        <f>IFERROR(VLOOKUP(E3,ESPNScores!$A$2:$B$91,2,FALSE),400)</f>
        <v>400</v>
      </c>
      <c r="F36" s="22">
        <f>IFERROR(VLOOKUP(F3,ESPNScores!$A$2:$B$91,2,FALSE),400)</f>
        <v>-9</v>
      </c>
      <c r="G36" s="22">
        <f>IFERROR(VLOOKUP(G3,ESPNScores!$A$2:$B$91,2,FALSE),400)</f>
        <v>-6</v>
      </c>
      <c r="J36" s="1">
        <v>1</v>
      </c>
    </row>
    <row r="37" spans="1:10" x14ac:dyDescent="0.25">
      <c r="B37" s="3">
        <f t="shared" si="1"/>
        <v>-6</v>
      </c>
      <c r="C37" s="22">
        <f>IFERROR(VLOOKUP(C4,ESPNScores!$A$2:$B$91,2,FALSE),400)</f>
        <v>-2</v>
      </c>
      <c r="D37" s="22">
        <f>IFERROR(VLOOKUP(D4,ESPNScores!$A$2:$B$91,2,FALSE),400)</f>
        <v>-6</v>
      </c>
      <c r="E37" s="22">
        <f>IFERROR(VLOOKUP(E4,ESPNScores!$A$2:$B$91,2,FALSE),400)</f>
        <v>-6</v>
      </c>
      <c r="F37" s="22">
        <f>IFERROR(VLOOKUP(F4,ESPNScores!$A$2:$B$91,2,FALSE),400)</f>
        <v>-2</v>
      </c>
      <c r="G37" s="22">
        <f>IFERROR(VLOOKUP(G4,ESPNScores!$A$2:$B$91,2,FALSE),400)</f>
        <v>-6</v>
      </c>
      <c r="J37" s="1">
        <v>2</v>
      </c>
    </row>
    <row r="38" spans="1:10" x14ac:dyDescent="0.25">
      <c r="B38" s="3">
        <f t="shared" si="1"/>
        <v>-2</v>
      </c>
      <c r="C38" s="22">
        <f>IFERROR(VLOOKUP(C5,ESPNScores!$A$2:$B$91,2,FALSE),400)</f>
        <v>-1</v>
      </c>
      <c r="D38" s="22">
        <f>IFERROR(VLOOKUP(D5,ESPNScores!$A$2:$B$91,2,FALSE),400)</f>
        <v>4</v>
      </c>
      <c r="E38" s="22">
        <f>IFERROR(VLOOKUP(E5,ESPNScores!$A$2:$B$91,2,FALSE),400)</f>
        <v>0</v>
      </c>
      <c r="F38" s="22">
        <f>IFERROR(VLOOKUP(F5,ESPNScores!$A$2:$B$91,2,FALSE),400)</f>
        <v>400</v>
      </c>
      <c r="G38" s="22">
        <f>IFERROR(VLOOKUP(G5,ESPNScores!$A$2:$B$91,2,FALSE),400)</f>
        <v>-2</v>
      </c>
      <c r="J38" s="1">
        <v>3</v>
      </c>
    </row>
    <row r="39" spans="1:10" x14ac:dyDescent="0.25">
      <c r="B39" s="3">
        <f t="shared" si="1"/>
        <v>-4</v>
      </c>
      <c r="C39" s="22">
        <f>IFERROR(VLOOKUP(C6,ESPNScores!$A$2:$B$91,2,FALSE),400)</f>
        <v>-1</v>
      </c>
      <c r="D39" s="22">
        <f>IFERROR(VLOOKUP(D6,ESPNScores!$A$2:$B$91,2,FALSE),400)</f>
        <v>-4</v>
      </c>
      <c r="E39" s="22">
        <f>IFERROR(VLOOKUP(E6,ESPNScores!$A$2:$B$91,2,FALSE),400)</f>
        <v>400</v>
      </c>
      <c r="F39" s="22">
        <f>IFERROR(VLOOKUP(F6,ESPNScores!$A$2:$B$91,2,FALSE),400)</f>
        <v>1</v>
      </c>
      <c r="G39" s="22">
        <f>IFERROR(VLOOKUP(G6,ESPNScores!$A$2:$B$91,2,FALSE),400)</f>
        <v>-3</v>
      </c>
      <c r="J39" s="1">
        <v>4</v>
      </c>
    </row>
    <row r="40" spans="1:10" x14ac:dyDescent="0.25">
      <c r="B40" s="3">
        <f t="shared" si="1"/>
        <v>-6</v>
      </c>
      <c r="C40" s="22">
        <f>IFERROR(VLOOKUP(C7,ESPNScores!$A$2:$B$91,2,FALSE),400)</f>
        <v>0</v>
      </c>
      <c r="D40" s="22">
        <f>IFERROR(VLOOKUP(D7,ESPNScores!$A$2:$B$91,2,FALSE),400)</f>
        <v>-3</v>
      </c>
      <c r="E40" s="22">
        <f>IFERROR(VLOOKUP(E7,ESPNScores!$A$2:$B$91,2,FALSE),400)</f>
        <v>-6</v>
      </c>
      <c r="F40" s="22">
        <f>IFERROR(VLOOKUP(F7,ESPNScores!$A$2:$B$91,2,FALSE),400)</f>
        <v>400</v>
      </c>
      <c r="G40" s="22">
        <f>IFERROR(VLOOKUP(G7,ESPNScores!$A$2:$B$91,2,FALSE),400)</f>
        <v>0</v>
      </c>
      <c r="J40" s="1">
        <v>5</v>
      </c>
    </row>
    <row r="41" spans="1:10" x14ac:dyDescent="0.25">
      <c r="B41" s="3">
        <f t="shared" si="1"/>
        <v>-3</v>
      </c>
      <c r="C41" s="22">
        <f>IFERROR(VLOOKUP(C8,ESPNScores!$A$2:$B$91,2,FALSE),400)</f>
        <v>400</v>
      </c>
      <c r="D41" s="22">
        <f>IFERROR(VLOOKUP(D8,ESPNScores!$A$2:$B$91,2,FALSE),400)</f>
        <v>0</v>
      </c>
      <c r="E41" s="22">
        <f>IFERROR(VLOOKUP(E8,ESPNScores!$A$2:$B$91,2,FALSE),400)</f>
        <v>-3</v>
      </c>
      <c r="F41" s="22">
        <f>IFERROR(VLOOKUP(F8,ESPNScores!$A$2:$B$91,2,FALSE),400)</f>
        <v>-2</v>
      </c>
      <c r="G41" s="22">
        <f>IFERROR(VLOOKUP(G8,ESPNScores!$A$2:$B$91,2,FALSE),400)</f>
        <v>0</v>
      </c>
      <c r="J41" s="1">
        <v>6</v>
      </c>
    </row>
    <row r="42" spans="1:10" x14ac:dyDescent="0.25">
      <c r="B42" s="3">
        <f t="shared" si="1"/>
        <v>-4</v>
      </c>
      <c r="C42" s="22">
        <f>IFERROR(VLOOKUP(C9,ESPNScores!$A$2:$B$91,2,FALSE),400)</f>
        <v>400</v>
      </c>
      <c r="D42" s="22">
        <f>IFERROR(VLOOKUP(D9,ESPNScores!$A$2:$B$91,2,FALSE),400)</f>
        <v>400</v>
      </c>
      <c r="E42" s="22">
        <f>IFERROR(VLOOKUP(E9,ESPNScores!$A$2:$B$91,2,FALSE),400)</f>
        <v>400</v>
      </c>
      <c r="F42" s="22">
        <f>IFERROR(VLOOKUP(F9,ESPNScores!$A$2:$B$91,2,FALSE),400)</f>
        <v>-4</v>
      </c>
      <c r="G42" s="22">
        <f>IFERROR(VLOOKUP(G9,ESPNScores!$A$2:$B$91,2,FALSE),400)</f>
        <v>400</v>
      </c>
      <c r="J42" s="1">
        <v>7</v>
      </c>
    </row>
    <row r="43" spans="1:10" x14ac:dyDescent="0.25">
      <c r="B43" s="3">
        <f>MIN(C43:I43)</f>
        <v>-3</v>
      </c>
      <c r="C43" s="22">
        <f>IFERROR(VLOOKUP(C10,ESPNScores!$A$2:$B$91,2,FALSE),400)</f>
        <v>-3</v>
      </c>
      <c r="D43" s="22">
        <f>IFERROR(VLOOKUP(D10,ESPNScores!$A$2:$B$91,2,FALSE),400)</f>
        <v>400</v>
      </c>
      <c r="E43" s="22">
        <f>IFERROR(VLOOKUP(E10,ESPNScores!$A$2:$B$91,2,FALSE),400)</f>
        <v>400</v>
      </c>
      <c r="F43" s="22">
        <f>IFERROR(VLOOKUP(F10,ESPNScores!$A$2:$B$91,2,FALSE),400)</f>
        <v>400</v>
      </c>
      <c r="G43" s="22">
        <f>IFERROR(VLOOKUP(G10,ESPNScores!$A$2:$B$91,2,FALSE),400)</f>
        <v>400</v>
      </c>
      <c r="H43" s="27"/>
      <c r="I43" s="27"/>
      <c r="J43" s="8">
        <v>8</v>
      </c>
    </row>
    <row r="44" spans="1:10" x14ac:dyDescent="0.25">
      <c r="B44" s="3"/>
      <c r="C44"/>
      <c r="D44"/>
      <c r="E44"/>
      <c r="F44"/>
      <c r="G44"/>
    </row>
    <row r="45" spans="1:10" x14ac:dyDescent="0.25">
      <c r="B45" s="3"/>
      <c r="C45"/>
      <c r="D45"/>
    </row>
    <row r="46" spans="1:10" x14ac:dyDescent="0.25">
      <c r="B46" s="3"/>
      <c r="C46"/>
      <c r="D46"/>
    </row>
    <row r="47" spans="1:10" x14ac:dyDescent="0.25">
      <c r="B47" s="3"/>
      <c r="C47"/>
      <c r="D47"/>
    </row>
    <row r="48" spans="1:10" x14ac:dyDescent="0.25">
      <c r="B48" s="3"/>
      <c r="C48"/>
      <c r="D48"/>
    </row>
    <row r="49" spans="2:4" x14ac:dyDescent="0.25">
      <c r="B49" s="3"/>
      <c r="C49"/>
      <c r="D49"/>
    </row>
    <row r="50" spans="2:4" x14ac:dyDescent="0.25">
      <c r="B50" s="3"/>
      <c r="C50"/>
      <c r="D50"/>
    </row>
    <row r="51" spans="2:4" x14ac:dyDescent="0.25">
      <c r="B51" s="3"/>
      <c r="C51"/>
      <c r="D51"/>
    </row>
    <row r="52" spans="2:4" x14ac:dyDescent="0.25">
      <c r="B52" s="3"/>
      <c r="C52"/>
      <c r="D52"/>
    </row>
    <row r="53" spans="2:4" x14ac:dyDescent="0.25">
      <c r="B53" s="3"/>
      <c r="C53"/>
      <c r="D53"/>
    </row>
    <row r="54" spans="2:4" x14ac:dyDescent="0.25">
      <c r="B54" s="3"/>
      <c r="C54"/>
      <c r="D54"/>
    </row>
    <row r="55" spans="2:4" x14ac:dyDescent="0.25">
      <c r="B55" s="3"/>
      <c r="C55"/>
      <c r="D55"/>
    </row>
    <row r="56" spans="2:4" x14ac:dyDescent="0.25">
      <c r="B56" s="3"/>
      <c r="C56"/>
      <c r="D56"/>
    </row>
    <row r="57" spans="2:4" x14ac:dyDescent="0.25">
      <c r="B57" s="3"/>
      <c r="C57"/>
      <c r="D57"/>
    </row>
    <row r="58" spans="2:4" x14ac:dyDescent="0.25">
      <c r="B58" s="3"/>
      <c r="C58"/>
      <c r="D58"/>
    </row>
    <row r="59" spans="2:4" x14ac:dyDescent="0.25">
      <c r="B59" s="3"/>
      <c r="C59"/>
      <c r="D59"/>
    </row>
    <row r="60" spans="2:4" x14ac:dyDescent="0.25">
      <c r="B60" s="3"/>
      <c r="C60"/>
      <c r="D60"/>
    </row>
    <row r="61" spans="2:4" x14ac:dyDescent="0.25">
      <c r="B61" s="3"/>
      <c r="C61"/>
      <c r="D61"/>
    </row>
    <row r="62" spans="2:4" x14ac:dyDescent="0.25">
      <c r="B62" s="3"/>
      <c r="C62"/>
      <c r="D62"/>
    </row>
    <row r="63" spans="2:4" x14ac:dyDescent="0.25">
      <c r="B63" s="3"/>
      <c r="C63"/>
      <c r="D63"/>
    </row>
    <row r="64" spans="2:4" x14ac:dyDescent="0.25">
      <c r="B64" s="3"/>
      <c r="C64"/>
      <c r="D64"/>
    </row>
    <row r="65" spans="2:4" x14ac:dyDescent="0.25">
      <c r="B65" s="3"/>
      <c r="C65"/>
      <c r="D65"/>
    </row>
    <row r="66" spans="2:4" x14ac:dyDescent="0.25">
      <c r="B66" s="3"/>
      <c r="C66"/>
      <c r="D66"/>
    </row>
    <row r="67" spans="2:4" x14ac:dyDescent="0.25">
      <c r="B67" s="3"/>
      <c r="C67"/>
      <c r="D67"/>
    </row>
    <row r="68" spans="2:4" x14ac:dyDescent="0.25">
      <c r="B68" s="3"/>
      <c r="C68"/>
      <c r="D68"/>
    </row>
    <row r="69" spans="2:4" x14ac:dyDescent="0.25">
      <c r="B69" s="3"/>
      <c r="C69"/>
      <c r="D69"/>
    </row>
    <row r="70" spans="2:4" x14ac:dyDescent="0.25">
      <c r="B70" s="3"/>
      <c r="C70"/>
      <c r="D70"/>
    </row>
    <row r="71" spans="2:4" x14ac:dyDescent="0.25">
      <c r="B71" s="3"/>
      <c r="C71"/>
      <c r="D71"/>
    </row>
    <row r="72" spans="2:4" x14ac:dyDescent="0.25">
      <c r="B72" s="3"/>
      <c r="C72"/>
      <c r="D72"/>
    </row>
    <row r="73" spans="2:4" x14ac:dyDescent="0.25">
      <c r="B73" s="3"/>
      <c r="C73"/>
      <c r="D73"/>
    </row>
    <row r="74" spans="2:4" x14ac:dyDescent="0.25">
      <c r="B74" s="3"/>
      <c r="C74"/>
      <c r="D74"/>
    </row>
    <row r="75" spans="2:4" x14ac:dyDescent="0.25">
      <c r="B75" s="3"/>
      <c r="C75"/>
      <c r="D75"/>
    </row>
    <row r="76" spans="2:4" x14ac:dyDescent="0.25">
      <c r="B76" s="3"/>
      <c r="C76"/>
      <c r="D76"/>
    </row>
    <row r="77" spans="2:4" x14ac:dyDescent="0.25">
      <c r="B77" s="3"/>
      <c r="C77"/>
      <c r="D77"/>
    </row>
    <row r="78" spans="2:4" x14ac:dyDescent="0.25">
      <c r="B78" s="3"/>
      <c r="C78"/>
      <c r="D78"/>
    </row>
    <row r="79" spans="2:4" x14ac:dyDescent="0.25">
      <c r="B79" s="3"/>
      <c r="C79"/>
      <c r="D79"/>
    </row>
    <row r="80" spans="2:4" x14ac:dyDescent="0.25">
      <c r="B80" s="3"/>
      <c r="C80"/>
      <c r="D80"/>
    </row>
    <row r="81" spans="2:4" x14ac:dyDescent="0.25">
      <c r="B81" s="3"/>
      <c r="C81"/>
      <c r="D81"/>
    </row>
    <row r="82" spans="2:4" x14ac:dyDescent="0.25">
      <c r="B82" s="3"/>
      <c r="C82"/>
      <c r="D82"/>
    </row>
    <row r="83" spans="2:4" x14ac:dyDescent="0.25">
      <c r="B83" s="3"/>
      <c r="C83"/>
      <c r="D83"/>
    </row>
    <row r="84" spans="2:4" x14ac:dyDescent="0.25">
      <c r="B84" s="3"/>
      <c r="C84"/>
      <c r="D84"/>
    </row>
    <row r="85" spans="2:4" x14ac:dyDescent="0.25">
      <c r="B85" s="3"/>
      <c r="C85"/>
      <c r="D85"/>
    </row>
    <row r="86" spans="2:4" x14ac:dyDescent="0.25">
      <c r="B86" s="3"/>
      <c r="C86"/>
      <c r="D86"/>
    </row>
    <row r="87" spans="2:4" x14ac:dyDescent="0.25">
      <c r="B87" s="3"/>
      <c r="C87"/>
      <c r="D87"/>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zoomScale="99" zoomScaleNormal="100" workbookViewId="0">
      <selection activeCell="A7" sqref="A7"/>
    </sheetView>
  </sheetViews>
  <sheetFormatPr defaultRowHeight="13.2" x14ac:dyDescent="0.25"/>
  <cols>
    <col min="1" max="1" width="16.33203125" bestFit="1" customWidth="1"/>
    <col min="2" max="2" width="18.77734375" bestFit="1" customWidth="1"/>
    <col min="3" max="3" width="22.44140625" bestFit="1" customWidth="1"/>
    <col min="4" max="4" width="29.5546875" bestFit="1" customWidth="1"/>
    <col min="5" max="5" width="29.21875" bestFit="1" customWidth="1"/>
    <col min="6" max="6" width="28.6640625" bestFit="1" customWidth="1"/>
    <col min="7" max="7" width="29.33203125" bestFit="1" customWidth="1"/>
    <col min="8" max="8" width="27.109375" bestFit="1" customWidth="1"/>
    <col min="9" max="9" width="30" bestFit="1" customWidth="1"/>
    <col min="10" max="10" width="30.109375" bestFit="1" customWidth="1"/>
    <col min="11" max="11" width="33.33203125" bestFit="1" customWidth="1"/>
    <col min="12" max="12" width="35.77734375" bestFit="1" customWidth="1"/>
    <col min="13" max="14" width="33.88671875" bestFit="1" customWidth="1"/>
    <col min="15" max="15" width="36.44140625" bestFit="1" customWidth="1"/>
    <col min="16" max="16" width="39.6640625" bestFit="1" customWidth="1"/>
    <col min="17" max="17" width="39.21875" bestFit="1" customWidth="1"/>
    <col min="18" max="18" width="20.109375" bestFit="1" customWidth="1"/>
    <col min="19" max="19" width="24.44140625" bestFit="1" customWidth="1"/>
    <col min="20" max="20" width="24.6640625" bestFit="1" customWidth="1"/>
    <col min="21" max="21" width="24.88671875" bestFit="1" customWidth="1"/>
    <col min="22" max="22" width="27.6640625" bestFit="1" customWidth="1"/>
    <col min="23" max="23" width="26.44140625" bestFit="1" customWidth="1"/>
    <col min="24" max="24" width="27.44140625" bestFit="1" customWidth="1"/>
    <col min="25" max="25" width="30.6640625" bestFit="1" customWidth="1"/>
    <col min="26" max="26" width="27.5546875" bestFit="1" customWidth="1"/>
    <col min="27" max="27" width="26.44140625" bestFit="1" customWidth="1"/>
    <col min="28" max="28" width="27" bestFit="1" customWidth="1"/>
    <col min="29" max="29" width="21.77734375" bestFit="1" customWidth="1"/>
    <col min="30" max="30" width="24.6640625" bestFit="1" customWidth="1"/>
  </cols>
  <sheetData>
    <row r="1" spans="1:30" x14ac:dyDescent="0.25">
      <c r="A1" t="s">
        <v>68</v>
      </c>
      <c r="B1" t="s">
        <v>69</v>
      </c>
      <c r="C1" t="s">
        <v>70</v>
      </c>
      <c r="D1" t="s">
        <v>71</v>
      </c>
      <c r="E1" t="s">
        <v>72</v>
      </c>
      <c r="F1" t="s">
        <v>73</v>
      </c>
      <c r="G1" t="s">
        <v>74</v>
      </c>
      <c r="H1" t="s">
        <v>75</v>
      </c>
      <c r="I1" t="s">
        <v>76</v>
      </c>
      <c r="J1" t="s">
        <v>77</v>
      </c>
      <c r="K1" t="s">
        <v>78</v>
      </c>
      <c r="L1" t="s">
        <v>79</v>
      </c>
      <c r="M1" t="s">
        <v>80</v>
      </c>
      <c r="N1" t="s">
        <v>81</v>
      </c>
      <c r="O1" t="s">
        <v>82</v>
      </c>
      <c r="P1" t="s">
        <v>83</v>
      </c>
      <c r="Q1" t="s">
        <v>84</v>
      </c>
      <c r="R1" t="s">
        <v>85</v>
      </c>
      <c r="S1" t="s">
        <v>86</v>
      </c>
      <c r="T1" t="s">
        <v>87</v>
      </c>
      <c r="U1" t="s">
        <v>88</v>
      </c>
      <c r="V1" t="s">
        <v>89</v>
      </c>
      <c r="W1" t="s">
        <v>90</v>
      </c>
      <c r="X1" t="s">
        <v>91</v>
      </c>
      <c r="Y1" t="s">
        <v>92</v>
      </c>
      <c r="Z1" t="s">
        <v>93</v>
      </c>
      <c r="AA1" t="s">
        <v>94</v>
      </c>
      <c r="AB1" t="s">
        <v>95</v>
      </c>
      <c r="AC1" t="s">
        <v>96</v>
      </c>
      <c r="AD1" t="s">
        <v>97</v>
      </c>
    </row>
    <row r="2" spans="1:30" x14ac:dyDescent="0.25">
      <c r="A2">
        <v>12366005</v>
      </c>
      <c r="B2">
        <v>1</v>
      </c>
      <c r="C2">
        <v>18417</v>
      </c>
      <c r="D2" t="s">
        <v>98</v>
      </c>
      <c r="E2" t="s">
        <v>99</v>
      </c>
      <c r="F2" t="s">
        <v>25</v>
      </c>
      <c r="G2" s="28">
        <v>35237</v>
      </c>
      <c r="H2" t="s">
        <v>100</v>
      </c>
      <c r="I2" t="b">
        <v>0</v>
      </c>
      <c r="J2">
        <v>237</v>
      </c>
      <c r="K2" t="s">
        <v>101</v>
      </c>
      <c r="L2" t="s">
        <v>102</v>
      </c>
      <c r="M2" t="s">
        <v>103</v>
      </c>
      <c r="N2" t="s">
        <v>102</v>
      </c>
      <c r="O2">
        <v>6</v>
      </c>
      <c r="P2" t="s">
        <v>104</v>
      </c>
      <c r="Q2" t="s">
        <v>105</v>
      </c>
      <c r="R2" t="b">
        <v>0</v>
      </c>
      <c r="S2">
        <v>-358.82379077097062</v>
      </c>
      <c r="T2">
        <v>573.9087164909522</v>
      </c>
      <c r="U2">
        <v>870.2848433560805</v>
      </c>
      <c r="V2">
        <v>21.226500000000001</v>
      </c>
      <c r="W2">
        <v>41</v>
      </c>
      <c r="X2">
        <v>41</v>
      </c>
      <c r="Y2">
        <v>1</v>
      </c>
      <c r="Z2">
        <v>1</v>
      </c>
      <c r="AA2">
        <v>33</v>
      </c>
      <c r="AB2" s="29">
        <v>45886</v>
      </c>
      <c r="AC2">
        <v>91</v>
      </c>
      <c r="AD2">
        <v>9089</v>
      </c>
    </row>
    <row r="3" spans="1:30" x14ac:dyDescent="0.25">
      <c r="A3">
        <v>12372059</v>
      </c>
      <c r="B3">
        <v>2</v>
      </c>
      <c r="C3">
        <v>10091</v>
      </c>
      <c r="D3" t="s">
        <v>108</v>
      </c>
      <c r="E3" t="s">
        <v>109</v>
      </c>
      <c r="F3" t="s">
        <v>26</v>
      </c>
      <c r="G3" s="28">
        <v>32632</v>
      </c>
      <c r="H3" t="s">
        <v>100</v>
      </c>
      <c r="I3" t="b">
        <v>0</v>
      </c>
      <c r="J3">
        <v>1001</v>
      </c>
      <c r="K3" t="s">
        <v>110</v>
      </c>
      <c r="L3" t="s">
        <v>63</v>
      </c>
      <c r="M3" t="s">
        <v>63</v>
      </c>
      <c r="N3" t="s">
        <v>111</v>
      </c>
      <c r="O3">
        <v>4</v>
      </c>
      <c r="P3" t="s">
        <v>106</v>
      </c>
      <c r="Q3" t="s">
        <v>107</v>
      </c>
      <c r="R3" t="b">
        <v>0</v>
      </c>
      <c r="S3">
        <v>-232.78570748147109</v>
      </c>
      <c r="T3">
        <v>378.76895306552842</v>
      </c>
      <c r="U3">
        <v>506.68043019042392</v>
      </c>
      <c r="V3">
        <v>11.259600000000001</v>
      </c>
      <c r="W3">
        <v>45</v>
      </c>
      <c r="X3">
        <v>45</v>
      </c>
      <c r="Y3">
        <v>3</v>
      </c>
      <c r="Z3">
        <v>2</v>
      </c>
      <c r="AA3">
        <v>33</v>
      </c>
      <c r="AB3" s="29">
        <v>45886</v>
      </c>
      <c r="AC3">
        <v>91</v>
      </c>
      <c r="AD3">
        <v>9089</v>
      </c>
    </row>
    <row r="4" spans="1:30" x14ac:dyDescent="0.25">
      <c r="A4">
        <v>12372060</v>
      </c>
      <c r="B4">
        <v>3</v>
      </c>
      <c r="C4">
        <v>19895</v>
      </c>
      <c r="D4" t="s">
        <v>119</v>
      </c>
      <c r="E4" t="s">
        <v>120</v>
      </c>
      <c r="F4" t="s">
        <v>34</v>
      </c>
      <c r="G4" s="28">
        <v>34267</v>
      </c>
      <c r="H4" t="s">
        <v>100</v>
      </c>
      <c r="I4" t="b">
        <v>0</v>
      </c>
      <c r="J4">
        <v>237</v>
      </c>
      <c r="K4" t="s">
        <v>101</v>
      </c>
      <c r="L4" t="s">
        <v>102</v>
      </c>
      <c r="M4" t="s">
        <v>103</v>
      </c>
      <c r="N4" t="s">
        <v>102</v>
      </c>
      <c r="O4">
        <v>6</v>
      </c>
      <c r="P4" t="s">
        <v>104</v>
      </c>
      <c r="Q4" t="s">
        <v>105</v>
      </c>
      <c r="R4" t="b">
        <v>0</v>
      </c>
      <c r="S4">
        <v>-204.6774043659685</v>
      </c>
      <c r="T4">
        <v>81.26461067543508</v>
      </c>
      <c r="U4">
        <v>273.36179195627341</v>
      </c>
      <c r="V4">
        <v>6.8339999999999996</v>
      </c>
      <c r="W4">
        <v>39</v>
      </c>
      <c r="X4">
        <v>40</v>
      </c>
      <c r="Y4">
        <v>2</v>
      </c>
      <c r="Z4">
        <v>3</v>
      </c>
      <c r="AA4">
        <v>33</v>
      </c>
      <c r="AB4" s="29">
        <v>45886</v>
      </c>
      <c r="AC4">
        <v>91</v>
      </c>
      <c r="AD4">
        <v>9089</v>
      </c>
    </row>
    <row r="5" spans="1:30" x14ac:dyDescent="0.25">
      <c r="A5">
        <v>12372061</v>
      </c>
      <c r="B5">
        <v>4</v>
      </c>
      <c r="C5">
        <v>14578</v>
      </c>
      <c r="D5" t="s">
        <v>189</v>
      </c>
      <c r="E5" t="s">
        <v>190</v>
      </c>
      <c r="F5" t="s">
        <v>32</v>
      </c>
      <c r="G5" s="28">
        <v>32610</v>
      </c>
      <c r="H5" t="s">
        <v>100</v>
      </c>
      <c r="I5" t="b">
        <v>0</v>
      </c>
      <c r="J5">
        <v>237</v>
      </c>
      <c r="K5" t="s">
        <v>101</v>
      </c>
      <c r="L5" t="s">
        <v>102</v>
      </c>
      <c r="M5" t="s">
        <v>103</v>
      </c>
      <c r="N5" t="s">
        <v>102</v>
      </c>
      <c r="O5">
        <v>6</v>
      </c>
      <c r="P5" t="s">
        <v>104</v>
      </c>
      <c r="Q5" t="s">
        <v>105</v>
      </c>
      <c r="R5" t="b">
        <v>0</v>
      </c>
      <c r="S5">
        <v>-90.261995782735397</v>
      </c>
      <c r="T5">
        <v>195.54198003060793</v>
      </c>
      <c r="U5">
        <v>237.81180321747343</v>
      </c>
      <c r="V5">
        <v>5.9452999999999996</v>
      </c>
      <c r="W5">
        <v>39</v>
      </c>
      <c r="X5">
        <v>40</v>
      </c>
      <c r="Y5">
        <v>17</v>
      </c>
      <c r="Z5">
        <v>5</v>
      </c>
      <c r="AA5">
        <v>33</v>
      </c>
      <c r="AB5" s="29">
        <v>45886</v>
      </c>
      <c r="AC5">
        <v>91</v>
      </c>
      <c r="AD5">
        <v>9089</v>
      </c>
    </row>
    <row r="6" spans="1:30" x14ac:dyDescent="0.25">
      <c r="A6">
        <v>12372062</v>
      </c>
      <c r="B6">
        <v>5</v>
      </c>
      <c r="C6">
        <v>14139</v>
      </c>
      <c r="D6" t="s">
        <v>145</v>
      </c>
      <c r="E6" s="18" t="s">
        <v>146</v>
      </c>
      <c r="F6" s="18" t="s">
        <v>147</v>
      </c>
      <c r="G6" s="28">
        <v>34088</v>
      </c>
      <c r="H6" t="s">
        <v>100</v>
      </c>
      <c r="I6" t="b">
        <v>0</v>
      </c>
      <c r="J6">
        <v>237</v>
      </c>
      <c r="K6" t="s">
        <v>101</v>
      </c>
      <c r="L6" t="s">
        <v>102</v>
      </c>
      <c r="M6" t="s">
        <v>103</v>
      </c>
      <c r="N6" t="s">
        <v>102</v>
      </c>
      <c r="O6">
        <v>6</v>
      </c>
      <c r="P6" t="s">
        <v>104</v>
      </c>
      <c r="Q6" t="s">
        <v>105</v>
      </c>
      <c r="R6" t="b">
        <v>0</v>
      </c>
      <c r="S6">
        <v>-80.469138936633328</v>
      </c>
      <c r="T6">
        <v>210.04930364822184</v>
      </c>
      <c r="U6">
        <v>254.28206262372936</v>
      </c>
      <c r="V6">
        <v>5.9135</v>
      </c>
      <c r="W6">
        <v>43</v>
      </c>
      <c r="X6">
        <v>43</v>
      </c>
      <c r="Y6">
        <v>19</v>
      </c>
      <c r="Z6">
        <v>4</v>
      </c>
      <c r="AA6">
        <v>33</v>
      </c>
      <c r="AB6" s="29">
        <v>45886</v>
      </c>
      <c r="AC6">
        <v>91</v>
      </c>
      <c r="AD6">
        <v>9089</v>
      </c>
    </row>
    <row r="7" spans="1:30" x14ac:dyDescent="0.25">
      <c r="A7">
        <v>12372063</v>
      </c>
      <c r="B7">
        <v>6</v>
      </c>
      <c r="C7">
        <v>17536</v>
      </c>
      <c r="D7" t="s">
        <v>372</v>
      </c>
      <c r="E7" t="s">
        <v>373</v>
      </c>
      <c r="F7" t="s">
        <v>374</v>
      </c>
      <c r="G7" s="28">
        <v>33106</v>
      </c>
      <c r="H7" t="s">
        <v>100</v>
      </c>
      <c r="I7" t="b">
        <v>0</v>
      </c>
      <c r="J7">
        <v>237</v>
      </c>
      <c r="K7" t="s">
        <v>101</v>
      </c>
      <c r="L7" t="s">
        <v>102</v>
      </c>
      <c r="M7" t="s">
        <v>103</v>
      </c>
      <c r="N7" t="s">
        <v>102</v>
      </c>
      <c r="O7">
        <v>6</v>
      </c>
      <c r="P7" t="s">
        <v>104</v>
      </c>
      <c r="Q7" t="s">
        <v>105</v>
      </c>
      <c r="R7" t="b">
        <v>0</v>
      </c>
      <c r="S7">
        <v>-42.491294463315995</v>
      </c>
      <c r="T7">
        <v>270.60870035957146</v>
      </c>
      <c r="U7">
        <v>284.12585555840701</v>
      </c>
      <c r="V7">
        <v>5.4640000000000004</v>
      </c>
      <c r="W7">
        <v>54</v>
      </c>
      <c r="X7">
        <v>52</v>
      </c>
      <c r="Y7">
        <v>119</v>
      </c>
      <c r="Z7">
        <v>6</v>
      </c>
      <c r="AA7">
        <v>33</v>
      </c>
      <c r="AB7" s="29">
        <v>45886</v>
      </c>
      <c r="AC7">
        <v>91</v>
      </c>
      <c r="AD7">
        <v>9089</v>
      </c>
    </row>
    <row r="8" spans="1:30" x14ac:dyDescent="0.25">
      <c r="A8">
        <v>12372064</v>
      </c>
      <c r="B8">
        <v>7</v>
      </c>
      <c r="C8">
        <v>22085</v>
      </c>
      <c r="D8" t="s">
        <v>143</v>
      </c>
      <c r="E8" t="s">
        <v>144</v>
      </c>
      <c r="F8" s="109" t="s">
        <v>41</v>
      </c>
      <c r="G8" s="28">
        <v>35467</v>
      </c>
      <c r="H8" t="s">
        <v>100</v>
      </c>
      <c r="I8" t="b">
        <v>0</v>
      </c>
      <c r="J8">
        <v>237</v>
      </c>
      <c r="K8" t="s">
        <v>101</v>
      </c>
      <c r="L8" t="s">
        <v>102</v>
      </c>
      <c r="M8" t="s">
        <v>103</v>
      </c>
      <c r="N8" t="s">
        <v>102</v>
      </c>
      <c r="O8">
        <v>6</v>
      </c>
      <c r="P8" t="s">
        <v>104</v>
      </c>
      <c r="Q8" t="s">
        <v>105</v>
      </c>
      <c r="R8" t="b">
        <v>0</v>
      </c>
      <c r="S8">
        <v>-137.49737315305549</v>
      </c>
      <c r="T8">
        <v>125.09227985177223</v>
      </c>
      <c r="U8">
        <v>225.77583636992946</v>
      </c>
      <c r="V8">
        <v>5.3756000000000004</v>
      </c>
      <c r="W8">
        <v>42</v>
      </c>
      <c r="X8">
        <v>42</v>
      </c>
      <c r="Y8">
        <v>4</v>
      </c>
      <c r="Z8">
        <v>7</v>
      </c>
      <c r="AA8">
        <v>33</v>
      </c>
      <c r="AB8" s="29">
        <v>45886</v>
      </c>
      <c r="AC8">
        <v>91</v>
      </c>
      <c r="AD8">
        <v>9089</v>
      </c>
    </row>
    <row r="9" spans="1:30" x14ac:dyDescent="0.25">
      <c r="A9">
        <v>12372066</v>
      </c>
      <c r="B9">
        <v>8</v>
      </c>
      <c r="C9">
        <v>23323</v>
      </c>
      <c r="D9" t="s">
        <v>260</v>
      </c>
      <c r="E9" t="s">
        <v>261</v>
      </c>
      <c r="F9" s="18" t="s">
        <v>262</v>
      </c>
      <c r="G9" s="28">
        <v>35280</v>
      </c>
      <c r="H9" t="s">
        <v>100</v>
      </c>
      <c r="I9" t="b">
        <v>0</v>
      </c>
      <c r="J9">
        <v>252</v>
      </c>
      <c r="K9" t="s">
        <v>263</v>
      </c>
      <c r="L9" t="s">
        <v>63</v>
      </c>
      <c r="M9" t="s">
        <v>63</v>
      </c>
      <c r="N9" t="s">
        <v>264</v>
      </c>
      <c r="O9">
        <v>4</v>
      </c>
      <c r="P9" t="s">
        <v>106</v>
      </c>
      <c r="Q9" t="s">
        <v>107</v>
      </c>
      <c r="R9" t="b">
        <v>0</v>
      </c>
      <c r="S9">
        <v>-90.821539138932479</v>
      </c>
      <c r="T9">
        <v>173.94427189772853</v>
      </c>
      <c r="U9">
        <v>258.63668346593386</v>
      </c>
      <c r="V9">
        <v>4.9737999999999998</v>
      </c>
      <c r="W9">
        <v>64</v>
      </c>
      <c r="X9">
        <v>52</v>
      </c>
      <c r="Y9">
        <v>14</v>
      </c>
      <c r="Z9">
        <v>16</v>
      </c>
      <c r="AA9">
        <v>33</v>
      </c>
      <c r="AB9" s="29">
        <v>45886</v>
      </c>
      <c r="AC9">
        <v>91</v>
      </c>
      <c r="AD9">
        <v>9089</v>
      </c>
    </row>
    <row r="10" spans="1:30" x14ac:dyDescent="0.25">
      <c r="A10">
        <v>12372073</v>
      </c>
      <c r="B10">
        <v>9</v>
      </c>
      <c r="C10">
        <v>14577</v>
      </c>
      <c r="D10" t="s">
        <v>192</v>
      </c>
      <c r="E10" t="s">
        <v>193</v>
      </c>
      <c r="F10" t="s">
        <v>53</v>
      </c>
      <c r="G10" s="28">
        <v>32712</v>
      </c>
      <c r="H10" t="s">
        <v>100</v>
      </c>
      <c r="I10" t="b">
        <v>0</v>
      </c>
      <c r="J10">
        <v>237</v>
      </c>
      <c r="K10" t="s">
        <v>101</v>
      </c>
      <c r="L10" t="s">
        <v>102</v>
      </c>
      <c r="M10" t="s">
        <v>103</v>
      </c>
      <c r="N10" t="s">
        <v>102</v>
      </c>
      <c r="O10">
        <v>6</v>
      </c>
      <c r="P10" t="s">
        <v>104</v>
      </c>
      <c r="Q10" t="s">
        <v>105</v>
      </c>
      <c r="R10" t="b">
        <v>0</v>
      </c>
      <c r="S10">
        <v>-55.394027726796594</v>
      </c>
      <c r="T10">
        <v>215.67306109088867</v>
      </c>
      <c r="U10">
        <v>232.39848200984176</v>
      </c>
      <c r="V10">
        <v>4.9446000000000003</v>
      </c>
      <c r="W10">
        <v>47</v>
      </c>
      <c r="X10">
        <v>47</v>
      </c>
      <c r="Y10">
        <v>73</v>
      </c>
      <c r="Z10">
        <v>8</v>
      </c>
      <c r="AA10">
        <v>33</v>
      </c>
      <c r="AB10" s="29">
        <v>45886</v>
      </c>
      <c r="AC10">
        <v>91</v>
      </c>
      <c r="AD10">
        <v>9089</v>
      </c>
    </row>
    <row r="11" spans="1:30" x14ac:dyDescent="0.25">
      <c r="A11">
        <v>12372067</v>
      </c>
      <c r="B11">
        <v>10</v>
      </c>
      <c r="C11">
        <v>12294</v>
      </c>
      <c r="D11" t="s">
        <v>148</v>
      </c>
      <c r="E11" t="s">
        <v>149</v>
      </c>
      <c r="F11" t="s">
        <v>31</v>
      </c>
      <c r="G11" s="28">
        <v>33257</v>
      </c>
      <c r="H11" t="s">
        <v>100</v>
      </c>
      <c r="I11" t="b">
        <v>0</v>
      </c>
      <c r="J11">
        <v>253</v>
      </c>
      <c r="K11" t="s">
        <v>130</v>
      </c>
      <c r="L11" t="s">
        <v>63</v>
      </c>
      <c r="M11" t="s">
        <v>63</v>
      </c>
      <c r="N11" t="s">
        <v>131</v>
      </c>
      <c r="O11">
        <v>4</v>
      </c>
      <c r="P11" t="s">
        <v>106</v>
      </c>
      <c r="Q11" t="s">
        <v>107</v>
      </c>
      <c r="R11" t="b">
        <v>0</v>
      </c>
      <c r="S11">
        <v>-116.56023623856657</v>
      </c>
      <c r="T11">
        <v>166.95712702642783</v>
      </c>
      <c r="U11">
        <v>247.60568621174897</v>
      </c>
      <c r="V11">
        <v>4.8550000000000004</v>
      </c>
      <c r="W11">
        <v>51</v>
      </c>
      <c r="X11">
        <v>51</v>
      </c>
      <c r="Y11">
        <v>9</v>
      </c>
      <c r="Z11">
        <v>13</v>
      </c>
      <c r="AA11">
        <v>33</v>
      </c>
      <c r="AB11" s="29">
        <v>45886</v>
      </c>
      <c r="AC11">
        <v>91</v>
      </c>
      <c r="AD11">
        <v>9089</v>
      </c>
    </row>
    <row r="12" spans="1:30" x14ac:dyDescent="0.25">
      <c r="A12">
        <v>12372068</v>
      </c>
      <c r="B12">
        <v>11</v>
      </c>
      <c r="C12">
        <v>6093</v>
      </c>
      <c r="D12" t="s">
        <v>145</v>
      </c>
      <c r="E12" t="s">
        <v>168</v>
      </c>
      <c r="F12" t="s">
        <v>54</v>
      </c>
      <c r="G12" s="28">
        <v>29432</v>
      </c>
      <c r="H12" t="s">
        <v>100</v>
      </c>
      <c r="I12" t="b">
        <v>0</v>
      </c>
      <c r="J12">
        <v>253</v>
      </c>
      <c r="K12" t="s">
        <v>130</v>
      </c>
      <c r="L12" t="s">
        <v>63</v>
      </c>
      <c r="M12" t="s">
        <v>63</v>
      </c>
      <c r="N12" t="s">
        <v>131</v>
      </c>
      <c r="O12">
        <v>4</v>
      </c>
      <c r="P12" t="s">
        <v>106</v>
      </c>
      <c r="Q12" t="s">
        <v>107</v>
      </c>
      <c r="R12" t="b">
        <v>0</v>
      </c>
      <c r="S12">
        <v>-58.548072320133485</v>
      </c>
      <c r="T12">
        <v>183.34585226680167</v>
      </c>
      <c r="U12">
        <v>217.65977457116139</v>
      </c>
      <c r="V12">
        <v>4.8369</v>
      </c>
      <c r="W12">
        <v>45</v>
      </c>
      <c r="X12">
        <v>45</v>
      </c>
      <c r="Y12">
        <v>47</v>
      </c>
      <c r="Z12">
        <v>9</v>
      </c>
      <c r="AA12">
        <v>33</v>
      </c>
      <c r="AB12" s="29">
        <v>45886</v>
      </c>
      <c r="AC12">
        <v>91</v>
      </c>
      <c r="AD12">
        <v>9089</v>
      </c>
    </row>
    <row r="13" spans="1:30" x14ac:dyDescent="0.25">
      <c r="A13">
        <v>12372069</v>
      </c>
      <c r="B13">
        <v>12</v>
      </c>
      <c r="C13">
        <v>17511</v>
      </c>
      <c r="D13" s="18" t="s">
        <v>161</v>
      </c>
      <c r="E13" t="s">
        <v>162</v>
      </c>
      <c r="F13" t="s">
        <v>47</v>
      </c>
      <c r="G13" s="28">
        <v>34090</v>
      </c>
      <c r="H13" t="s">
        <v>100</v>
      </c>
      <c r="I13" t="b">
        <v>0</v>
      </c>
      <c r="J13">
        <v>14</v>
      </c>
      <c r="K13" t="s">
        <v>163</v>
      </c>
      <c r="L13" t="s">
        <v>164</v>
      </c>
      <c r="M13" t="s">
        <v>165</v>
      </c>
      <c r="N13" t="s">
        <v>164</v>
      </c>
      <c r="O13">
        <v>4</v>
      </c>
      <c r="P13" t="s">
        <v>106</v>
      </c>
      <c r="Q13" t="s">
        <v>107</v>
      </c>
      <c r="R13" t="b">
        <v>0</v>
      </c>
      <c r="S13">
        <v>-92.926548791536632</v>
      </c>
      <c r="T13">
        <v>219.36906046291918</v>
      </c>
      <c r="U13">
        <v>242.78447513406545</v>
      </c>
      <c r="V13">
        <v>4.7605000000000004</v>
      </c>
      <c r="W13">
        <v>51</v>
      </c>
      <c r="X13">
        <v>51</v>
      </c>
      <c r="Y13">
        <v>36</v>
      </c>
      <c r="Z13">
        <v>10</v>
      </c>
      <c r="AA13">
        <v>33</v>
      </c>
      <c r="AB13" s="29">
        <v>45886</v>
      </c>
      <c r="AC13">
        <v>91</v>
      </c>
      <c r="AD13">
        <v>9089</v>
      </c>
    </row>
    <row r="14" spans="1:30" x14ac:dyDescent="0.25">
      <c r="A14">
        <v>12372070</v>
      </c>
      <c r="B14">
        <v>13</v>
      </c>
      <c r="C14">
        <v>13872</v>
      </c>
      <c r="D14" t="s">
        <v>138</v>
      </c>
      <c r="E14" s="18" t="s">
        <v>139</v>
      </c>
      <c r="F14" s="18" t="s">
        <v>50</v>
      </c>
      <c r="G14" s="28">
        <v>31570</v>
      </c>
      <c r="H14" t="s">
        <v>100</v>
      </c>
      <c r="I14" t="b">
        <v>0</v>
      </c>
      <c r="J14">
        <v>237</v>
      </c>
      <c r="K14" t="s">
        <v>101</v>
      </c>
      <c r="L14" t="s">
        <v>102</v>
      </c>
      <c r="M14" t="s">
        <v>103</v>
      </c>
      <c r="N14" t="s">
        <v>102</v>
      </c>
      <c r="O14">
        <v>6</v>
      </c>
      <c r="P14" t="s">
        <v>104</v>
      </c>
      <c r="Q14" t="s">
        <v>105</v>
      </c>
      <c r="R14" t="b">
        <v>0</v>
      </c>
      <c r="S14">
        <v>-91.684588111932811</v>
      </c>
      <c r="T14">
        <v>150.9257707273994</v>
      </c>
      <c r="U14">
        <v>217.21190830185901</v>
      </c>
      <c r="V14">
        <v>4.7220000000000004</v>
      </c>
      <c r="W14">
        <v>46</v>
      </c>
      <c r="X14">
        <v>46</v>
      </c>
      <c r="Y14">
        <v>12</v>
      </c>
      <c r="Z14">
        <v>12</v>
      </c>
      <c r="AA14">
        <v>33</v>
      </c>
      <c r="AB14" s="29">
        <v>45886</v>
      </c>
      <c r="AC14">
        <v>91</v>
      </c>
      <c r="AD14">
        <v>9089</v>
      </c>
    </row>
    <row r="15" spans="1:30" x14ac:dyDescent="0.25">
      <c r="A15">
        <v>12372071</v>
      </c>
      <c r="B15">
        <v>14</v>
      </c>
      <c r="C15">
        <v>23950</v>
      </c>
      <c r="D15" s="18" t="s">
        <v>268</v>
      </c>
      <c r="E15" s="18" t="s">
        <v>429</v>
      </c>
      <c r="F15" s="109" t="s">
        <v>453</v>
      </c>
      <c r="G15" s="28">
        <v>36464</v>
      </c>
      <c r="H15" t="s">
        <v>100</v>
      </c>
      <c r="I15" t="b">
        <v>0</v>
      </c>
      <c r="J15">
        <v>216</v>
      </c>
      <c r="K15" t="s">
        <v>218</v>
      </c>
      <c r="L15" t="s">
        <v>219</v>
      </c>
      <c r="M15" t="s">
        <v>220</v>
      </c>
      <c r="N15" t="s">
        <v>219</v>
      </c>
      <c r="O15">
        <v>4</v>
      </c>
      <c r="P15" t="s">
        <v>106</v>
      </c>
      <c r="Q15" t="s">
        <v>107</v>
      </c>
      <c r="R15" t="b">
        <v>0</v>
      </c>
      <c r="S15">
        <v>-130.53340879125912</v>
      </c>
      <c r="T15">
        <v>142.19276119974472</v>
      </c>
      <c r="U15">
        <v>224.34968353017572</v>
      </c>
      <c r="V15">
        <v>4.6740000000000004</v>
      </c>
      <c r="W15">
        <v>48</v>
      </c>
      <c r="X15">
        <v>48</v>
      </c>
      <c r="Y15">
        <v>5</v>
      </c>
      <c r="Z15">
        <v>11</v>
      </c>
      <c r="AA15">
        <v>33</v>
      </c>
      <c r="AB15" s="29">
        <v>45886</v>
      </c>
      <c r="AC15">
        <v>91</v>
      </c>
      <c r="AD15">
        <v>9089</v>
      </c>
    </row>
    <row r="16" spans="1:30" x14ac:dyDescent="0.25">
      <c r="A16">
        <v>12372072</v>
      </c>
      <c r="B16">
        <v>15</v>
      </c>
      <c r="C16">
        <v>18841</v>
      </c>
      <c r="D16" t="s">
        <v>114</v>
      </c>
      <c r="E16" t="s">
        <v>115</v>
      </c>
      <c r="F16" t="s">
        <v>49</v>
      </c>
      <c r="G16" s="28">
        <v>35691</v>
      </c>
      <c r="H16" t="s">
        <v>100</v>
      </c>
      <c r="I16" t="b">
        <v>0</v>
      </c>
      <c r="J16">
        <v>169</v>
      </c>
      <c r="K16" t="s">
        <v>116</v>
      </c>
      <c r="L16" t="s">
        <v>117</v>
      </c>
      <c r="M16" t="s">
        <v>118</v>
      </c>
      <c r="N16" t="s">
        <v>117</v>
      </c>
      <c r="O16">
        <v>4</v>
      </c>
      <c r="P16" t="s">
        <v>106</v>
      </c>
      <c r="Q16" t="s">
        <v>107</v>
      </c>
      <c r="R16" t="b">
        <v>0</v>
      </c>
      <c r="S16">
        <v>-127.87716770616396</v>
      </c>
      <c r="T16">
        <v>136.59282818408701</v>
      </c>
      <c r="U16">
        <v>182.43172744039961</v>
      </c>
      <c r="V16">
        <v>4.5608000000000004</v>
      </c>
      <c r="W16">
        <v>39</v>
      </c>
      <c r="X16">
        <v>40</v>
      </c>
      <c r="Y16">
        <v>8</v>
      </c>
      <c r="Z16">
        <v>15</v>
      </c>
      <c r="AA16">
        <v>33</v>
      </c>
      <c r="AB16" s="29">
        <v>45886</v>
      </c>
      <c r="AC16">
        <v>91</v>
      </c>
      <c r="AD16">
        <v>9089</v>
      </c>
    </row>
    <row r="17" spans="1:30" x14ac:dyDescent="0.25">
      <c r="A17">
        <v>12372058</v>
      </c>
      <c r="B17">
        <v>16</v>
      </c>
      <c r="C17">
        <v>13562</v>
      </c>
      <c r="D17" t="s">
        <v>333</v>
      </c>
      <c r="E17" t="s">
        <v>175</v>
      </c>
      <c r="F17" t="s">
        <v>62</v>
      </c>
      <c r="G17" s="28">
        <v>33659</v>
      </c>
      <c r="H17" t="s">
        <v>100</v>
      </c>
      <c r="I17" t="b">
        <v>0</v>
      </c>
      <c r="J17">
        <v>111</v>
      </c>
      <c r="K17" t="s">
        <v>176</v>
      </c>
      <c r="L17" t="s">
        <v>177</v>
      </c>
      <c r="M17" t="s">
        <v>178</v>
      </c>
      <c r="N17" t="s">
        <v>177</v>
      </c>
      <c r="O17">
        <v>5</v>
      </c>
      <c r="P17" t="s">
        <v>176</v>
      </c>
      <c r="Q17" t="s">
        <v>179</v>
      </c>
      <c r="R17" t="b">
        <v>0</v>
      </c>
      <c r="S17">
        <v>-120.48212253188176</v>
      </c>
      <c r="T17">
        <v>112.97658262693123</v>
      </c>
      <c r="U17">
        <v>205.00031142089409</v>
      </c>
      <c r="V17">
        <v>4.5556000000000001</v>
      </c>
      <c r="W17">
        <v>45</v>
      </c>
      <c r="X17">
        <v>45</v>
      </c>
      <c r="Y17">
        <v>6</v>
      </c>
      <c r="Z17">
        <v>14</v>
      </c>
      <c r="AA17">
        <v>33</v>
      </c>
      <c r="AB17" s="29">
        <v>45886</v>
      </c>
      <c r="AC17">
        <v>91</v>
      </c>
      <c r="AD17">
        <v>9089</v>
      </c>
    </row>
    <row r="18" spans="1:30" x14ac:dyDescent="0.25">
      <c r="A18">
        <v>12372057</v>
      </c>
      <c r="B18">
        <v>17</v>
      </c>
      <c r="C18">
        <v>24968</v>
      </c>
      <c r="D18" t="s">
        <v>283</v>
      </c>
      <c r="E18" t="s">
        <v>284</v>
      </c>
      <c r="F18" t="s">
        <v>285</v>
      </c>
      <c r="G18" s="28">
        <v>35191</v>
      </c>
      <c r="H18" t="s">
        <v>100</v>
      </c>
      <c r="I18" t="b">
        <v>0</v>
      </c>
      <c r="J18">
        <v>237</v>
      </c>
      <c r="K18" t="s">
        <v>101</v>
      </c>
      <c r="L18" t="s">
        <v>102</v>
      </c>
      <c r="M18" t="s">
        <v>103</v>
      </c>
      <c r="N18" t="s">
        <v>102</v>
      </c>
      <c r="O18">
        <v>6</v>
      </c>
      <c r="P18" t="s">
        <v>104</v>
      </c>
      <c r="Q18" t="s">
        <v>105</v>
      </c>
      <c r="R18" t="b">
        <v>0</v>
      </c>
      <c r="S18">
        <v>-53.097075462959594</v>
      </c>
      <c r="T18">
        <v>186.67126671896978</v>
      </c>
      <c r="U18">
        <v>218.33126834917073</v>
      </c>
      <c r="V18">
        <v>4.1986999999999997</v>
      </c>
      <c r="W18">
        <v>66</v>
      </c>
      <c r="X18">
        <v>52</v>
      </c>
      <c r="Y18">
        <v>65</v>
      </c>
      <c r="Z18">
        <v>18</v>
      </c>
      <c r="AA18">
        <v>33</v>
      </c>
      <c r="AB18" s="29">
        <v>45886</v>
      </c>
      <c r="AC18">
        <v>91</v>
      </c>
      <c r="AD18">
        <v>9089</v>
      </c>
    </row>
    <row r="19" spans="1:30" x14ac:dyDescent="0.25">
      <c r="A19">
        <v>12372056</v>
      </c>
      <c r="B19">
        <v>18</v>
      </c>
      <c r="C19">
        <v>19841</v>
      </c>
      <c r="D19" t="s">
        <v>336</v>
      </c>
      <c r="E19" t="s">
        <v>407</v>
      </c>
      <c r="F19" t="s">
        <v>325</v>
      </c>
      <c r="G19" s="28">
        <v>34228</v>
      </c>
      <c r="H19" t="s">
        <v>100</v>
      </c>
      <c r="I19" t="b">
        <v>0</v>
      </c>
      <c r="J19">
        <v>237</v>
      </c>
      <c r="K19" t="s">
        <v>101</v>
      </c>
      <c r="L19" t="s">
        <v>102</v>
      </c>
      <c r="M19" t="s">
        <v>103</v>
      </c>
      <c r="N19" t="s">
        <v>102</v>
      </c>
      <c r="O19">
        <v>6</v>
      </c>
      <c r="P19" t="s">
        <v>104</v>
      </c>
      <c r="Q19" t="s">
        <v>105</v>
      </c>
      <c r="R19" t="b">
        <v>0</v>
      </c>
      <c r="S19">
        <v>-75.113653378243939</v>
      </c>
      <c r="T19">
        <v>87.21856644871211</v>
      </c>
      <c r="U19">
        <v>162.8762070663274</v>
      </c>
      <c r="V19">
        <v>4.0719000000000003</v>
      </c>
      <c r="W19">
        <v>9</v>
      </c>
      <c r="X19">
        <v>40</v>
      </c>
      <c r="Y19">
        <v>10</v>
      </c>
      <c r="Z19">
        <v>17</v>
      </c>
      <c r="AA19">
        <v>33</v>
      </c>
      <c r="AB19" s="29">
        <v>45886</v>
      </c>
      <c r="AC19">
        <v>91</v>
      </c>
      <c r="AD19">
        <v>9089</v>
      </c>
    </row>
    <row r="20" spans="1:30" x14ac:dyDescent="0.25">
      <c r="A20">
        <v>12372055</v>
      </c>
      <c r="B20">
        <v>19</v>
      </c>
      <c r="C20">
        <v>18634</v>
      </c>
      <c r="D20" t="s">
        <v>341</v>
      </c>
      <c r="E20" t="s">
        <v>342</v>
      </c>
      <c r="F20" s="110" t="s">
        <v>331</v>
      </c>
      <c r="G20" s="28">
        <v>35010</v>
      </c>
      <c r="H20" t="s">
        <v>100</v>
      </c>
      <c r="I20" t="b">
        <v>0</v>
      </c>
      <c r="J20">
        <v>237</v>
      </c>
      <c r="K20" t="s">
        <v>101</v>
      </c>
      <c r="L20" t="s">
        <v>102</v>
      </c>
      <c r="M20" t="s">
        <v>103</v>
      </c>
      <c r="N20" t="s">
        <v>102</v>
      </c>
      <c r="O20">
        <v>6</v>
      </c>
      <c r="P20" t="s">
        <v>104</v>
      </c>
      <c r="Q20" t="s">
        <v>105</v>
      </c>
      <c r="R20" t="b">
        <v>0</v>
      </c>
      <c r="S20">
        <v>-53.140689504702593</v>
      </c>
      <c r="T20">
        <v>155.76367786895227</v>
      </c>
      <c r="U20">
        <v>206.9777104745522</v>
      </c>
      <c r="V20">
        <v>3.9803000000000002</v>
      </c>
      <c r="W20">
        <v>52</v>
      </c>
      <c r="X20">
        <v>52</v>
      </c>
      <c r="Y20">
        <v>30</v>
      </c>
      <c r="Z20">
        <v>21</v>
      </c>
      <c r="AA20">
        <v>33</v>
      </c>
      <c r="AB20" s="29">
        <v>45886</v>
      </c>
      <c r="AC20">
        <v>91</v>
      </c>
      <c r="AD20">
        <v>9089</v>
      </c>
    </row>
    <row r="21" spans="1:30" x14ac:dyDescent="0.25">
      <c r="A21">
        <v>12372054</v>
      </c>
      <c r="B21">
        <v>20</v>
      </c>
      <c r="C21">
        <v>26651</v>
      </c>
      <c r="D21" t="s">
        <v>121</v>
      </c>
      <c r="E21" t="s">
        <v>142</v>
      </c>
      <c r="F21" t="s">
        <v>58</v>
      </c>
      <c r="G21" s="28">
        <v>35557</v>
      </c>
      <c r="H21" t="s">
        <v>100</v>
      </c>
      <c r="I21" t="b">
        <v>0</v>
      </c>
      <c r="J21">
        <v>237</v>
      </c>
      <c r="K21" t="s">
        <v>101</v>
      </c>
      <c r="L21" t="s">
        <v>102</v>
      </c>
      <c r="M21" t="s">
        <v>103</v>
      </c>
      <c r="N21" t="s">
        <v>102</v>
      </c>
      <c r="O21">
        <v>6</v>
      </c>
      <c r="P21" t="s">
        <v>104</v>
      </c>
      <c r="Q21" t="s">
        <v>105</v>
      </c>
      <c r="R21" t="b">
        <v>0</v>
      </c>
      <c r="S21">
        <v>-64.658409727668882</v>
      </c>
      <c r="T21">
        <v>146.67166006837709</v>
      </c>
      <c r="U21">
        <v>185.8047669231949</v>
      </c>
      <c r="V21">
        <v>3.7919</v>
      </c>
      <c r="W21">
        <v>49</v>
      </c>
      <c r="X21">
        <v>49</v>
      </c>
      <c r="Y21">
        <v>39</v>
      </c>
      <c r="Z21">
        <v>19</v>
      </c>
      <c r="AA21">
        <v>33</v>
      </c>
      <c r="AB21" s="29">
        <v>45886</v>
      </c>
      <c r="AC21">
        <v>91</v>
      </c>
      <c r="AD21">
        <v>9089</v>
      </c>
    </row>
    <row r="22" spans="1:30" x14ac:dyDescent="0.25">
      <c r="A22">
        <v>12372053</v>
      </c>
      <c r="B22">
        <v>21</v>
      </c>
      <c r="C22">
        <v>13900</v>
      </c>
      <c r="D22" t="s">
        <v>169</v>
      </c>
      <c r="E22" t="s">
        <v>170</v>
      </c>
      <c r="F22" t="s">
        <v>171</v>
      </c>
      <c r="G22" s="28">
        <v>31869</v>
      </c>
      <c r="H22" t="s">
        <v>100</v>
      </c>
      <c r="I22" t="b">
        <v>0</v>
      </c>
      <c r="J22">
        <v>106</v>
      </c>
      <c r="K22" t="s">
        <v>172</v>
      </c>
      <c r="L22" t="s">
        <v>173</v>
      </c>
      <c r="M22" t="s">
        <v>174</v>
      </c>
      <c r="N22" t="s">
        <v>173</v>
      </c>
      <c r="O22">
        <v>4</v>
      </c>
      <c r="P22" t="s">
        <v>106</v>
      </c>
      <c r="Q22" t="s">
        <v>107</v>
      </c>
      <c r="R22" t="b">
        <v>0</v>
      </c>
      <c r="S22">
        <v>-78.104776948834953</v>
      </c>
      <c r="T22">
        <v>123.33204923606344</v>
      </c>
      <c r="U22">
        <v>176.67506175819818</v>
      </c>
      <c r="V22">
        <v>3.6055999999999999</v>
      </c>
      <c r="W22">
        <v>49</v>
      </c>
      <c r="X22">
        <v>49</v>
      </c>
      <c r="Y22">
        <v>27</v>
      </c>
      <c r="Z22">
        <v>20</v>
      </c>
      <c r="AA22">
        <v>33</v>
      </c>
      <c r="AB22" s="29">
        <v>45886</v>
      </c>
      <c r="AC22">
        <v>91</v>
      </c>
      <c r="AD22">
        <v>9089</v>
      </c>
    </row>
    <row r="23" spans="1:30" x14ac:dyDescent="0.25">
      <c r="A23">
        <v>12372052</v>
      </c>
      <c r="B23">
        <v>22</v>
      </c>
      <c r="C23">
        <v>19483</v>
      </c>
      <c r="D23" t="s">
        <v>140</v>
      </c>
      <c r="E23" t="s">
        <v>141</v>
      </c>
      <c r="F23" t="s">
        <v>44</v>
      </c>
      <c r="G23" s="28">
        <v>35269</v>
      </c>
      <c r="H23" t="s">
        <v>100</v>
      </c>
      <c r="I23" t="b">
        <v>0</v>
      </c>
      <c r="J23">
        <v>237</v>
      </c>
      <c r="K23" t="s">
        <v>101</v>
      </c>
      <c r="L23" t="s">
        <v>102</v>
      </c>
      <c r="M23" t="s">
        <v>103</v>
      </c>
      <c r="N23" t="s">
        <v>102</v>
      </c>
      <c r="O23">
        <v>6</v>
      </c>
      <c r="P23" t="s">
        <v>104</v>
      </c>
      <c r="Q23" t="s">
        <v>105</v>
      </c>
      <c r="R23" t="b">
        <v>0</v>
      </c>
      <c r="S23">
        <v>-75.7159116305113</v>
      </c>
      <c r="T23">
        <v>114.31006737413631</v>
      </c>
      <c r="U23">
        <v>168.75002551736497</v>
      </c>
      <c r="V23">
        <v>3.5903999999999998</v>
      </c>
      <c r="W23">
        <v>47</v>
      </c>
      <c r="X23">
        <v>47</v>
      </c>
      <c r="Y23">
        <v>20</v>
      </c>
      <c r="Z23">
        <v>23</v>
      </c>
      <c r="AA23">
        <v>33</v>
      </c>
      <c r="AB23" s="29">
        <v>45886</v>
      </c>
      <c r="AC23">
        <v>91</v>
      </c>
      <c r="AD23">
        <v>9089</v>
      </c>
    </row>
    <row r="24" spans="1:30" x14ac:dyDescent="0.25">
      <c r="A24">
        <v>12372051</v>
      </c>
      <c r="B24">
        <v>23</v>
      </c>
      <c r="C24">
        <v>15466</v>
      </c>
      <c r="D24" t="s">
        <v>112</v>
      </c>
      <c r="E24" t="s">
        <v>113</v>
      </c>
      <c r="F24" t="s">
        <v>29</v>
      </c>
      <c r="G24" s="28">
        <v>33680</v>
      </c>
      <c r="H24" t="s">
        <v>100</v>
      </c>
      <c r="I24" t="b">
        <v>0</v>
      </c>
      <c r="J24">
        <v>237</v>
      </c>
      <c r="K24" t="s">
        <v>101</v>
      </c>
      <c r="L24" t="s">
        <v>102</v>
      </c>
      <c r="M24" t="s">
        <v>103</v>
      </c>
      <c r="N24" t="s">
        <v>102</v>
      </c>
      <c r="O24">
        <v>6</v>
      </c>
      <c r="P24" t="s">
        <v>104</v>
      </c>
      <c r="Q24" t="s">
        <v>105</v>
      </c>
      <c r="R24" t="b">
        <v>0</v>
      </c>
      <c r="S24">
        <v>-93.314136894486538</v>
      </c>
      <c r="T24">
        <v>87.43042226536879</v>
      </c>
      <c r="U24">
        <v>134.8814709812288</v>
      </c>
      <c r="V24">
        <v>3.3719999999999999</v>
      </c>
      <c r="W24">
        <v>38</v>
      </c>
      <c r="X24">
        <v>40</v>
      </c>
      <c r="Y24">
        <v>11</v>
      </c>
      <c r="Z24">
        <v>22</v>
      </c>
      <c r="AA24">
        <v>33</v>
      </c>
      <c r="AB24" s="29">
        <v>45886</v>
      </c>
      <c r="AC24">
        <v>91</v>
      </c>
      <c r="AD24">
        <v>9089</v>
      </c>
    </row>
    <row r="25" spans="1:30" x14ac:dyDescent="0.25">
      <c r="A25">
        <v>12372050</v>
      </c>
      <c r="B25">
        <v>24</v>
      </c>
      <c r="C25">
        <v>14796</v>
      </c>
      <c r="D25" t="s">
        <v>323</v>
      </c>
      <c r="E25" t="s">
        <v>406</v>
      </c>
      <c r="F25" s="18" t="s">
        <v>48</v>
      </c>
      <c r="G25" s="28">
        <v>33525</v>
      </c>
      <c r="H25" t="s">
        <v>100</v>
      </c>
      <c r="I25" t="b">
        <v>0</v>
      </c>
      <c r="J25">
        <v>253</v>
      </c>
      <c r="K25" t="s">
        <v>130</v>
      </c>
      <c r="L25" t="s">
        <v>63</v>
      </c>
      <c r="M25" t="s">
        <v>63</v>
      </c>
      <c r="N25" t="s">
        <v>131</v>
      </c>
      <c r="O25">
        <v>4</v>
      </c>
      <c r="P25" t="s">
        <v>106</v>
      </c>
      <c r="Q25" t="s">
        <v>107</v>
      </c>
      <c r="R25" t="b">
        <v>0</v>
      </c>
      <c r="S25">
        <v>-82.0630805231674</v>
      </c>
      <c r="T25">
        <v>80.431620612808416</v>
      </c>
      <c r="U25">
        <v>130.79496580084896</v>
      </c>
      <c r="V25">
        <v>3.2698999999999998</v>
      </c>
      <c r="W25">
        <v>22</v>
      </c>
      <c r="X25">
        <v>40</v>
      </c>
      <c r="Y25">
        <v>15</v>
      </c>
      <c r="Z25">
        <v>24</v>
      </c>
      <c r="AA25">
        <v>33</v>
      </c>
      <c r="AB25" s="29">
        <v>45886</v>
      </c>
      <c r="AC25">
        <v>91</v>
      </c>
      <c r="AD25">
        <v>9089</v>
      </c>
    </row>
    <row r="26" spans="1:30" x14ac:dyDescent="0.25">
      <c r="A26">
        <v>12372049</v>
      </c>
      <c r="B26">
        <v>25</v>
      </c>
      <c r="C26">
        <v>17576</v>
      </c>
      <c r="D26" t="s">
        <v>184</v>
      </c>
      <c r="E26" t="s">
        <v>185</v>
      </c>
      <c r="F26" t="s">
        <v>39</v>
      </c>
      <c r="G26" s="28">
        <v>33609</v>
      </c>
      <c r="H26" t="s">
        <v>100</v>
      </c>
      <c r="I26" t="b">
        <v>0</v>
      </c>
      <c r="J26">
        <v>39</v>
      </c>
      <c r="K26" t="s">
        <v>186</v>
      </c>
      <c r="L26" t="s">
        <v>187</v>
      </c>
      <c r="M26" t="s">
        <v>188</v>
      </c>
      <c r="N26" t="s">
        <v>187</v>
      </c>
      <c r="O26">
        <v>6</v>
      </c>
      <c r="P26" t="s">
        <v>104</v>
      </c>
      <c r="Q26" t="s">
        <v>105</v>
      </c>
      <c r="R26" t="b">
        <v>0</v>
      </c>
      <c r="S26">
        <v>-66.340233464836246</v>
      </c>
      <c r="T26">
        <v>112.93448855989719</v>
      </c>
      <c r="U26">
        <v>146.86481053154901</v>
      </c>
      <c r="V26">
        <v>3.1926999999999999</v>
      </c>
      <c r="W26">
        <v>46</v>
      </c>
      <c r="X26">
        <v>46</v>
      </c>
      <c r="Y26">
        <v>40</v>
      </c>
      <c r="Z26">
        <v>25</v>
      </c>
      <c r="AA26">
        <v>33</v>
      </c>
      <c r="AB26" s="29">
        <v>45886</v>
      </c>
      <c r="AC26">
        <v>91</v>
      </c>
      <c r="AD26">
        <v>9089</v>
      </c>
    </row>
    <row r="27" spans="1:30" x14ac:dyDescent="0.25">
      <c r="A27">
        <v>12372048</v>
      </c>
      <c r="B27">
        <v>26</v>
      </c>
      <c r="C27">
        <v>23604</v>
      </c>
      <c r="D27" t="s">
        <v>134</v>
      </c>
      <c r="E27" t="s">
        <v>135</v>
      </c>
      <c r="F27" t="s">
        <v>51</v>
      </c>
      <c r="G27" s="28">
        <v>34312</v>
      </c>
      <c r="H27" t="s">
        <v>100</v>
      </c>
      <c r="I27" t="b">
        <v>0</v>
      </c>
      <c r="J27">
        <v>237</v>
      </c>
      <c r="K27" t="s">
        <v>101</v>
      </c>
      <c r="L27" t="s">
        <v>102</v>
      </c>
      <c r="M27" t="s">
        <v>103</v>
      </c>
      <c r="N27" t="s">
        <v>102</v>
      </c>
      <c r="O27">
        <v>6</v>
      </c>
      <c r="P27" t="s">
        <v>104</v>
      </c>
      <c r="Q27" t="s">
        <v>105</v>
      </c>
      <c r="R27" t="b">
        <v>0</v>
      </c>
      <c r="S27">
        <v>-138.80926849378977</v>
      </c>
      <c r="T27">
        <v>74.007629637493253</v>
      </c>
      <c r="U27">
        <v>148.96156729902421</v>
      </c>
      <c r="V27">
        <v>3.1034000000000002</v>
      </c>
      <c r="W27">
        <v>48</v>
      </c>
      <c r="X27">
        <v>48</v>
      </c>
      <c r="Y27">
        <v>7</v>
      </c>
      <c r="Z27">
        <v>26</v>
      </c>
      <c r="AA27">
        <v>33</v>
      </c>
      <c r="AB27" s="29">
        <v>45886</v>
      </c>
      <c r="AC27">
        <v>91</v>
      </c>
      <c r="AD27">
        <v>9089</v>
      </c>
    </row>
    <row r="28" spans="1:30" x14ac:dyDescent="0.25">
      <c r="A28">
        <v>12372047</v>
      </c>
      <c r="B28">
        <v>27</v>
      </c>
      <c r="C28">
        <v>27774</v>
      </c>
      <c r="D28" t="s">
        <v>197</v>
      </c>
      <c r="E28" t="s">
        <v>454</v>
      </c>
      <c r="F28" t="s">
        <v>332</v>
      </c>
      <c r="G28" s="28">
        <v>36361</v>
      </c>
      <c r="H28" t="s">
        <v>100</v>
      </c>
      <c r="I28" t="b">
        <v>0</v>
      </c>
      <c r="J28">
        <v>237</v>
      </c>
      <c r="K28" t="s">
        <v>101</v>
      </c>
      <c r="L28" t="s">
        <v>102</v>
      </c>
      <c r="M28" t="s">
        <v>103</v>
      </c>
      <c r="N28" t="s">
        <v>102</v>
      </c>
      <c r="O28">
        <v>6</v>
      </c>
      <c r="P28" t="s">
        <v>104</v>
      </c>
      <c r="Q28" t="s">
        <v>105</v>
      </c>
      <c r="R28" t="b">
        <v>0</v>
      </c>
      <c r="S28">
        <v>-20.675188639289644</v>
      </c>
      <c r="T28">
        <v>145.09562421145873</v>
      </c>
      <c r="U28">
        <v>159.47463283276397</v>
      </c>
      <c r="V28">
        <v>3.0668000000000002</v>
      </c>
      <c r="W28">
        <v>55</v>
      </c>
      <c r="X28">
        <v>52</v>
      </c>
      <c r="Y28">
        <v>191</v>
      </c>
      <c r="Z28">
        <v>27</v>
      </c>
      <c r="AA28">
        <v>33</v>
      </c>
      <c r="AB28" s="29">
        <v>45886</v>
      </c>
      <c r="AC28">
        <v>91</v>
      </c>
      <c r="AD28">
        <v>9089</v>
      </c>
    </row>
    <row r="29" spans="1:30" x14ac:dyDescent="0.25">
      <c r="A29">
        <v>12372046</v>
      </c>
      <c r="B29">
        <v>28</v>
      </c>
      <c r="C29">
        <v>8825</v>
      </c>
      <c r="D29" t="s">
        <v>166</v>
      </c>
      <c r="E29" t="s">
        <v>167</v>
      </c>
      <c r="F29" s="18" t="s">
        <v>30</v>
      </c>
      <c r="G29" s="28">
        <v>31796</v>
      </c>
      <c r="H29" t="s">
        <v>100</v>
      </c>
      <c r="I29" t="b">
        <v>0</v>
      </c>
      <c r="J29">
        <v>237</v>
      </c>
      <c r="K29" t="s">
        <v>101</v>
      </c>
      <c r="L29" t="s">
        <v>102</v>
      </c>
      <c r="M29" t="s">
        <v>103</v>
      </c>
      <c r="N29" t="s">
        <v>102</v>
      </c>
      <c r="O29">
        <v>6</v>
      </c>
      <c r="P29" t="s">
        <v>104</v>
      </c>
      <c r="Q29" t="s">
        <v>105</v>
      </c>
      <c r="R29" t="b">
        <v>0</v>
      </c>
      <c r="S29">
        <v>-98.985213233700748</v>
      </c>
      <c r="T29">
        <v>117.4972902141006</v>
      </c>
      <c r="U29">
        <v>150.69601018044756</v>
      </c>
      <c r="V29">
        <v>2.9548000000000001</v>
      </c>
      <c r="W29">
        <v>51</v>
      </c>
      <c r="X29">
        <v>51</v>
      </c>
      <c r="Y29">
        <v>28</v>
      </c>
      <c r="Z29">
        <v>28</v>
      </c>
      <c r="AA29">
        <v>33</v>
      </c>
      <c r="AB29" s="29">
        <v>45886</v>
      </c>
      <c r="AC29">
        <v>91</v>
      </c>
      <c r="AD29">
        <v>9089</v>
      </c>
    </row>
    <row r="30" spans="1:30" x14ac:dyDescent="0.25">
      <c r="A30">
        <v>12372045</v>
      </c>
      <c r="B30">
        <v>29</v>
      </c>
      <c r="C30">
        <v>17488</v>
      </c>
      <c r="D30" t="s">
        <v>150</v>
      </c>
      <c r="E30" t="s">
        <v>151</v>
      </c>
      <c r="F30" t="s">
        <v>36</v>
      </c>
      <c r="G30" s="28">
        <v>35884</v>
      </c>
      <c r="H30" t="s">
        <v>100</v>
      </c>
      <c r="I30" t="b">
        <v>0</v>
      </c>
      <c r="J30">
        <v>118</v>
      </c>
      <c r="K30" t="s">
        <v>152</v>
      </c>
      <c r="L30" t="s">
        <v>153</v>
      </c>
      <c r="M30" t="s">
        <v>154</v>
      </c>
      <c r="N30" t="s">
        <v>153</v>
      </c>
      <c r="O30">
        <v>3</v>
      </c>
      <c r="P30" t="s">
        <v>155</v>
      </c>
      <c r="Q30" t="s">
        <v>156</v>
      </c>
      <c r="R30" t="b">
        <v>0</v>
      </c>
      <c r="S30">
        <v>-88.0440431385246</v>
      </c>
      <c r="T30">
        <v>90.166166054326268</v>
      </c>
      <c r="U30">
        <v>145.15023895944023</v>
      </c>
      <c r="V30">
        <v>2.7913999999999999</v>
      </c>
      <c r="W30">
        <v>58</v>
      </c>
      <c r="X30">
        <v>52</v>
      </c>
      <c r="Y30">
        <v>23</v>
      </c>
      <c r="Z30">
        <v>29</v>
      </c>
      <c r="AA30">
        <v>33</v>
      </c>
      <c r="AB30" s="29">
        <v>45886</v>
      </c>
      <c r="AC30">
        <v>91</v>
      </c>
      <c r="AD30">
        <v>9089</v>
      </c>
    </row>
    <row r="31" spans="1:30" x14ac:dyDescent="0.25">
      <c r="A31">
        <v>12372044</v>
      </c>
      <c r="B31">
        <v>30</v>
      </c>
      <c r="C31">
        <v>23475</v>
      </c>
      <c r="D31" t="s">
        <v>214</v>
      </c>
      <c r="E31" t="s">
        <v>391</v>
      </c>
      <c r="F31" t="s">
        <v>392</v>
      </c>
      <c r="G31" s="28">
        <v>34789</v>
      </c>
      <c r="H31" t="s">
        <v>100</v>
      </c>
      <c r="I31" t="b">
        <v>0</v>
      </c>
      <c r="J31">
        <v>237</v>
      </c>
      <c r="K31" t="s">
        <v>101</v>
      </c>
      <c r="L31" t="s">
        <v>102</v>
      </c>
      <c r="M31" t="s">
        <v>103</v>
      </c>
      <c r="N31" t="s">
        <v>102</v>
      </c>
      <c r="O31">
        <v>6</v>
      </c>
      <c r="P31" t="s">
        <v>104</v>
      </c>
      <c r="Q31" t="s">
        <v>105</v>
      </c>
      <c r="R31" t="b">
        <v>0</v>
      </c>
      <c r="S31">
        <v>-34.618250993664475</v>
      </c>
      <c r="T31">
        <v>123.31165092424396</v>
      </c>
      <c r="U31">
        <v>143.09124054394874</v>
      </c>
      <c r="V31">
        <v>2.7517999999999998</v>
      </c>
      <c r="W31">
        <v>55</v>
      </c>
      <c r="X31">
        <v>52</v>
      </c>
      <c r="Y31">
        <v>123</v>
      </c>
      <c r="Z31">
        <v>31</v>
      </c>
      <c r="AA31">
        <v>33</v>
      </c>
      <c r="AB31" s="29">
        <v>45886</v>
      </c>
      <c r="AC31">
        <v>91</v>
      </c>
      <c r="AD31">
        <v>9089</v>
      </c>
    </row>
    <row r="32" spans="1:30" x14ac:dyDescent="0.25">
      <c r="A32">
        <v>12372043</v>
      </c>
      <c r="B32">
        <v>31</v>
      </c>
      <c r="C32">
        <v>11276</v>
      </c>
      <c r="D32" t="s">
        <v>455</v>
      </c>
      <c r="E32" t="s">
        <v>456</v>
      </c>
      <c r="F32" t="s">
        <v>203</v>
      </c>
      <c r="G32" s="28">
        <v>31753</v>
      </c>
      <c r="H32" t="s">
        <v>100</v>
      </c>
      <c r="I32" t="b">
        <v>0</v>
      </c>
      <c r="J32">
        <v>237</v>
      </c>
      <c r="K32" t="s">
        <v>101</v>
      </c>
      <c r="L32" t="s">
        <v>102</v>
      </c>
      <c r="M32" t="s">
        <v>103</v>
      </c>
      <c r="N32" t="s">
        <v>102</v>
      </c>
      <c r="O32">
        <v>6</v>
      </c>
      <c r="P32" t="s">
        <v>104</v>
      </c>
      <c r="Q32" t="s">
        <v>105</v>
      </c>
      <c r="R32" t="b">
        <v>0</v>
      </c>
      <c r="S32">
        <v>-80.094223855000479</v>
      </c>
      <c r="T32">
        <v>32.306481446207506</v>
      </c>
      <c r="U32">
        <v>117.64319394295566</v>
      </c>
      <c r="V32">
        <v>2.7359</v>
      </c>
      <c r="W32">
        <v>43</v>
      </c>
      <c r="X32">
        <v>43</v>
      </c>
      <c r="Y32">
        <v>16</v>
      </c>
      <c r="Z32">
        <v>30</v>
      </c>
      <c r="AA32">
        <v>33</v>
      </c>
      <c r="AB32" s="29">
        <v>45886</v>
      </c>
      <c r="AC32">
        <v>91</v>
      </c>
      <c r="AD32">
        <v>9089</v>
      </c>
    </row>
    <row r="33" spans="1:30" x14ac:dyDescent="0.25">
      <c r="A33">
        <v>12372042</v>
      </c>
      <c r="B33">
        <v>32</v>
      </c>
      <c r="C33">
        <v>18554</v>
      </c>
      <c r="D33" t="s">
        <v>221</v>
      </c>
      <c r="E33" t="s">
        <v>248</v>
      </c>
      <c r="F33" t="s">
        <v>249</v>
      </c>
      <c r="G33" s="28">
        <v>34761</v>
      </c>
      <c r="H33" t="s">
        <v>100</v>
      </c>
      <c r="I33" t="b">
        <v>0</v>
      </c>
      <c r="J33">
        <v>253</v>
      </c>
      <c r="K33" t="s">
        <v>130</v>
      </c>
      <c r="L33" t="s">
        <v>63</v>
      </c>
      <c r="M33" t="s">
        <v>63</v>
      </c>
      <c r="N33" t="s">
        <v>131</v>
      </c>
      <c r="O33">
        <v>4</v>
      </c>
      <c r="P33" t="s">
        <v>106</v>
      </c>
      <c r="Q33" t="s">
        <v>107</v>
      </c>
      <c r="R33" t="b">
        <v>0</v>
      </c>
      <c r="S33">
        <v>-77.612315749697544</v>
      </c>
      <c r="T33">
        <v>70.052740108124098</v>
      </c>
      <c r="U33">
        <v>141.23237295707986</v>
      </c>
      <c r="V33">
        <v>2.7160000000000002</v>
      </c>
      <c r="W33">
        <v>55</v>
      </c>
      <c r="X33">
        <v>52</v>
      </c>
      <c r="Y33">
        <v>22</v>
      </c>
      <c r="Z33">
        <v>32</v>
      </c>
      <c r="AA33">
        <v>33</v>
      </c>
      <c r="AB33" s="29">
        <v>45886</v>
      </c>
      <c r="AC33">
        <v>91</v>
      </c>
      <c r="AD33">
        <v>9089</v>
      </c>
    </row>
    <row r="34" spans="1:30" x14ac:dyDescent="0.25">
      <c r="A34">
        <v>12372065</v>
      </c>
      <c r="B34">
        <v>33</v>
      </c>
      <c r="C34">
        <v>21891</v>
      </c>
      <c r="D34" t="s">
        <v>422</v>
      </c>
      <c r="E34" t="s">
        <v>423</v>
      </c>
      <c r="F34" t="s">
        <v>61</v>
      </c>
      <c r="G34" s="28">
        <v>33983</v>
      </c>
      <c r="H34" t="s">
        <v>100</v>
      </c>
      <c r="I34" t="b">
        <v>0</v>
      </c>
      <c r="J34">
        <v>237</v>
      </c>
      <c r="K34" t="s">
        <v>101</v>
      </c>
      <c r="L34" t="s">
        <v>102</v>
      </c>
      <c r="M34" t="s">
        <v>103</v>
      </c>
      <c r="N34" t="s">
        <v>102</v>
      </c>
      <c r="O34">
        <v>6</v>
      </c>
      <c r="P34" t="s">
        <v>104</v>
      </c>
      <c r="Q34" t="s">
        <v>105</v>
      </c>
      <c r="R34" t="b">
        <v>0</v>
      </c>
      <c r="S34">
        <v>-40.059575356026571</v>
      </c>
      <c r="T34">
        <v>90.633105715972349</v>
      </c>
      <c r="U34">
        <v>117.45705610972729</v>
      </c>
      <c r="V34">
        <v>2.6695000000000002</v>
      </c>
      <c r="W34">
        <v>44</v>
      </c>
      <c r="X34">
        <v>44</v>
      </c>
      <c r="Y34">
        <v>71</v>
      </c>
      <c r="Z34">
        <v>34</v>
      </c>
      <c r="AA34">
        <v>33</v>
      </c>
      <c r="AB34" s="29">
        <v>45886</v>
      </c>
      <c r="AC34">
        <v>91</v>
      </c>
      <c r="AD34">
        <v>9089</v>
      </c>
    </row>
    <row r="35" spans="1:30" x14ac:dyDescent="0.25">
      <c r="A35">
        <v>12372074</v>
      </c>
      <c r="B35">
        <v>34</v>
      </c>
      <c r="C35">
        <v>26096</v>
      </c>
      <c r="D35" t="s">
        <v>286</v>
      </c>
      <c r="E35" t="s">
        <v>287</v>
      </c>
      <c r="F35" t="s">
        <v>288</v>
      </c>
      <c r="G35" s="28">
        <v>37287</v>
      </c>
      <c r="H35" t="s">
        <v>100</v>
      </c>
      <c r="I35" t="b">
        <v>0</v>
      </c>
      <c r="J35">
        <v>237</v>
      </c>
      <c r="K35" t="s">
        <v>101</v>
      </c>
      <c r="L35" t="s">
        <v>102</v>
      </c>
      <c r="M35" t="s">
        <v>103</v>
      </c>
      <c r="N35" t="s">
        <v>102</v>
      </c>
      <c r="O35">
        <v>6</v>
      </c>
      <c r="P35" t="s">
        <v>104</v>
      </c>
      <c r="Q35" t="s">
        <v>105</v>
      </c>
      <c r="R35" t="b">
        <v>0</v>
      </c>
      <c r="S35">
        <v>-75.519193034847788</v>
      </c>
      <c r="T35">
        <v>79.56354692247946</v>
      </c>
      <c r="U35">
        <v>137.26047424619364</v>
      </c>
      <c r="V35">
        <v>2.6396000000000002</v>
      </c>
      <c r="W35">
        <v>58</v>
      </c>
      <c r="X35">
        <v>52</v>
      </c>
      <c r="Y35">
        <v>29</v>
      </c>
      <c r="Z35">
        <v>33</v>
      </c>
      <c r="AA35">
        <v>33</v>
      </c>
      <c r="AB35" s="29">
        <v>45886</v>
      </c>
      <c r="AC35">
        <v>91</v>
      </c>
      <c r="AD35">
        <v>9089</v>
      </c>
    </row>
    <row r="36" spans="1:30" x14ac:dyDescent="0.25">
      <c r="A36">
        <v>12372075</v>
      </c>
      <c r="B36">
        <v>35</v>
      </c>
      <c r="C36">
        <v>17646</v>
      </c>
      <c r="D36" t="s">
        <v>128</v>
      </c>
      <c r="E36" t="s">
        <v>129</v>
      </c>
      <c r="F36" t="s">
        <v>33</v>
      </c>
      <c r="G36" s="28">
        <v>34578</v>
      </c>
      <c r="H36" t="s">
        <v>100</v>
      </c>
      <c r="I36" t="b">
        <v>0</v>
      </c>
      <c r="J36">
        <v>253</v>
      </c>
      <c r="K36" t="s">
        <v>130</v>
      </c>
      <c r="L36" t="s">
        <v>63</v>
      </c>
      <c r="M36" t="s">
        <v>63</v>
      </c>
      <c r="N36" t="s">
        <v>131</v>
      </c>
      <c r="O36">
        <v>4</v>
      </c>
      <c r="P36" t="s">
        <v>106</v>
      </c>
      <c r="Q36" t="s">
        <v>107</v>
      </c>
      <c r="R36" t="b">
        <v>0</v>
      </c>
      <c r="S36">
        <v>-76.215458141811311</v>
      </c>
      <c r="T36">
        <v>98.284122174571323</v>
      </c>
      <c r="U36">
        <v>129.60597281456754</v>
      </c>
      <c r="V36">
        <v>2.5920999999999998</v>
      </c>
      <c r="W36">
        <v>50</v>
      </c>
      <c r="X36">
        <v>50</v>
      </c>
      <c r="Y36">
        <v>43</v>
      </c>
      <c r="Z36">
        <v>37</v>
      </c>
      <c r="AA36">
        <v>33</v>
      </c>
      <c r="AB36" s="29">
        <v>45886</v>
      </c>
      <c r="AC36">
        <v>91</v>
      </c>
      <c r="AD36">
        <v>9089</v>
      </c>
    </row>
    <row r="37" spans="1:30" x14ac:dyDescent="0.25">
      <c r="A37">
        <v>12372076</v>
      </c>
      <c r="B37">
        <v>36</v>
      </c>
      <c r="C37">
        <v>13126</v>
      </c>
      <c r="D37" t="s">
        <v>204</v>
      </c>
      <c r="E37" t="s">
        <v>205</v>
      </c>
      <c r="F37" t="s">
        <v>42</v>
      </c>
      <c r="G37" s="28">
        <v>32247</v>
      </c>
      <c r="H37" t="s">
        <v>100</v>
      </c>
      <c r="I37" t="b">
        <v>0</v>
      </c>
      <c r="J37">
        <v>39</v>
      </c>
      <c r="K37" t="s">
        <v>186</v>
      </c>
      <c r="L37" t="s">
        <v>187</v>
      </c>
      <c r="M37" t="s">
        <v>188</v>
      </c>
      <c r="N37" t="s">
        <v>187</v>
      </c>
      <c r="O37">
        <v>6</v>
      </c>
      <c r="P37" t="s">
        <v>104</v>
      </c>
      <c r="Q37" t="s">
        <v>105</v>
      </c>
      <c r="R37" t="b">
        <v>0</v>
      </c>
      <c r="S37">
        <v>-65.60617342747237</v>
      </c>
      <c r="T37">
        <v>118.48753318017479</v>
      </c>
      <c r="U37">
        <v>131.34053550066147</v>
      </c>
      <c r="V37">
        <v>2.5752999999999999</v>
      </c>
      <c r="W37">
        <v>51</v>
      </c>
      <c r="X37">
        <v>51</v>
      </c>
      <c r="Y37">
        <v>70</v>
      </c>
      <c r="Z37">
        <v>35</v>
      </c>
      <c r="AA37">
        <v>33</v>
      </c>
      <c r="AB37" s="29">
        <v>45886</v>
      </c>
      <c r="AC37">
        <v>91</v>
      </c>
      <c r="AD37">
        <v>9089</v>
      </c>
    </row>
    <row r="38" spans="1:30" x14ac:dyDescent="0.25">
      <c r="A38">
        <v>12372095</v>
      </c>
      <c r="B38">
        <v>37</v>
      </c>
      <c r="C38">
        <v>11889</v>
      </c>
      <c r="D38" t="s">
        <v>410</v>
      </c>
      <c r="E38" t="s">
        <v>415</v>
      </c>
      <c r="F38" t="s">
        <v>202</v>
      </c>
      <c r="G38" s="28">
        <v>31799</v>
      </c>
      <c r="H38" t="s">
        <v>100</v>
      </c>
      <c r="I38" t="b">
        <v>0</v>
      </c>
      <c r="J38">
        <v>162</v>
      </c>
      <c r="K38" t="s">
        <v>416</v>
      </c>
      <c r="L38" t="s">
        <v>417</v>
      </c>
      <c r="M38" t="s">
        <v>418</v>
      </c>
      <c r="N38" t="s">
        <v>417</v>
      </c>
      <c r="O38">
        <v>2</v>
      </c>
      <c r="P38" t="s">
        <v>125</v>
      </c>
      <c r="Q38" t="s">
        <v>126</v>
      </c>
      <c r="R38" t="b">
        <v>0</v>
      </c>
      <c r="S38">
        <v>-51.044203120377475</v>
      </c>
      <c r="T38">
        <v>117.44869015109397</v>
      </c>
      <c r="U38">
        <v>133.87779913415707</v>
      </c>
      <c r="V38">
        <v>2.5746000000000002</v>
      </c>
      <c r="W38">
        <v>58</v>
      </c>
      <c r="X38">
        <v>52</v>
      </c>
      <c r="Y38">
        <v>84</v>
      </c>
      <c r="Z38">
        <v>36</v>
      </c>
      <c r="AA38">
        <v>33</v>
      </c>
      <c r="AB38" s="29">
        <v>45886</v>
      </c>
      <c r="AC38">
        <v>91</v>
      </c>
      <c r="AD38">
        <v>9089</v>
      </c>
    </row>
    <row r="39" spans="1:30" x14ac:dyDescent="0.25">
      <c r="A39">
        <v>12372096</v>
      </c>
      <c r="B39">
        <v>38</v>
      </c>
      <c r="C39">
        <v>9771</v>
      </c>
      <c r="D39" s="18" t="s">
        <v>159</v>
      </c>
      <c r="E39" s="18" t="s">
        <v>160</v>
      </c>
      <c r="F39" s="18" t="s">
        <v>43</v>
      </c>
      <c r="G39" s="28">
        <v>32093</v>
      </c>
      <c r="H39" t="s">
        <v>100</v>
      </c>
      <c r="I39" t="b">
        <v>0</v>
      </c>
      <c r="J39">
        <v>13</v>
      </c>
      <c r="K39" t="s">
        <v>122</v>
      </c>
      <c r="L39" t="s">
        <v>123</v>
      </c>
      <c r="M39" t="s">
        <v>124</v>
      </c>
      <c r="N39" t="s">
        <v>123</v>
      </c>
      <c r="O39">
        <v>2</v>
      </c>
      <c r="P39" t="s">
        <v>125</v>
      </c>
      <c r="Q39" t="s">
        <v>126</v>
      </c>
      <c r="R39" t="b">
        <v>0</v>
      </c>
      <c r="S39">
        <v>-66.457435561337164</v>
      </c>
      <c r="T39">
        <v>78.929298326486133</v>
      </c>
      <c r="U39">
        <v>105.43684208895942</v>
      </c>
      <c r="V39">
        <v>2.5716000000000001</v>
      </c>
      <c r="W39">
        <v>41</v>
      </c>
      <c r="X39">
        <v>41</v>
      </c>
      <c r="Y39">
        <v>38</v>
      </c>
      <c r="Z39">
        <v>38</v>
      </c>
      <c r="AA39">
        <v>33</v>
      </c>
      <c r="AB39" s="29">
        <v>45886</v>
      </c>
      <c r="AC39">
        <v>91</v>
      </c>
      <c r="AD39">
        <v>9089</v>
      </c>
    </row>
    <row r="40" spans="1:30" x14ac:dyDescent="0.25">
      <c r="A40">
        <v>12372097</v>
      </c>
      <c r="B40">
        <v>39</v>
      </c>
      <c r="C40">
        <v>17780</v>
      </c>
      <c r="D40" t="s">
        <v>205</v>
      </c>
      <c r="E40" t="s">
        <v>281</v>
      </c>
      <c r="F40" s="18" t="s">
        <v>282</v>
      </c>
      <c r="G40" s="28">
        <v>33388</v>
      </c>
      <c r="H40" t="s">
        <v>100</v>
      </c>
      <c r="I40" t="b">
        <v>0</v>
      </c>
      <c r="J40">
        <v>39</v>
      </c>
      <c r="K40" t="s">
        <v>186</v>
      </c>
      <c r="L40" t="s">
        <v>187</v>
      </c>
      <c r="M40" t="s">
        <v>188</v>
      </c>
      <c r="N40" t="s">
        <v>187</v>
      </c>
      <c r="O40">
        <v>6</v>
      </c>
      <c r="P40" t="s">
        <v>104</v>
      </c>
      <c r="Q40" t="s">
        <v>105</v>
      </c>
      <c r="R40" t="b">
        <v>0</v>
      </c>
      <c r="S40">
        <v>-57.2796535741534</v>
      </c>
      <c r="T40">
        <v>85.647118641488902</v>
      </c>
      <c r="U40">
        <v>133.11463927517826</v>
      </c>
      <c r="V40">
        <v>2.5598999999999998</v>
      </c>
      <c r="W40">
        <v>53</v>
      </c>
      <c r="X40">
        <v>52</v>
      </c>
      <c r="Y40">
        <v>48</v>
      </c>
      <c r="Z40">
        <v>40</v>
      </c>
      <c r="AA40">
        <v>33</v>
      </c>
      <c r="AB40" s="29">
        <v>45886</v>
      </c>
      <c r="AC40">
        <v>91</v>
      </c>
      <c r="AD40">
        <v>9089</v>
      </c>
    </row>
    <row r="41" spans="1:30" x14ac:dyDescent="0.25">
      <c r="A41">
        <v>12372098</v>
      </c>
      <c r="B41">
        <v>40</v>
      </c>
      <c r="C41">
        <v>23465</v>
      </c>
      <c r="D41" t="s">
        <v>127</v>
      </c>
      <c r="E41" t="s">
        <v>356</v>
      </c>
      <c r="F41" t="s">
        <v>357</v>
      </c>
      <c r="G41" s="28">
        <v>34850</v>
      </c>
      <c r="H41" t="s">
        <v>100</v>
      </c>
      <c r="I41" t="b">
        <v>0</v>
      </c>
      <c r="J41">
        <v>237</v>
      </c>
      <c r="K41" t="s">
        <v>101</v>
      </c>
      <c r="L41" t="s">
        <v>102</v>
      </c>
      <c r="M41" t="s">
        <v>103</v>
      </c>
      <c r="N41" t="s">
        <v>102</v>
      </c>
      <c r="O41">
        <v>6</v>
      </c>
      <c r="P41" t="s">
        <v>104</v>
      </c>
      <c r="Q41" t="s">
        <v>105</v>
      </c>
      <c r="R41" t="b">
        <v>0</v>
      </c>
      <c r="S41">
        <v>-53.015660123677648</v>
      </c>
      <c r="T41">
        <v>71.212422770766764</v>
      </c>
      <c r="U41">
        <v>129.9488797290673</v>
      </c>
      <c r="V41">
        <v>2.4990000000000001</v>
      </c>
      <c r="W41">
        <v>53</v>
      </c>
      <c r="X41">
        <v>52</v>
      </c>
      <c r="Y41">
        <v>34</v>
      </c>
      <c r="Z41">
        <v>39</v>
      </c>
      <c r="AA41">
        <v>33</v>
      </c>
      <c r="AB41" s="29">
        <v>45886</v>
      </c>
      <c r="AC41">
        <v>91</v>
      </c>
      <c r="AD41">
        <v>9089</v>
      </c>
    </row>
    <row r="42" spans="1:30" x14ac:dyDescent="0.25">
      <c r="A42">
        <v>12372099</v>
      </c>
      <c r="B42">
        <v>41</v>
      </c>
      <c r="C42">
        <v>21554</v>
      </c>
      <c r="D42" s="18" t="s">
        <v>212</v>
      </c>
      <c r="E42" s="18" t="s">
        <v>213</v>
      </c>
      <c r="F42" s="18" t="s">
        <v>56</v>
      </c>
      <c r="G42" s="28">
        <v>34121</v>
      </c>
      <c r="H42" t="s">
        <v>100</v>
      </c>
      <c r="I42" t="b">
        <v>0</v>
      </c>
      <c r="J42">
        <v>237</v>
      </c>
      <c r="K42" t="s">
        <v>101</v>
      </c>
      <c r="L42" t="s">
        <v>102</v>
      </c>
      <c r="M42" t="s">
        <v>103</v>
      </c>
      <c r="N42" t="s">
        <v>102</v>
      </c>
      <c r="O42">
        <v>6</v>
      </c>
      <c r="P42" t="s">
        <v>104</v>
      </c>
      <c r="Q42" t="s">
        <v>105</v>
      </c>
      <c r="R42" t="b">
        <v>0</v>
      </c>
      <c r="S42">
        <v>-66.906546808804961</v>
      </c>
      <c r="T42">
        <v>71.453345333787837</v>
      </c>
      <c r="U42">
        <v>121.8169434943114</v>
      </c>
      <c r="V42">
        <v>2.4363000000000001</v>
      </c>
      <c r="W42">
        <v>50</v>
      </c>
      <c r="X42">
        <v>50</v>
      </c>
      <c r="Y42">
        <v>33</v>
      </c>
      <c r="Z42">
        <v>42</v>
      </c>
      <c r="AA42">
        <v>33</v>
      </c>
      <c r="AB42" s="29">
        <v>45886</v>
      </c>
      <c r="AC42">
        <v>91</v>
      </c>
      <c r="AD42">
        <v>9089</v>
      </c>
    </row>
    <row r="43" spans="1:30" x14ac:dyDescent="0.25">
      <c r="A43">
        <v>12372100</v>
      </c>
      <c r="B43">
        <v>42</v>
      </c>
      <c r="C43">
        <v>17606</v>
      </c>
      <c r="D43" t="s">
        <v>358</v>
      </c>
      <c r="E43" t="s">
        <v>359</v>
      </c>
      <c r="F43" t="s">
        <v>360</v>
      </c>
      <c r="G43" s="28">
        <v>34066</v>
      </c>
      <c r="H43" t="s">
        <v>100</v>
      </c>
      <c r="I43" t="b">
        <v>0</v>
      </c>
      <c r="J43">
        <v>237</v>
      </c>
      <c r="K43" t="s">
        <v>101</v>
      </c>
      <c r="L43" t="s">
        <v>102</v>
      </c>
      <c r="M43" t="s">
        <v>103</v>
      </c>
      <c r="N43" t="s">
        <v>102</v>
      </c>
      <c r="O43">
        <v>6</v>
      </c>
      <c r="P43" t="s">
        <v>104</v>
      </c>
      <c r="Q43" t="s">
        <v>105</v>
      </c>
      <c r="R43" t="b">
        <v>0</v>
      </c>
      <c r="S43">
        <v>-24.547005154264312</v>
      </c>
      <c r="T43">
        <v>96.210418828924375</v>
      </c>
      <c r="U43">
        <v>112.96050385975829</v>
      </c>
      <c r="V43">
        <v>2.4034</v>
      </c>
      <c r="W43">
        <v>47</v>
      </c>
      <c r="X43">
        <v>47</v>
      </c>
      <c r="Y43">
        <v>126</v>
      </c>
      <c r="Z43">
        <v>41</v>
      </c>
      <c r="AA43">
        <v>33</v>
      </c>
      <c r="AB43" s="29">
        <v>45886</v>
      </c>
      <c r="AC43">
        <v>91</v>
      </c>
      <c r="AD43">
        <v>9089</v>
      </c>
    </row>
    <row r="44" spans="1:30" x14ac:dyDescent="0.25">
      <c r="A44">
        <v>12372102</v>
      </c>
      <c r="B44">
        <v>43</v>
      </c>
      <c r="C44">
        <v>14181</v>
      </c>
      <c r="D44" t="s">
        <v>146</v>
      </c>
      <c r="E44" t="s">
        <v>254</v>
      </c>
      <c r="F44" t="s">
        <v>255</v>
      </c>
      <c r="G44" s="28">
        <v>33982</v>
      </c>
      <c r="H44" t="s">
        <v>100</v>
      </c>
      <c r="I44" t="b">
        <v>0</v>
      </c>
      <c r="J44">
        <v>21</v>
      </c>
      <c r="K44" t="s">
        <v>222</v>
      </c>
      <c r="L44" t="s">
        <v>223</v>
      </c>
      <c r="M44" t="s">
        <v>224</v>
      </c>
      <c r="N44" t="s">
        <v>223</v>
      </c>
      <c r="O44">
        <v>4</v>
      </c>
      <c r="P44" t="s">
        <v>106</v>
      </c>
      <c r="Q44" t="s">
        <v>107</v>
      </c>
      <c r="R44" t="b">
        <v>0</v>
      </c>
      <c r="S44">
        <v>-60.212975041430511</v>
      </c>
      <c r="T44">
        <v>96.996055442343874</v>
      </c>
      <c r="U44">
        <v>123.97330205598122</v>
      </c>
      <c r="V44">
        <v>2.3841000000000001</v>
      </c>
      <c r="W44">
        <v>57</v>
      </c>
      <c r="X44">
        <v>52</v>
      </c>
      <c r="Y44">
        <v>62</v>
      </c>
      <c r="Z44">
        <v>43</v>
      </c>
      <c r="AA44">
        <v>33</v>
      </c>
      <c r="AB44" s="29">
        <v>45886</v>
      </c>
      <c r="AC44">
        <v>91</v>
      </c>
      <c r="AD44">
        <v>9089</v>
      </c>
    </row>
    <row r="45" spans="1:30" x14ac:dyDescent="0.25">
      <c r="A45">
        <v>12372109</v>
      </c>
      <c r="B45">
        <v>44</v>
      </c>
      <c r="C45">
        <v>19870</v>
      </c>
      <c r="D45" t="s">
        <v>180</v>
      </c>
      <c r="E45" t="s">
        <v>181</v>
      </c>
      <c r="F45" t="s">
        <v>59</v>
      </c>
      <c r="G45" s="28">
        <v>34032</v>
      </c>
      <c r="H45" t="s">
        <v>100</v>
      </c>
      <c r="I45" t="b">
        <v>0</v>
      </c>
      <c r="J45">
        <v>237</v>
      </c>
      <c r="K45" t="s">
        <v>101</v>
      </c>
      <c r="L45" t="s">
        <v>102</v>
      </c>
      <c r="M45" t="s">
        <v>103</v>
      </c>
      <c r="N45" t="s">
        <v>102</v>
      </c>
      <c r="O45">
        <v>6</v>
      </c>
      <c r="P45" t="s">
        <v>104</v>
      </c>
      <c r="Q45" t="s">
        <v>105</v>
      </c>
      <c r="R45" t="b">
        <v>0</v>
      </c>
      <c r="S45">
        <v>-64.808223443925797</v>
      </c>
      <c r="T45">
        <v>78.483333216428107</v>
      </c>
      <c r="U45">
        <v>111.588787881464</v>
      </c>
      <c r="V45">
        <v>2.3742000000000001</v>
      </c>
      <c r="W45">
        <v>47</v>
      </c>
      <c r="X45">
        <v>47</v>
      </c>
      <c r="Y45">
        <v>44</v>
      </c>
      <c r="Z45">
        <v>44</v>
      </c>
      <c r="AA45">
        <v>33</v>
      </c>
      <c r="AB45" s="29">
        <v>45886</v>
      </c>
      <c r="AC45">
        <v>91</v>
      </c>
      <c r="AD45">
        <v>9089</v>
      </c>
    </row>
    <row r="46" spans="1:30" x14ac:dyDescent="0.25">
      <c r="A46">
        <v>12372103</v>
      </c>
      <c r="B46">
        <v>45</v>
      </c>
      <c r="C46">
        <v>25569</v>
      </c>
      <c r="D46" t="s">
        <v>351</v>
      </c>
      <c r="E46" t="s">
        <v>352</v>
      </c>
      <c r="F46" t="s">
        <v>353</v>
      </c>
      <c r="G46" s="28">
        <v>35250</v>
      </c>
      <c r="H46" t="s">
        <v>100</v>
      </c>
      <c r="I46" t="b">
        <v>0</v>
      </c>
      <c r="J46">
        <v>237</v>
      </c>
      <c r="K46" t="s">
        <v>101</v>
      </c>
      <c r="L46" t="s">
        <v>102</v>
      </c>
      <c r="M46" t="s">
        <v>103</v>
      </c>
      <c r="N46" t="s">
        <v>102</v>
      </c>
      <c r="O46">
        <v>6</v>
      </c>
      <c r="P46" t="s">
        <v>104</v>
      </c>
      <c r="Q46" t="s">
        <v>105</v>
      </c>
      <c r="R46" t="b">
        <v>0</v>
      </c>
      <c r="S46">
        <v>-37.247754601335288</v>
      </c>
      <c r="T46">
        <v>109.18690396167941</v>
      </c>
      <c r="U46">
        <v>122.21198244834082</v>
      </c>
      <c r="V46">
        <v>2.3502000000000001</v>
      </c>
      <c r="W46">
        <v>61</v>
      </c>
      <c r="X46">
        <v>52</v>
      </c>
      <c r="Y46">
        <v>142</v>
      </c>
      <c r="Z46">
        <v>45</v>
      </c>
      <c r="AA46">
        <v>33</v>
      </c>
      <c r="AB46" s="29">
        <v>45886</v>
      </c>
      <c r="AC46">
        <v>91</v>
      </c>
      <c r="AD46">
        <v>9089</v>
      </c>
    </row>
    <row r="47" spans="1:30" x14ac:dyDescent="0.25">
      <c r="A47">
        <v>12372104</v>
      </c>
      <c r="B47">
        <v>46</v>
      </c>
      <c r="C47">
        <v>16841</v>
      </c>
      <c r="D47" t="s">
        <v>206</v>
      </c>
      <c r="E47" t="s">
        <v>207</v>
      </c>
      <c r="F47" t="s">
        <v>208</v>
      </c>
      <c r="G47" s="28">
        <v>36003</v>
      </c>
      <c r="H47" t="s">
        <v>100</v>
      </c>
      <c r="I47" t="b">
        <v>0</v>
      </c>
      <c r="J47">
        <v>13</v>
      </c>
      <c r="K47" t="s">
        <v>122</v>
      </c>
      <c r="L47" t="s">
        <v>123</v>
      </c>
      <c r="M47" t="s">
        <v>124</v>
      </c>
      <c r="N47" t="s">
        <v>123</v>
      </c>
      <c r="O47">
        <v>2</v>
      </c>
      <c r="P47" t="s">
        <v>125</v>
      </c>
      <c r="Q47" t="s">
        <v>126</v>
      </c>
      <c r="R47" t="b">
        <v>0</v>
      </c>
      <c r="S47">
        <v>-66.68362663125113</v>
      </c>
      <c r="T47">
        <v>86.068269951100689</v>
      </c>
      <c r="U47">
        <v>116.83230512307513</v>
      </c>
      <c r="V47">
        <v>2.2907999999999999</v>
      </c>
      <c r="W47">
        <v>51</v>
      </c>
      <c r="X47">
        <v>51</v>
      </c>
      <c r="Y47">
        <v>49</v>
      </c>
      <c r="Z47">
        <v>46</v>
      </c>
      <c r="AA47">
        <v>33</v>
      </c>
      <c r="AB47" s="29">
        <v>45886</v>
      </c>
      <c r="AC47">
        <v>91</v>
      </c>
      <c r="AD47">
        <v>9089</v>
      </c>
    </row>
    <row r="48" spans="1:30" x14ac:dyDescent="0.25">
      <c r="A48">
        <v>12372105</v>
      </c>
      <c r="B48">
        <v>47</v>
      </c>
      <c r="C48">
        <v>12423</v>
      </c>
      <c r="D48" t="s">
        <v>197</v>
      </c>
      <c r="E48" t="s">
        <v>198</v>
      </c>
      <c r="F48" t="s">
        <v>52</v>
      </c>
      <c r="G48" s="28">
        <v>31175</v>
      </c>
      <c r="H48" t="s">
        <v>100</v>
      </c>
      <c r="I48" t="b">
        <v>0</v>
      </c>
      <c r="J48">
        <v>237</v>
      </c>
      <c r="K48" t="s">
        <v>101</v>
      </c>
      <c r="L48" t="s">
        <v>102</v>
      </c>
      <c r="M48" t="s">
        <v>103</v>
      </c>
      <c r="N48" t="s">
        <v>102</v>
      </c>
      <c r="O48">
        <v>6</v>
      </c>
      <c r="P48" t="s">
        <v>104</v>
      </c>
      <c r="Q48" t="s">
        <v>105</v>
      </c>
      <c r="R48" t="b">
        <v>0</v>
      </c>
      <c r="S48">
        <v>-54.486282893328749</v>
      </c>
      <c r="T48">
        <v>72.459244934209352</v>
      </c>
      <c r="U48">
        <v>106.55310822983648</v>
      </c>
      <c r="V48">
        <v>2.2671000000000001</v>
      </c>
      <c r="W48">
        <v>47</v>
      </c>
      <c r="X48">
        <v>47</v>
      </c>
      <c r="Y48">
        <v>52</v>
      </c>
      <c r="Z48">
        <v>49</v>
      </c>
      <c r="AA48">
        <v>33</v>
      </c>
      <c r="AB48" s="29">
        <v>45886</v>
      </c>
      <c r="AC48">
        <v>91</v>
      </c>
      <c r="AD48">
        <v>9089</v>
      </c>
    </row>
    <row r="49" spans="1:30" x14ac:dyDescent="0.25">
      <c r="A49">
        <v>12372106</v>
      </c>
      <c r="B49">
        <v>48</v>
      </c>
      <c r="C49">
        <v>7399</v>
      </c>
      <c r="D49" t="s">
        <v>211</v>
      </c>
      <c r="E49" t="s">
        <v>269</v>
      </c>
      <c r="F49" t="s">
        <v>28</v>
      </c>
      <c r="G49" s="28">
        <v>29171</v>
      </c>
      <c r="H49" t="s">
        <v>100</v>
      </c>
      <c r="I49" t="b">
        <v>0</v>
      </c>
      <c r="J49">
        <v>237</v>
      </c>
      <c r="K49" t="s">
        <v>101</v>
      </c>
      <c r="L49" t="s">
        <v>102</v>
      </c>
      <c r="M49" t="s">
        <v>103</v>
      </c>
      <c r="N49" t="s">
        <v>102</v>
      </c>
      <c r="O49">
        <v>6</v>
      </c>
      <c r="P49" t="s">
        <v>104</v>
      </c>
      <c r="Q49" t="s">
        <v>105</v>
      </c>
      <c r="R49" t="b">
        <v>0</v>
      </c>
      <c r="S49">
        <v>-76.856422229935944</v>
      </c>
      <c r="T49">
        <v>92.731216622410656</v>
      </c>
      <c r="U49">
        <v>117.31266117449447</v>
      </c>
      <c r="V49">
        <v>2.2559999999999998</v>
      </c>
      <c r="W49">
        <v>53</v>
      </c>
      <c r="X49">
        <v>52</v>
      </c>
      <c r="Y49">
        <v>50</v>
      </c>
      <c r="Z49">
        <v>48</v>
      </c>
      <c r="AA49">
        <v>33</v>
      </c>
      <c r="AB49" s="29">
        <v>45886</v>
      </c>
      <c r="AC49">
        <v>91</v>
      </c>
      <c r="AD49">
        <v>9089</v>
      </c>
    </row>
    <row r="50" spans="1:30" x14ac:dyDescent="0.25">
      <c r="A50">
        <v>12372107</v>
      </c>
      <c r="B50">
        <v>49</v>
      </c>
      <c r="C50">
        <v>6430</v>
      </c>
      <c r="D50" t="s">
        <v>194</v>
      </c>
      <c r="E50" t="s">
        <v>195</v>
      </c>
      <c r="F50" s="18" t="s">
        <v>196</v>
      </c>
      <c r="G50" s="28">
        <v>29418</v>
      </c>
      <c r="H50" t="s">
        <v>100</v>
      </c>
      <c r="I50" t="b">
        <v>0</v>
      </c>
      <c r="J50">
        <v>13</v>
      </c>
      <c r="K50" t="s">
        <v>122</v>
      </c>
      <c r="L50" t="s">
        <v>123</v>
      </c>
      <c r="M50" t="s">
        <v>124</v>
      </c>
      <c r="N50" t="s">
        <v>123</v>
      </c>
      <c r="O50">
        <v>2</v>
      </c>
      <c r="P50" t="s">
        <v>125</v>
      </c>
      <c r="Q50" t="s">
        <v>126</v>
      </c>
      <c r="R50" t="b">
        <v>0</v>
      </c>
      <c r="S50">
        <v>-73.646966169060406</v>
      </c>
      <c r="T50">
        <v>38.681942446727135</v>
      </c>
      <c r="U50">
        <v>110.24238027830317</v>
      </c>
      <c r="V50">
        <v>2.2498</v>
      </c>
      <c r="W50">
        <v>49</v>
      </c>
      <c r="X50">
        <v>49</v>
      </c>
      <c r="Y50">
        <v>18</v>
      </c>
      <c r="Z50">
        <v>47</v>
      </c>
      <c r="AA50">
        <v>33</v>
      </c>
      <c r="AB50" s="29">
        <v>45886</v>
      </c>
      <c r="AC50">
        <v>91</v>
      </c>
      <c r="AD50">
        <v>9089</v>
      </c>
    </row>
    <row r="51" spans="1:30" x14ac:dyDescent="0.25">
      <c r="A51">
        <v>12372108</v>
      </c>
      <c r="B51">
        <v>50</v>
      </c>
      <c r="C51">
        <v>29767</v>
      </c>
      <c r="D51" t="s">
        <v>410</v>
      </c>
      <c r="E51" t="s">
        <v>411</v>
      </c>
      <c r="F51" t="s">
        <v>401</v>
      </c>
      <c r="G51" s="28">
        <v>36374</v>
      </c>
      <c r="H51" t="s">
        <v>100</v>
      </c>
      <c r="I51" t="b">
        <v>0</v>
      </c>
      <c r="J51">
        <v>237</v>
      </c>
      <c r="K51" t="s">
        <v>101</v>
      </c>
      <c r="L51" t="s">
        <v>102</v>
      </c>
      <c r="M51" t="s">
        <v>103</v>
      </c>
      <c r="N51" t="s">
        <v>102</v>
      </c>
      <c r="O51">
        <v>6</v>
      </c>
      <c r="P51" t="s">
        <v>104</v>
      </c>
      <c r="Q51" t="s">
        <v>105</v>
      </c>
      <c r="R51" t="b">
        <v>0</v>
      </c>
      <c r="S51">
        <v>-22.427880211050237</v>
      </c>
      <c r="T51">
        <v>104.98928062958971</v>
      </c>
      <c r="U51">
        <v>116.36544371954743</v>
      </c>
      <c r="V51">
        <v>2.2378</v>
      </c>
      <c r="W51">
        <v>57</v>
      </c>
      <c r="X51">
        <v>52</v>
      </c>
      <c r="Y51">
        <v>206</v>
      </c>
      <c r="Z51">
        <v>50</v>
      </c>
      <c r="AA51">
        <v>33</v>
      </c>
      <c r="AB51" s="29">
        <v>45886</v>
      </c>
      <c r="AC51">
        <v>91</v>
      </c>
      <c r="AD51">
        <v>9089</v>
      </c>
    </row>
    <row r="52" spans="1:30" x14ac:dyDescent="0.25">
      <c r="A52">
        <v>12372094</v>
      </c>
      <c r="B52">
        <v>51</v>
      </c>
      <c r="C52">
        <v>14636</v>
      </c>
      <c r="D52" t="s">
        <v>132</v>
      </c>
      <c r="E52" t="s">
        <v>133</v>
      </c>
      <c r="F52" t="s">
        <v>46</v>
      </c>
      <c r="G52" s="28">
        <v>34177</v>
      </c>
      <c r="H52" t="s">
        <v>100</v>
      </c>
      <c r="I52" t="b">
        <v>0</v>
      </c>
      <c r="J52">
        <v>237</v>
      </c>
      <c r="K52" t="s">
        <v>101</v>
      </c>
      <c r="L52" t="s">
        <v>102</v>
      </c>
      <c r="M52" t="s">
        <v>103</v>
      </c>
      <c r="N52" t="s">
        <v>102</v>
      </c>
      <c r="O52">
        <v>6</v>
      </c>
      <c r="P52" t="s">
        <v>104</v>
      </c>
      <c r="Q52" t="s">
        <v>105</v>
      </c>
      <c r="R52" t="b">
        <v>0</v>
      </c>
      <c r="S52">
        <v>-54.710861548515155</v>
      </c>
      <c r="T52">
        <v>80.941683315773986</v>
      </c>
      <c r="U52">
        <v>95.662248507233087</v>
      </c>
      <c r="V52">
        <v>2.2246999999999999</v>
      </c>
      <c r="W52">
        <v>43</v>
      </c>
      <c r="X52">
        <v>43</v>
      </c>
      <c r="Y52">
        <v>69</v>
      </c>
      <c r="Z52">
        <v>51</v>
      </c>
      <c r="AA52">
        <v>33</v>
      </c>
      <c r="AB52" s="29">
        <v>45886</v>
      </c>
      <c r="AC52">
        <v>91</v>
      </c>
      <c r="AD52">
        <v>9089</v>
      </c>
    </row>
    <row r="53" spans="1:30" x14ac:dyDescent="0.25">
      <c r="A53">
        <v>12372101</v>
      </c>
      <c r="B53">
        <v>52</v>
      </c>
      <c r="C53">
        <v>11676</v>
      </c>
      <c r="D53" t="s">
        <v>136</v>
      </c>
      <c r="E53" t="s">
        <v>137</v>
      </c>
      <c r="F53" t="s">
        <v>38</v>
      </c>
      <c r="G53" s="28">
        <v>32765</v>
      </c>
      <c r="H53" t="s">
        <v>100</v>
      </c>
      <c r="I53" t="b">
        <v>0</v>
      </c>
      <c r="J53">
        <v>237</v>
      </c>
      <c r="K53" t="s">
        <v>101</v>
      </c>
      <c r="L53" t="s">
        <v>102</v>
      </c>
      <c r="M53" t="s">
        <v>103</v>
      </c>
      <c r="N53" t="s">
        <v>102</v>
      </c>
      <c r="O53">
        <v>6</v>
      </c>
      <c r="P53" t="s">
        <v>104</v>
      </c>
      <c r="Q53" t="s">
        <v>105</v>
      </c>
      <c r="R53" t="b">
        <v>0</v>
      </c>
      <c r="S53">
        <v>-68.591905765900094</v>
      </c>
      <c r="T53">
        <v>45.791678704059613</v>
      </c>
      <c r="U53">
        <v>96.226856780275085</v>
      </c>
      <c r="V53">
        <v>2.1869999999999998</v>
      </c>
      <c r="W53">
        <v>44</v>
      </c>
      <c r="X53">
        <v>44</v>
      </c>
      <c r="Y53">
        <v>26</v>
      </c>
      <c r="Z53">
        <v>53</v>
      </c>
      <c r="AA53">
        <v>33</v>
      </c>
      <c r="AB53" s="29">
        <v>45886</v>
      </c>
      <c r="AC53">
        <v>91</v>
      </c>
      <c r="AD53">
        <v>9089</v>
      </c>
    </row>
    <row r="54" spans="1:30" x14ac:dyDescent="0.25">
      <c r="A54">
        <v>12372093</v>
      </c>
      <c r="B54">
        <v>53</v>
      </c>
      <c r="C54">
        <v>28635</v>
      </c>
      <c r="D54" t="s">
        <v>128</v>
      </c>
      <c r="E54" t="s">
        <v>375</v>
      </c>
      <c r="F54" t="s">
        <v>376</v>
      </c>
      <c r="G54" s="28">
        <v>35775</v>
      </c>
      <c r="H54" t="s">
        <v>100</v>
      </c>
      <c r="I54" t="b">
        <v>0</v>
      </c>
      <c r="J54">
        <v>237</v>
      </c>
      <c r="K54" t="s">
        <v>101</v>
      </c>
      <c r="L54" t="s">
        <v>102</v>
      </c>
      <c r="M54" t="s">
        <v>103</v>
      </c>
      <c r="N54" t="s">
        <v>102</v>
      </c>
      <c r="O54">
        <v>6</v>
      </c>
      <c r="P54" t="s">
        <v>104</v>
      </c>
      <c r="Q54" t="s">
        <v>105</v>
      </c>
      <c r="R54" t="b">
        <v>0</v>
      </c>
      <c r="S54">
        <v>-44.911175281236126</v>
      </c>
      <c r="T54">
        <v>52.222734961561684</v>
      </c>
      <c r="U54">
        <v>112.70067220067861</v>
      </c>
      <c r="V54">
        <v>2.1673</v>
      </c>
      <c r="W54">
        <v>55</v>
      </c>
      <c r="X54">
        <v>52</v>
      </c>
      <c r="Y54">
        <v>46</v>
      </c>
      <c r="Z54">
        <v>52</v>
      </c>
      <c r="AA54">
        <v>33</v>
      </c>
      <c r="AB54" s="29">
        <v>45886</v>
      </c>
      <c r="AC54">
        <v>91</v>
      </c>
      <c r="AD54">
        <v>9089</v>
      </c>
    </row>
    <row r="55" spans="1:30" x14ac:dyDescent="0.25">
      <c r="A55">
        <v>12372083</v>
      </c>
      <c r="B55">
        <v>54</v>
      </c>
      <c r="C55">
        <v>27194</v>
      </c>
      <c r="D55" t="s">
        <v>395</v>
      </c>
      <c r="E55" t="s">
        <v>396</v>
      </c>
      <c r="F55" t="s">
        <v>397</v>
      </c>
      <c r="G55" s="28">
        <v>35648</v>
      </c>
      <c r="H55" t="s">
        <v>100</v>
      </c>
      <c r="I55" t="b">
        <v>0</v>
      </c>
      <c r="J55">
        <v>253</v>
      </c>
      <c r="K55" t="s">
        <v>130</v>
      </c>
      <c r="L55" t="s">
        <v>63</v>
      </c>
      <c r="M55" t="s">
        <v>63</v>
      </c>
      <c r="N55" t="s">
        <v>131</v>
      </c>
      <c r="O55">
        <v>4</v>
      </c>
      <c r="P55" t="s">
        <v>106</v>
      </c>
      <c r="Q55" t="s">
        <v>107</v>
      </c>
      <c r="R55" t="b">
        <v>0</v>
      </c>
      <c r="S55">
        <v>-32.833333320329267</v>
      </c>
      <c r="T55">
        <v>85.195926000807532</v>
      </c>
      <c r="U55">
        <v>111.41593813508743</v>
      </c>
      <c r="V55">
        <v>2.1425999999999998</v>
      </c>
      <c r="W55">
        <v>57</v>
      </c>
      <c r="X55">
        <v>52</v>
      </c>
      <c r="Y55">
        <v>108</v>
      </c>
      <c r="Z55">
        <v>65</v>
      </c>
      <c r="AA55">
        <v>33</v>
      </c>
      <c r="AB55" s="29">
        <v>45886</v>
      </c>
      <c r="AC55">
        <v>91</v>
      </c>
      <c r="AD55">
        <v>9089</v>
      </c>
    </row>
    <row r="56" spans="1:30" x14ac:dyDescent="0.25">
      <c r="A56">
        <v>12372077</v>
      </c>
      <c r="B56">
        <v>55</v>
      </c>
      <c r="C56">
        <v>14502</v>
      </c>
      <c r="D56" t="s">
        <v>412</v>
      </c>
      <c r="E56" t="s">
        <v>413</v>
      </c>
      <c r="F56" t="s">
        <v>399</v>
      </c>
      <c r="G56" s="28">
        <v>32948</v>
      </c>
      <c r="H56" t="s">
        <v>100</v>
      </c>
      <c r="I56" t="b">
        <v>0</v>
      </c>
      <c r="J56">
        <v>237</v>
      </c>
      <c r="K56" t="s">
        <v>101</v>
      </c>
      <c r="L56" t="s">
        <v>102</v>
      </c>
      <c r="M56" t="s">
        <v>103</v>
      </c>
      <c r="N56" t="s">
        <v>102</v>
      </c>
      <c r="O56">
        <v>6</v>
      </c>
      <c r="P56" t="s">
        <v>104</v>
      </c>
      <c r="Q56" t="s">
        <v>105</v>
      </c>
      <c r="R56" t="b">
        <v>0</v>
      </c>
      <c r="S56">
        <v>-12.004239781482283</v>
      </c>
      <c r="T56">
        <v>79.340456184744397</v>
      </c>
      <c r="U56">
        <v>85.267005111587963</v>
      </c>
      <c r="V56">
        <v>2.1316999999999999</v>
      </c>
      <c r="W56">
        <v>38</v>
      </c>
      <c r="X56">
        <v>40</v>
      </c>
      <c r="Y56">
        <v>303</v>
      </c>
      <c r="Z56">
        <v>55</v>
      </c>
      <c r="AA56">
        <v>33</v>
      </c>
      <c r="AB56" s="29">
        <v>45886</v>
      </c>
      <c r="AC56">
        <v>91</v>
      </c>
      <c r="AD56">
        <v>9089</v>
      </c>
    </row>
    <row r="57" spans="1:30" x14ac:dyDescent="0.25">
      <c r="A57">
        <v>12372078</v>
      </c>
      <c r="B57">
        <v>56</v>
      </c>
      <c r="C57">
        <v>22833</v>
      </c>
      <c r="D57" t="s">
        <v>364</v>
      </c>
      <c r="E57" t="s">
        <v>365</v>
      </c>
      <c r="F57" t="s">
        <v>366</v>
      </c>
      <c r="G57" s="28">
        <v>34550</v>
      </c>
      <c r="H57" t="s">
        <v>100</v>
      </c>
      <c r="I57" t="b">
        <v>0</v>
      </c>
      <c r="J57">
        <v>48</v>
      </c>
      <c r="K57" t="s">
        <v>367</v>
      </c>
      <c r="L57" t="s">
        <v>368</v>
      </c>
      <c r="M57" t="s">
        <v>369</v>
      </c>
      <c r="N57" t="s">
        <v>368</v>
      </c>
      <c r="O57">
        <v>7</v>
      </c>
      <c r="P57" t="s">
        <v>199</v>
      </c>
      <c r="Q57" t="s">
        <v>200</v>
      </c>
      <c r="R57" t="b">
        <v>0</v>
      </c>
      <c r="S57">
        <v>-37.819375938218286</v>
      </c>
      <c r="T57">
        <v>65.076237468136512</v>
      </c>
      <c r="U57">
        <v>110.4553243533766</v>
      </c>
      <c r="V57">
        <v>2.1240999999999999</v>
      </c>
      <c r="W57">
        <v>56</v>
      </c>
      <c r="X57">
        <v>52</v>
      </c>
      <c r="Y57">
        <v>68</v>
      </c>
      <c r="Z57">
        <v>54</v>
      </c>
      <c r="AA57">
        <v>33</v>
      </c>
      <c r="AB57" s="29">
        <v>45886</v>
      </c>
      <c r="AC57">
        <v>91</v>
      </c>
      <c r="AD57">
        <v>9089</v>
      </c>
    </row>
    <row r="58" spans="1:30" x14ac:dyDescent="0.25">
      <c r="A58">
        <v>12372079</v>
      </c>
      <c r="B58">
        <v>57</v>
      </c>
      <c r="C58">
        <v>32457</v>
      </c>
      <c r="D58" t="s">
        <v>419</v>
      </c>
      <c r="E58" t="s">
        <v>420</v>
      </c>
      <c r="F58" t="s">
        <v>421</v>
      </c>
      <c r="G58" s="28">
        <v>36902</v>
      </c>
      <c r="H58" t="s">
        <v>100</v>
      </c>
      <c r="I58" t="b">
        <v>0</v>
      </c>
      <c r="J58">
        <v>237</v>
      </c>
      <c r="K58" t="s">
        <v>101</v>
      </c>
      <c r="L58" t="s">
        <v>102</v>
      </c>
      <c r="M58" t="s">
        <v>103</v>
      </c>
      <c r="N58" t="s">
        <v>102</v>
      </c>
      <c r="O58">
        <v>6</v>
      </c>
      <c r="P58" t="s">
        <v>104</v>
      </c>
      <c r="Q58" t="s">
        <v>105</v>
      </c>
      <c r="R58" t="b">
        <v>0</v>
      </c>
      <c r="S58">
        <v>-12.82972292978576</v>
      </c>
      <c r="T58">
        <v>71.909180824212584</v>
      </c>
      <c r="U58">
        <v>84.176396369709764</v>
      </c>
      <c r="V58">
        <v>2.1044</v>
      </c>
      <c r="W58">
        <v>33</v>
      </c>
      <c r="X58">
        <v>40</v>
      </c>
      <c r="Y58">
        <v>213</v>
      </c>
      <c r="Z58">
        <v>57</v>
      </c>
      <c r="AA58">
        <v>33</v>
      </c>
      <c r="AB58" s="29">
        <v>45886</v>
      </c>
      <c r="AC58">
        <v>91</v>
      </c>
      <c r="AD58">
        <v>9089</v>
      </c>
    </row>
    <row r="59" spans="1:30" x14ac:dyDescent="0.25">
      <c r="A59">
        <v>12372080</v>
      </c>
      <c r="B59">
        <v>58</v>
      </c>
      <c r="C59">
        <v>23014</v>
      </c>
      <c r="D59" t="s">
        <v>182</v>
      </c>
      <c r="E59" t="s">
        <v>183</v>
      </c>
      <c r="F59" t="s">
        <v>55</v>
      </c>
      <c r="G59" s="28">
        <v>35768</v>
      </c>
      <c r="H59" t="s">
        <v>100</v>
      </c>
      <c r="I59" t="b">
        <v>0</v>
      </c>
      <c r="J59">
        <v>237</v>
      </c>
      <c r="K59" t="s">
        <v>101</v>
      </c>
      <c r="L59" t="s">
        <v>102</v>
      </c>
      <c r="M59" t="s">
        <v>103</v>
      </c>
      <c r="N59" t="s">
        <v>102</v>
      </c>
      <c r="O59">
        <v>6</v>
      </c>
      <c r="P59" t="s">
        <v>104</v>
      </c>
      <c r="Q59" t="s">
        <v>105</v>
      </c>
      <c r="R59" t="b">
        <v>0</v>
      </c>
      <c r="S59">
        <v>-99.554846170023836</v>
      </c>
      <c r="T59">
        <v>17.998787167070226</v>
      </c>
      <c r="U59">
        <v>97.146080531537692</v>
      </c>
      <c r="V59">
        <v>2.0669</v>
      </c>
      <c r="W59">
        <v>47</v>
      </c>
      <c r="X59">
        <v>47</v>
      </c>
      <c r="Y59">
        <v>13</v>
      </c>
      <c r="Z59">
        <v>58</v>
      </c>
      <c r="AA59">
        <v>33</v>
      </c>
      <c r="AB59" s="29">
        <v>45886</v>
      </c>
      <c r="AC59">
        <v>91</v>
      </c>
      <c r="AD59">
        <v>9089</v>
      </c>
    </row>
    <row r="60" spans="1:30" x14ac:dyDescent="0.25">
      <c r="A60">
        <v>12372081</v>
      </c>
      <c r="B60">
        <v>59</v>
      </c>
      <c r="C60">
        <v>10419</v>
      </c>
      <c r="D60" t="s">
        <v>215</v>
      </c>
      <c r="E60" t="s">
        <v>216</v>
      </c>
      <c r="F60" t="s">
        <v>217</v>
      </c>
      <c r="G60" s="28">
        <v>30144</v>
      </c>
      <c r="H60" t="s">
        <v>100</v>
      </c>
      <c r="I60" t="b">
        <v>0</v>
      </c>
      <c r="J60">
        <v>216</v>
      </c>
      <c r="K60" t="s">
        <v>218</v>
      </c>
      <c r="L60" t="s">
        <v>219</v>
      </c>
      <c r="M60" t="s">
        <v>220</v>
      </c>
      <c r="N60" t="s">
        <v>219</v>
      </c>
      <c r="O60">
        <v>4</v>
      </c>
      <c r="P60" t="s">
        <v>106</v>
      </c>
      <c r="Q60" t="s">
        <v>107</v>
      </c>
      <c r="R60" t="b">
        <v>0</v>
      </c>
      <c r="S60">
        <v>-49.618423246001072</v>
      </c>
      <c r="T60">
        <v>38.982400659443726</v>
      </c>
      <c r="U60">
        <v>82.422697407878658</v>
      </c>
      <c r="V60">
        <v>2.0606</v>
      </c>
      <c r="W60">
        <v>38</v>
      </c>
      <c r="X60">
        <v>40</v>
      </c>
      <c r="Y60">
        <v>54</v>
      </c>
      <c r="Z60">
        <v>56</v>
      </c>
      <c r="AA60">
        <v>33</v>
      </c>
      <c r="AB60" s="29">
        <v>45886</v>
      </c>
      <c r="AC60">
        <v>91</v>
      </c>
      <c r="AD60">
        <v>9089</v>
      </c>
    </row>
    <row r="61" spans="1:30" x14ac:dyDescent="0.25">
      <c r="A61">
        <v>12372082</v>
      </c>
      <c r="B61">
        <v>60</v>
      </c>
      <c r="C61">
        <v>14459</v>
      </c>
      <c r="D61" t="s">
        <v>265</v>
      </c>
      <c r="E61" t="s">
        <v>266</v>
      </c>
      <c r="F61" t="s">
        <v>57</v>
      </c>
      <c r="G61" s="28">
        <v>33498</v>
      </c>
      <c r="H61" t="s">
        <v>100</v>
      </c>
      <c r="I61" t="b">
        <v>0</v>
      </c>
      <c r="J61">
        <v>118</v>
      </c>
      <c r="K61" t="s">
        <v>152</v>
      </c>
      <c r="L61" t="s">
        <v>153</v>
      </c>
      <c r="M61" t="s">
        <v>154</v>
      </c>
      <c r="N61" t="s">
        <v>153</v>
      </c>
      <c r="O61">
        <v>3</v>
      </c>
      <c r="P61" t="s">
        <v>155</v>
      </c>
      <c r="Q61" t="s">
        <v>156</v>
      </c>
      <c r="R61" t="b">
        <v>0</v>
      </c>
      <c r="S61">
        <v>-74.417348952962897</v>
      </c>
      <c r="T61">
        <v>44.620801428190731</v>
      </c>
      <c r="U61">
        <v>98.111831702478995</v>
      </c>
      <c r="V61">
        <v>2.044</v>
      </c>
      <c r="W61">
        <v>48</v>
      </c>
      <c r="X61">
        <v>48</v>
      </c>
      <c r="Y61">
        <v>24</v>
      </c>
      <c r="Z61">
        <v>59</v>
      </c>
      <c r="AA61">
        <v>33</v>
      </c>
      <c r="AB61" s="29">
        <v>45886</v>
      </c>
      <c r="AC61">
        <v>91</v>
      </c>
      <c r="AD61">
        <v>9089</v>
      </c>
    </row>
    <row r="62" spans="1:30" x14ac:dyDescent="0.25">
      <c r="A62">
        <v>12372084</v>
      </c>
      <c r="B62">
        <v>61</v>
      </c>
      <c r="C62">
        <v>17543</v>
      </c>
      <c r="D62" t="s">
        <v>370</v>
      </c>
      <c r="E62" t="s">
        <v>158</v>
      </c>
      <c r="F62" t="s">
        <v>371</v>
      </c>
      <c r="G62" s="28">
        <v>34164</v>
      </c>
      <c r="H62" t="s">
        <v>100</v>
      </c>
      <c r="I62" t="b">
        <v>0</v>
      </c>
      <c r="J62">
        <v>237</v>
      </c>
      <c r="K62" t="s">
        <v>101</v>
      </c>
      <c r="L62" t="s">
        <v>102</v>
      </c>
      <c r="M62" t="s">
        <v>103</v>
      </c>
      <c r="N62" t="s">
        <v>102</v>
      </c>
      <c r="O62">
        <v>6</v>
      </c>
      <c r="P62" t="s">
        <v>104</v>
      </c>
      <c r="Q62" t="s">
        <v>105</v>
      </c>
      <c r="R62" t="b">
        <v>0</v>
      </c>
      <c r="S62">
        <v>-39.774736781037277</v>
      </c>
      <c r="T62">
        <v>101.02650198808382</v>
      </c>
      <c r="U62">
        <v>106.22313990259364</v>
      </c>
      <c r="V62">
        <v>2.0428000000000002</v>
      </c>
      <c r="W62">
        <v>58</v>
      </c>
      <c r="X62">
        <v>52</v>
      </c>
      <c r="Y62">
        <v>155</v>
      </c>
      <c r="Z62">
        <v>68</v>
      </c>
      <c r="AA62">
        <v>33</v>
      </c>
      <c r="AB62" s="29">
        <v>45886</v>
      </c>
      <c r="AC62">
        <v>91</v>
      </c>
      <c r="AD62">
        <v>9089</v>
      </c>
    </row>
    <row r="63" spans="1:30" x14ac:dyDescent="0.25">
      <c r="A63">
        <v>12372091</v>
      </c>
      <c r="B63">
        <v>62</v>
      </c>
      <c r="C63">
        <v>18628</v>
      </c>
      <c r="D63" t="s">
        <v>166</v>
      </c>
      <c r="E63" t="s">
        <v>433</v>
      </c>
      <c r="F63" t="s">
        <v>398</v>
      </c>
      <c r="G63" s="28">
        <v>34034</v>
      </c>
      <c r="H63" t="s">
        <v>100</v>
      </c>
      <c r="I63" t="b">
        <v>0</v>
      </c>
      <c r="J63">
        <v>237</v>
      </c>
      <c r="K63" t="s">
        <v>101</v>
      </c>
      <c r="L63" t="s">
        <v>102</v>
      </c>
      <c r="M63" t="s">
        <v>103</v>
      </c>
      <c r="N63" t="s">
        <v>102</v>
      </c>
      <c r="O63">
        <v>6</v>
      </c>
      <c r="P63" t="s">
        <v>104</v>
      </c>
      <c r="Q63" t="s">
        <v>105</v>
      </c>
      <c r="R63" t="b">
        <v>0</v>
      </c>
      <c r="S63">
        <v>-21.209297204040766</v>
      </c>
      <c r="T63">
        <v>91.228565009362924</v>
      </c>
      <c r="U63">
        <v>103.29225217287332</v>
      </c>
      <c r="V63">
        <v>2.0253000000000001</v>
      </c>
      <c r="W63">
        <v>51</v>
      </c>
      <c r="X63">
        <v>51</v>
      </c>
      <c r="Y63">
        <v>197</v>
      </c>
      <c r="Z63">
        <v>61</v>
      </c>
      <c r="AA63">
        <v>33</v>
      </c>
      <c r="AB63" s="29">
        <v>45886</v>
      </c>
      <c r="AC63">
        <v>91</v>
      </c>
      <c r="AD63">
        <v>9089</v>
      </c>
    </row>
    <row r="64" spans="1:30" x14ac:dyDescent="0.25">
      <c r="A64">
        <v>12372085</v>
      </c>
      <c r="B64">
        <v>63</v>
      </c>
      <c r="C64">
        <v>14609</v>
      </c>
      <c r="D64" t="s">
        <v>191</v>
      </c>
      <c r="E64" t="s">
        <v>158</v>
      </c>
      <c r="F64" t="s">
        <v>40</v>
      </c>
      <c r="G64" s="28">
        <v>34878</v>
      </c>
      <c r="H64" t="s">
        <v>100</v>
      </c>
      <c r="I64" t="b">
        <v>0</v>
      </c>
      <c r="J64">
        <v>118</v>
      </c>
      <c r="K64" t="s">
        <v>152</v>
      </c>
      <c r="L64" t="s">
        <v>153</v>
      </c>
      <c r="M64" t="s">
        <v>154</v>
      </c>
      <c r="N64" t="s">
        <v>153</v>
      </c>
      <c r="O64">
        <v>3</v>
      </c>
      <c r="P64" t="s">
        <v>155</v>
      </c>
      <c r="Q64" t="s">
        <v>156</v>
      </c>
      <c r="R64" t="b">
        <v>0</v>
      </c>
      <c r="S64">
        <v>-54.372492510390174</v>
      </c>
      <c r="T64">
        <v>72.442409069224098</v>
      </c>
      <c r="U64">
        <v>104.72850162049676</v>
      </c>
      <c r="V64">
        <v>2.0139999999999998</v>
      </c>
      <c r="W64">
        <v>56</v>
      </c>
      <c r="X64">
        <v>52</v>
      </c>
      <c r="Y64">
        <v>60</v>
      </c>
      <c r="Z64">
        <v>63</v>
      </c>
      <c r="AA64">
        <v>33</v>
      </c>
      <c r="AB64" s="29">
        <v>45886</v>
      </c>
      <c r="AC64">
        <v>91</v>
      </c>
      <c r="AD64">
        <v>9089</v>
      </c>
    </row>
    <row r="65" spans="1:30" x14ac:dyDescent="0.25">
      <c r="A65">
        <v>12372086</v>
      </c>
      <c r="B65">
        <v>64</v>
      </c>
      <c r="C65">
        <v>29433</v>
      </c>
      <c r="D65" t="s">
        <v>408</v>
      </c>
      <c r="E65" t="s">
        <v>409</v>
      </c>
      <c r="F65" t="s">
        <v>400</v>
      </c>
      <c r="G65" s="28">
        <v>36500</v>
      </c>
      <c r="H65" t="s">
        <v>100</v>
      </c>
      <c r="I65" t="b">
        <v>0</v>
      </c>
      <c r="J65">
        <v>237</v>
      </c>
      <c r="K65" t="s">
        <v>101</v>
      </c>
      <c r="L65" t="s">
        <v>102</v>
      </c>
      <c r="M65" t="s">
        <v>103</v>
      </c>
      <c r="N65" t="s">
        <v>102</v>
      </c>
      <c r="O65">
        <v>6</v>
      </c>
      <c r="P65" t="s">
        <v>104</v>
      </c>
      <c r="Q65" t="s">
        <v>105</v>
      </c>
      <c r="R65" t="b">
        <v>0</v>
      </c>
      <c r="S65">
        <v>-26.332733096303869</v>
      </c>
      <c r="T65">
        <v>94.273591294998354</v>
      </c>
      <c r="U65">
        <v>103.47899645156127</v>
      </c>
      <c r="V65">
        <v>1.99</v>
      </c>
      <c r="W65">
        <v>56</v>
      </c>
      <c r="X65">
        <v>52</v>
      </c>
      <c r="Y65">
        <v>189</v>
      </c>
      <c r="Z65">
        <v>66</v>
      </c>
      <c r="AA65">
        <v>33</v>
      </c>
      <c r="AB65" s="29">
        <v>45886</v>
      </c>
      <c r="AC65">
        <v>91</v>
      </c>
      <c r="AD65">
        <v>9089</v>
      </c>
    </row>
    <row r="66" spans="1:30" x14ac:dyDescent="0.25">
      <c r="A66">
        <v>12372087</v>
      </c>
      <c r="B66">
        <v>65</v>
      </c>
      <c r="C66">
        <v>27900</v>
      </c>
      <c r="D66" t="s">
        <v>430</v>
      </c>
      <c r="E66" t="s">
        <v>431</v>
      </c>
      <c r="F66" t="s">
        <v>432</v>
      </c>
      <c r="G66" s="28">
        <v>38243</v>
      </c>
      <c r="H66" t="s">
        <v>100</v>
      </c>
      <c r="I66" t="b">
        <v>0</v>
      </c>
      <c r="J66">
        <v>207</v>
      </c>
      <c r="K66" t="s">
        <v>232</v>
      </c>
      <c r="L66" t="s">
        <v>233</v>
      </c>
      <c r="M66" t="s">
        <v>234</v>
      </c>
      <c r="N66" t="s">
        <v>235</v>
      </c>
      <c r="O66">
        <v>1</v>
      </c>
      <c r="P66" t="s">
        <v>236</v>
      </c>
      <c r="Q66" t="s">
        <v>237</v>
      </c>
      <c r="R66" t="b">
        <v>0</v>
      </c>
      <c r="S66">
        <v>-13.848132190541207</v>
      </c>
      <c r="T66">
        <v>82.389984693147611</v>
      </c>
      <c r="U66">
        <v>93.470962260027918</v>
      </c>
      <c r="V66">
        <v>1.9886999999999999</v>
      </c>
      <c r="W66">
        <v>47</v>
      </c>
      <c r="X66">
        <v>47</v>
      </c>
      <c r="Y66">
        <v>217</v>
      </c>
      <c r="Z66">
        <v>62</v>
      </c>
      <c r="AA66">
        <v>33</v>
      </c>
      <c r="AB66" s="29">
        <v>45886</v>
      </c>
      <c r="AC66">
        <v>91</v>
      </c>
      <c r="AD66">
        <v>9089</v>
      </c>
    </row>
    <row r="67" spans="1:30" x14ac:dyDescent="0.25">
      <c r="A67">
        <v>12372088</v>
      </c>
      <c r="B67">
        <v>66</v>
      </c>
      <c r="C67">
        <v>13508</v>
      </c>
      <c r="D67" t="s">
        <v>380</v>
      </c>
      <c r="E67" t="s">
        <v>381</v>
      </c>
      <c r="F67" t="s">
        <v>382</v>
      </c>
      <c r="G67" s="28">
        <v>30913</v>
      </c>
      <c r="H67" t="s">
        <v>100</v>
      </c>
      <c r="I67" t="b">
        <v>0</v>
      </c>
      <c r="J67">
        <v>242</v>
      </c>
      <c r="K67" t="s">
        <v>383</v>
      </c>
      <c r="L67" t="s">
        <v>384</v>
      </c>
      <c r="M67" t="s">
        <v>385</v>
      </c>
      <c r="N67" t="s">
        <v>384</v>
      </c>
      <c r="O67">
        <v>7</v>
      </c>
      <c r="P67" t="s">
        <v>199</v>
      </c>
      <c r="Q67" t="s">
        <v>200</v>
      </c>
      <c r="R67" t="b">
        <v>0</v>
      </c>
      <c r="S67">
        <v>-27.950809707966314</v>
      </c>
      <c r="T67">
        <v>59.86996019897073</v>
      </c>
      <c r="U67">
        <v>89.2155382278399</v>
      </c>
      <c r="V67">
        <v>1.9825999999999999</v>
      </c>
      <c r="W67">
        <v>45</v>
      </c>
      <c r="X67">
        <v>45</v>
      </c>
      <c r="Y67">
        <v>77</v>
      </c>
      <c r="Z67">
        <v>60</v>
      </c>
      <c r="AA67">
        <v>33</v>
      </c>
      <c r="AB67" s="29">
        <v>45886</v>
      </c>
      <c r="AC67">
        <v>91</v>
      </c>
      <c r="AD67">
        <v>9089</v>
      </c>
    </row>
    <row r="68" spans="1:30" x14ac:dyDescent="0.25">
      <c r="A68">
        <v>12372089</v>
      </c>
      <c r="B68">
        <v>67</v>
      </c>
      <c r="C68">
        <v>15575</v>
      </c>
      <c r="D68" t="s">
        <v>157</v>
      </c>
      <c r="E68" t="s">
        <v>201</v>
      </c>
      <c r="F68" t="s">
        <v>60</v>
      </c>
      <c r="G68" s="28">
        <v>32653</v>
      </c>
      <c r="H68" t="s">
        <v>100</v>
      </c>
      <c r="I68" t="b">
        <v>0</v>
      </c>
      <c r="J68">
        <v>237</v>
      </c>
      <c r="K68" t="s">
        <v>101</v>
      </c>
      <c r="L68" t="s">
        <v>102</v>
      </c>
      <c r="M68" t="s">
        <v>103</v>
      </c>
      <c r="N68" t="s">
        <v>102</v>
      </c>
      <c r="O68">
        <v>6</v>
      </c>
      <c r="P68" t="s">
        <v>104</v>
      </c>
      <c r="Q68" t="s">
        <v>105</v>
      </c>
      <c r="R68" t="b">
        <v>0</v>
      </c>
      <c r="S68">
        <v>-53.192265775873238</v>
      </c>
      <c r="T68">
        <v>72.36995044307136</v>
      </c>
      <c r="U68">
        <v>102.83704141135591</v>
      </c>
      <c r="V68">
        <v>1.9776</v>
      </c>
      <c r="W68">
        <v>57</v>
      </c>
      <c r="X68">
        <v>52</v>
      </c>
      <c r="Y68">
        <v>67</v>
      </c>
      <c r="Z68">
        <v>64</v>
      </c>
      <c r="AA68">
        <v>33</v>
      </c>
      <c r="AB68" s="29">
        <v>45886</v>
      </c>
      <c r="AC68">
        <v>91</v>
      </c>
      <c r="AD68">
        <v>9089</v>
      </c>
    </row>
    <row r="69" spans="1:30" x14ac:dyDescent="0.25">
      <c r="A69">
        <v>12372090</v>
      </c>
      <c r="B69">
        <v>68</v>
      </c>
      <c r="C69">
        <v>23838</v>
      </c>
      <c r="D69" t="s">
        <v>238</v>
      </c>
      <c r="E69" t="s">
        <v>239</v>
      </c>
      <c r="F69" t="s">
        <v>240</v>
      </c>
      <c r="G69" s="28">
        <v>36962</v>
      </c>
      <c r="H69" t="s">
        <v>100</v>
      </c>
      <c r="I69" t="b">
        <v>0</v>
      </c>
      <c r="J69">
        <v>60</v>
      </c>
      <c r="K69" t="s">
        <v>241</v>
      </c>
      <c r="L69" t="s">
        <v>242</v>
      </c>
      <c r="M69" t="s">
        <v>243</v>
      </c>
      <c r="N69" t="s">
        <v>244</v>
      </c>
      <c r="O69">
        <v>4</v>
      </c>
      <c r="P69" t="s">
        <v>106</v>
      </c>
      <c r="Q69" t="s">
        <v>107</v>
      </c>
      <c r="R69" t="b">
        <v>0</v>
      </c>
      <c r="S69">
        <v>-51.747085963972403</v>
      </c>
      <c r="T69">
        <v>50.191915265008042</v>
      </c>
      <c r="U69">
        <v>102.7652857573502</v>
      </c>
      <c r="V69">
        <v>1.9762999999999999</v>
      </c>
      <c r="W69">
        <v>54</v>
      </c>
      <c r="X69">
        <v>52</v>
      </c>
      <c r="Y69">
        <v>37</v>
      </c>
      <c r="Z69">
        <v>79</v>
      </c>
      <c r="AA69">
        <v>33</v>
      </c>
      <c r="AB69" s="29">
        <v>45886</v>
      </c>
      <c r="AC69">
        <v>91</v>
      </c>
      <c r="AD69">
        <v>9089</v>
      </c>
    </row>
    <row r="70" spans="1:30" x14ac:dyDescent="0.25">
      <c r="A70">
        <v>12372041</v>
      </c>
      <c r="B70">
        <v>69</v>
      </c>
      <c r="C70">
        <v>27364</v>
      </c>
      <c r="D70" t="s">
        <v>209</v>
      </c>
      <c r="E70" t="s">
        <v>334</v>
      </c>
      <c r="F70" t="s">
        <v>335</v>
      </c>
      <c r="G70" s="28">
        <v>36316</v>
      </c>
      <c r="H70" t="s">
        <v>100</v>
      </c>
      <c r="I70" t="b">
        <v>0</v>
      </c>
      <c r="J70">
        <v>237</v>
      </c>
      <c r="K70" t="s">
        <v>101</v>
      </c>
      <c r="L70" t="s">
        <v>102</v>
      </c>
      <c r="M70" t="s">
        <v>103</v>
      </c>
      <c r="N70" t="s">
        <v>102</v>
      </c>
      <c r="O70">
        <v>6</v>
      </c>
      <c r="P70" t="s">
        <v>104</v>
      </c>
      <c r="Q70" t="s">
        <v>105</v>
      </c>
      <c r="R70" t="b">
        <v>0</v>
      </c>
      <c r="S70">
        <v>-53.764776864979417</v>
      </c>
      <c r="T70">
        <v>45.334285264972614</v>
      </c>
      <c r="U70">
        <v>99.524514317607824</v>
      </c>
      <c r="V70">
        <v>1.9138999999999999</v>
      </c>
      <c r="W70">
        <v>54</v>
      </c>
      <c r="X70">
        <v>52</v>
      </c>
      <c r="Y70">
        <v>42</v>
      </c>
      <c r="Z70">
        <v>67</v>
      </c>
      <c r="AA70">
        <v>33</v>
      </c>
      <c r="AB70" s="29">
        <v>45886</v>
      </c>
      <c r="AC70">
        <v>91</v>
      </c>
      <c r="AD70">
        <v>9089</v>
      </c>
    </row>
    <row r="71" spans="1:30" x14ac:dyDescent="0.25">
      <c r="A71">
        <v>12372092</v>
      </c>
      <c r="B71">
        <v>70</v>
      </c>
      <c r="C71">
        <v>15556</v>
      </c>
      <c r="D71" t="s">
        <v>225</v>
      </c>
      <c r="E71" t="s">
        <v>226</v>
      </c>
      <c r="F71" t="s">
        <v>227</v>
      </c>
      <c r="G71" s="28">
        <v>33200</v>
      </c>
      <c r="H71" t="s">
        <v>100</v>
      </c>
      <c r="I71" t="b">
        <v>0</v>
      </c>
      <c r="J71">
        <v>39</v>
      </c>
      <c r="K71" t="s">
        <v>186</v>
      </c>
      <c r="L71" t="s">
        <v>187</v>
      </c>
      <c r="M71" t="s">
        <v>188</v>
      </c>
      <c r="N71" t="s">
        <v>187</v>
      </c>
      <c r="O71">
        <v>6</v>
      </c>
      <c r="P71" t="s">
        <v>104</v>
      </c>
      <c r="Q71" t="s">
        <v>105</v>
      </c>
      <c r="R71" t="b">
        <v>0</v>
      </c>
      <c r="S71">
        <v>-50.595794342872196</v>
      </c>
      <c r="T71">
        <v>54.673082720093461</v>
      </c>
      <c r="U71">
        <v>99.179464164716265</v>
      </c>
      <c r="V71">
        <v>1.9073</v>
      </c>
      <c r="W71">
        <v>55</v>
      </c>
      <c r="X71">
        <v>52</v>
      </c>
      <c r="Y71">
        <v>56</v>
      </c>
      <c r="Z71">
        <v>69</v>
      </c>
      <c r="AA71">
        <v>33</v>
      </c>
      <c r="AB71" s="29">
        <v>45886</v>
      </c>
      <c r="AC71">
        <v>91</v>
      </c>
      <c r="AD71">
        <v>9089</v>
      </c>
    </row>
    <row r="72" spans="1:30" x14ac:dyDescent="0.25">
      <c r="A72">
        <v>12372040</v>
      </c>
      <c r="B72">
        <v>71</v>
      </c>
      <c r="C72">
        <v>18103</v>
      </c>
      <c r="D72" t="s">
        <v>245</v>
      </c>
      <c r="E72" t="s">
        <v>246</v>
      </c>
      <c r="F72" t="s">
        <v>247</v>
      </c>
      <c r="G72" s="28">
        <v>34472</v>
      </c>
      <c r="H72" t="s">
        <v>100</v>
      </c>
      <c r="I72" t="b">
        <v>0</v>
      </c>
      <c r="J72">
        <v>207</v>
      </c>
      <c r="K72" t="s">
        <v>232</v>
      </c>
      <c r="L72" t="s">
        <v>233</v>
      </c>
      <c r="M72" t="s">
        <v>234</v>
      </c>
      <c r="N72" t="s">
        <v>235</v>
      </c>
      <c r="O72">
        <v>1</v>
      </c>
      <c r="P72" t="s">
        <v>236</v>
      </c>
      <c r="Q72" t="s">
        <v>237</v>
      </c>
      <c r="R72" t="b">
        <v>0</v>
      </c>
      <c r="S72">
        <v>-55.975015526863679</v>
      </c>
      <c r="T72">
        <v>57.555052182945253</v>
      </c>
      <c r="U72">
        <v>99.118368075857873</v>
      </c>
      <c r="V72">
        <v>1.9060999999999999</v>
      </c>
      <c r="W72">
        <v>55</v>
      </c>
      <c r="X72">
        <v>52</v>
      </c>
      <c r="Y72">
        <v>55</v>
      </c>
      <c r="Z72">
        <v>70</v>
      </c>
      <c r="AA72">
        <v>33</v>
      </c>
      <c r="AB72" s="29">
        <v>45886</v>
      </c>
      <c r="AC72">
        <v>91</v>
      </c>
      <c r="AD72">
        <v>9089</v>
      </c>
    </row>
    <row r="73" spans="1:30" x14ac:dyDescent="0.25">
      <c r="A73">
        <v>12372021</v>
      </c>
      <c r="B73">
        <v>72</v>
      </c>
      <c r="C73">
        <v>14838</v>
      </c>
      <c r="D73" t="s">
        <v>112</v>
      </c>
      <c r="E73" t="s">
        <v>414</v>
      </c>
      <c r="F73" t="s">
        <v>324</v>
      </c>
      <c r="G73" s="28">
        <v>33090</v>
      </c>
      <c r="H73" t="s">
        <v>100</v>
      </c>
      <c r="I73" t="b">
        <v>0</v>
      </c>
      <c r="J73">
        <v>237</v>
      </c>
      <c r="K73" t="s">
        <v>101</v>
      </c>
      <c r="L73" t="s">
        <v>102</v>
      </c>
      <c r="M73" t="s">
        <v>103</v>
      </c>
      <c r="N73" t="s">
        <v>102</v>
      </c>
      <c r="O73">
        <v>6</v>
      </c>
      <c r="P73" t="s">
        <v>104</v>
      </c>
      <c r="Q73" t="s">
        <v>105</v>
      </c>
      <c r="R73" t="b">
        <v>0</v>
      </c>
      <c r="S73">
        <v>-25.981805544409717</v>
      </c>
      <c r="T73">
        <v>60.998514417683218</v>
      </c>
      <c r="U73">
        <v>76.200469572678756</v>
      </c>
      <c r="V73">
        <v>1.905</v>
      </c>
      <c r="W73">
        <v>21</v>
      </c>
      <c r="X73">
        <v>40</v>
      </c>
      <c r="Y73">
        <v>128</v>
      </c>
      <c r="Z73">
        <v>71</v>
      </c>
      <c r="AA73">
        <v>33</v>
      </c>
      <c r="AB73" s="29">
        <v>45886</v>
      </c>
      <c r="AC73">
        <v>91</v>
      </c>
      <c r="AD73">
        <v>9089</v>
      </c>
    </row>
    <row r="74" spans="1:30" x14ac:dyDescent="0.25">
      <c r="A74">
        <v>12371988</v>
      </c>
      <c r="B74">
        <v>73</v>
      </c>
      <c r="C74">
        <v>22465</v>
      </c>
      <c r="D74" t="s">
        <v>457</v>
      </c>
      <c r="E74" t="s">
        <v>458</v>
      </c>
      <c r="F74" t="s">
        <v>443</v>
      </c>
      <c r="G74" s="28">
        <v>35930</v>
      </c>
      <c r="H74" t="s">
        <v>100</v>
      </c>
      <c r="I74" t="b">
        <v>0</v>
      </c>
      <c r="J74">
        <v>253</v>
      </c>
      <c r="K74" t="s">
        <v>130</v>
      </c>
      <c r="L74" t="s">
        <v>63</v>
      </c>
      <c r="M74" t="s">
        <v>63</v>
      </c>
      <c r="N74" t="s">
        <v>131</v>
      </c>
      <c r="O74">
        <v>4</v>
      </c>
      <c r="P74" t="s">
        <v>106</v>
      </c>
      <c r="Q74" t="s">
        <v>107</v>
      </c>
      <c r="R74" t="b">
        <v>0</v>
      </c>
      <c r="S74">
        <v>-11.555138361395223</v>
      </c>
      <c r="T74">
        <v>94.534319551465146</v>
      </c>
      <c r="U74">
        <v>98.980148784128914</v>
      </c>
      <c r="V74">
        <v>1.9035</v>
      </c>
      <c r="W74">
        <v>55</v>
      </c>
      <c r="X74">
        <v>52</v>
      </c>
      <c r="Y74">
        <v>416</v>
      </c>
      <c r="Z74">
        <v>97</v>
      </c>
      <c r="AA74">
        <v>33</v>
      </c>
      <c r="AB74" s="29">
        <v>45886</v>
      </c>
      <c r="AC74">
        <v>91</v>
      </c>
      <c r="AD74">
        <v>9089</v>
      </c>
    </row>
    <row r="75" spans="1:30" x14ac:dyDescent="0.25">
      <c r="A75">
        <v>12371989</v>
      </c>
      <c r="B75">
        <v>74</v>
      </c>
      <c r="C75">
        <v>19872</v>
      </c>
      <c r="D75" t="s">
        <v>209</v>
      </c>
      <c r="E75" t="s">
        <v>424</v>
      </c>
      <c r="F75" t="s">
        <v>340</v>
      </c>
      <c r="G75" s="28">
        <v>35416</v>
      </c>
      <c r="H75" t="s">
        <v>100</v>
      </c>
      <c r="I75" t="b">
        <v>0</v>
      </c>
      <c r="J75">
        <v>237</v>
      </c>
      <c r="K75" t="s">
        <v>101</v>
      </c>
      <c r="L75" t="s">
        <v>102</v>
      </c>
      <c r="M75" t="s">
        <v>103</v>
      </c>
      <c r="N75" t="s">
        <v>102</v>
      </c>
      <c r="O75">
        <v>6</v>
      </c>
      <c r="P75" t="s">
        <v>104</v>
      </c>
      <c r="Q75" t="s">
        <v>105</v>
      </c>
      <c r="R75" t="b">
        <v>0</v>
      </c>
      <c r="S75">
        <v>-31.493705193477844</v>
      </c>
      <c r="T75">
        <v>72.01426469784937</v>
      </c>
      <c r="U75">
        <v>97.44860370960059</v>
      </c>
      <c r="V75">
        <v>1.8740000000000001</v>
      </c>
      <c r="W75">
        <v>54</v>
      </c>
      <c r="X75">
        <v>52</v>
      </c>
      <c r="Y75">
        <v>113</v>
      </c>
      <c r="Z75">
        <v>72</v>
      </c>
      <c r="AA75">
        <v>33</v>
      </c>
      <c r="AB75" s="29">
        <v>45886</v>
      </c>
      <c r="AC75">
        <v>91</v>
      </c>
      <c r="AD75">
        <v>9089</v>
      </c>
    </row>
    <row r="76" spans="1:30" x14ac:dyDescent="0.25">
      <c r="A76">
        <v>12371990</v>
      </c>
      <c r="B76">
        <v>75</v>
      </c>
      <c r="C76">
        <v>17881</v>
      </c>
      <c r="D76" t="s">
        <v>386</v>
      </c>
      <c r="E76" t="s">
        <v>387</v>
      </c>
      <c r="F76" t="s">
        <v>388</v>
      </c>
      <c r="G76" s="28">
        <v>36018</v>
      </c>
      <c r="H76" t="s">
        <v>100</v>
      </c>
      <c r="I76" t="b">
        <v>0</v>
      </c>
      <c r="J76">
        <v>219</v>
      </c>
      <c r="K76" t="s">
        <v>347</v>
      </c>
      <c r="L76" t="s">
        <v>348</v>
      </c>
      <c r="M76" t="s">
        <v>349</v>
      </c>
      <c r="N76" t="s">
        <v>350</v>
      </c>
      <c r="O76">
        <v>3</v>
      </c>
      <c r="P76" t="s">
        <v>155</v>
      </c>
      <c r="Q76" t="s">
        <v>156</v>
      </c>
      <c r="R76" t="b">
        <v>0</v>
      </c>
      <c r="S76">
        <v>-36.268662046100864</v>
      </c>
      <c r="T76">
        <v>60.23320054602636</v>
      </c>
      <c r="U76">
        <v>96.708752913676264</v>
      </c>
      <c r="V76">
        <v>1.8597999999999999</v>
      </c>
      <c r="W76">
        <v>57</v>
      </c>
      <c r="X76">
        <v>52</v>
      </c>
      <c r="Y76">
        <v>64</v>
      </c>
      <c r="Z76">
        <v>74</v>
      </c>
      <c r="AA76">
        <v>33</v>
      </c>
      <c r="AB76" s="29">
        <v>45886</v>
      </c>
      <c r="AC76">
        <v>91</v>
      </c>
      <c r="AD76">
        <v>9089</v>
      </c>
    </row>
    <row r="77" spans="1:30" x14ac:dyDescent="0.25">
      <c r="A77">
        <v>12371991</v>
      </c>
      <c r="B77">
        <v>76</v>
      </c>
      <c r="C77">
        <v>21407</v>
      </c>
      <c r="D77" t="s">
        <v>440</v>
      </c>
      <c r="E77" t="s">
        <v>441</v>
      </c>
      <c r="F77" t="s">
        <v>442</v>
      </c>
      <c r="G77" s="28">
        <v>35862</v>
      </c>
      <c r="H77" t="s">
        <v>100</v>
      </c>
      <c r="I77" t="b">
        <v>0</v>
      </c>
      <c r="J77">
        <v>169</v>
      </c>
      <c r="K77" t="s">
        <v>116</v>
      </c>
      <c r="L77" t="s">
        <v>117</v>
      </c>
      <c r="M77" t="s">
        <v>118</v>
      </c>
      <c r="N77" t="s">
        <v>117</v>
      </c>
      <c r="O77">
        <v>4</v>
      </c>
      <c r="P77" t="s">
        <v>106</v>
      </c>
      <c r="Q77" t="s">
        <v>107</v>
      </c>
      <c r="R77" t="b">
        <v>0</v>
      </c>
      <c r="S77">
        <v>-6.5834963016084203</v>
      </c>
      <c r="T77">
        <v>80.068159032173412</v>
      </c>
      <c r="U77">
        <v>87.228710810986144</v>
      </c>
      <c r="V77">
        <v>1.8559000000000001</v>
      </c>
      <c r="W77">
        <v>47</v>
      </c>
      <c r="X77">
        <v>47</v>
      </c>
      <c r="Y77">
        <v>425</v>
      </c>
      <c r="Z77">
        <v>80</v>
      </c>
      <c r="AA77">
        <v>33</v>
      </c>
      <c r="AB77" s="29">
        <v>45886</v>
      </c>
      <c r="AC77">
        <v>91</v>
      </c>
      <c r="AD77">
        <v>9089</v>
      </c>
    </row>
    <row r="78" spans="1:30" x14ac:dyDescent="0.25">
      <c r="A78">
        <v>12371992</v>
      </c>
      <c r="B78">
        <v>77</v>
      </c>
      <c r="C78">
        <v>16394</v>
      </c>
      <c r="D78" t="s">
        <v>276</v>
      </c>
      <c r="E78" t="s">
        <v>277</v>
      </c>
      <c r="F78" t="s">
        <v>278</v>
      </c>
      <c r="G78" s="28">
        <v>32658</v>
      </c>
      <c r="H78" t="s">
        <v>100</v>
      </c>
      <c r="I78" t="b">
        <v>0</v>
      </c>
      <c r="J78">
        <v>82</v>
      </c>
      <c r="K78" t="s">
        <v>256</v>
      </c>
      <c r="L78" t="s">
        <v>257</v>
      </c>
      <c r="M78" t="s">
        <v>258</v>
      </c>
      <c r="N78" t="s">
        <v>259</v>
      </c>
      <c r="O78">
        <v>4</v>
      </c>
      <c r="P78" t="s">
        <v>106</v>
      </c>
      <c r="Q78" t="s">
        <v>107</v>
      </c>
      <c r="R78" t="b">
        <v>0</v>
      </c>
      <c r="S78">
        <v>-60.364649728393275</v>
      </c>
      <c r="T78">
        <v>56.782788827790938</v>
      </c>
      <c r="U78">
        <v>96.42789527074153</v>
      </c>
      <c r="V78">
        <v>1.8544</v>
      </c>
      <c r="W78">
        <v>53</v>
      </c>
      <c r="X78">
        <v>52</v>
      </c>
      <c r="Y78">
        <v>53</v>
      </c>
      <c r="Z78">
        <v>73</v>
      </c>
      <c r="AA78">
        <v>33</v>
      </c>
      <c r="AB78" s="29">
        <v>45886</v>
      </c>
      <c r="AC78">
        <v>91</v>
      </c>
      <c r="AD78">
        <v>9089</v>
      </c>
    </row>
    <row r="79" spans="1:30" x14ac:dyDescent="0.25">
      <c r="A79">
        <v>12371993</v>
      </c>
      <c r="B79">
        <v>78</v>
      </c>
      <c r="C79">
        <v>19195</v>
      </c>
      <c r="D79" t="s">
        <v>318</v>
      </c>
      <c r="E79" t="s">
        <v>319</v>
      </c>
      <c r="F79" t="s">
        <v>27</v>
      </c>
      <c r="G79" s="28">
        <v>34648</v>
      </c>
      <c r="H79" t="s">
        <v>100</v>
      </c>
      <c r="I79" t="b">
        <v>0</v>
      </c>
      <c r="J79">
        <v>210</v>
      </c>
      <c r="K79" t="s">
        <v>320</v>
      </c>
      <c r="L79" t="s">
        <v>321</v>
      </c>
      <c r="M79" t="s">
        <v>322</v>
      </c>
      <c r="N79" t="s">
        <v>321</v>
      </c>
      <c r="O79">
        <v>4</v>
      </c>
      <c r="P79" t="s">
        <v>106</v>
      </c>
      <c r="Q79" t="s">
        <v>107</v>
      </c>
      <c r="R79" t="b">
        <v>0</v>
      </c>
      <c r="S79">
        <v>-76.215706538458306</v>
      </c>
      <c r="T79">
        <v>40.85</v>
      </c>
      <c r="U79">
        <v>73.420167394840078</v>
      </c>
      <c r="V79">
        <v>1.8354999999999999</v>
      </c>
      <c r="W79">
        <v>16</v>
      </c>
      <c r="X79">
        <v>40</v>
      </c>
      <c r="Y79">
        <v>25</v>
      </c>
      <c r="Z79">
        <v>75</v>
      </c>
      <c r="AA79">
        <v>33</v>
      </c>
      <c r="AB79" s="29">
        <v>45886</v>
      </c>
      <c r="AC79">
        <v>91</v>
      </c>
      <c r="AD79">
        <v>9089</v>
      </c>
    </row>
    <row r="80" spans="1:30" x14ac:dyDescent="0.25">
      <c r="A80">
        <v>12371995</v>
      </c>
      <c r="B80">
        <v>79</v>
      </c>
      <c r="C80">
        <v>24766</v>
      </c>
      <c r="D80" t="s">
        <v>157</v>
      </c>
      <c r="E80" t="s">
        <v>158</v>
      </c>
      <c r="F80" t="s">
        <v>37</v>
      </c>
      <c r="G80" s="28">
        <v>37428</v>
      </c>
      <c r="H80" t="s">
        <v>100</v>
      </c>
      <c r="I80" t="b">
        <v>0</v>
      </c>
      <c r="J80">
        <v>118</v>
      </c>
      <c r="K80" t="s">
        <v>152</v>
      </c>
      <c r="L80" t="s">
        <v>153</v>
      </c>
      <c r="M80" t="s">
        <v>154</v>
      </c>
      <c r="N80" t="s">
        <v>153</v>
      </c>
      <c r="O80">
        <v>3</v>
      </c>
      <c r="P80" t="s">
        <v>155</v>
      </c>
      <c r="Q80" t="s">
        <v>156</v>
      </c>
      <c r="R80" t="b">
        <v>0</v>
      </c>
      <c r="S80">
        <v>-91.1311033078901</v>
      </c>
      <c r="T80">
        <v>35.905760819649366</v>
      </c>
      <c r="U80">
        <v>95.080234671896463</v>
      </c>
      <c r="V80">
        <v>1.8285</v>
      </c>
      <c r="W80">
        <v>56</v>
      </c>
      <c r="X80">
        <v>52</v>
      </c>
      <c r="Y80">
        <v>21</v>
      </c>
      <c r="Z80">
        <v>76</v>
      </c>
      <c r="AA80">
        <v>33</v>
      </c>
      <c r="AB80" s="29">
        <v>45886</v>
      </c>
      <c r="AC80">
        <v>91</v>
      </c>
      <c r="AD80">
        <v>9089</v>
      </c>
    </row>
    <row r="81" spans="1:30" x14ac:dyDescent="0.25">
      <c r="A81">
        <v>12372002</v>
      </c>
      <c r="B81">
        <v>80</v>
      </c>
      <c r="C81">
        <v>12965</v>
      </c>
      <c r="D81" t="s">
        <v>459</v>
      </c>
      <c r="E81" t="s">
        <v>460</v>
      </c>
      <c r="F81" t="s">
        <v>35</v>
      </c>
      <c r="G81" s="28">
        <v>32490</v>
      </c>
      <c r="H81" t="s">
        <v>100</v>
      </c>
      <c r="I81" t="b">
        <v>0</v>
      </c>
      <c r="J81">
        <v>237</v>
      </c>
      <c r="K81" t="s">
        <v>101</v>
      </c>
      <c r="L81" t="s">
        <v>102</v>
      </c>
      <c r="M81" t="s">
        <v>103</v>
      </c>
      <c r="N81" t="s">
        <v>102</v>
      </c>
      <c r="O81">
        <v>6</v>
      </c>
      <c r="P81" t="s">
        <v>104</v>
      </c>
      <c r="Q81" t="s">
        <v>105</v>
      </c>
      <c r="R81" t="b">
        <v>0</v>
      </c>
      <c r="S81">
        <v>-49.717462948975253</v>
      </c>
      <c r="T81">
        <v>65.681474748896846</v>
      </c>
      <c r="U81">
        <v>84.047222585745132</v>
      </c>
      <c r="V81">
        <v>1.7882</v>
      </c>
      <c r="W81">
        <v>47</v>
      </c>
      <c r="X81">
        <v>47</v>
      </c>
      <c r="Y81">
        <v>74</v>
      </c>
      <c r="Z81">
        <v>87</v>
      </c>
      <c r="AA81">
        <v>33</v>
      </c>
      <c r="AB81" s="29">
        <v>45886</v>
      </c>
      <c r="AC81">
        <v>91</v>
      </c>
      <c r="AD81">
        <v>9089</v>
      </c>
    </row>
    <row r="82" spans="1:30" x14ac:dyDescent="0.25">
      <c r="A82">
        <v>12371996</v>
      </c>
      <c r="B82">
        <v>81</v>
      </c>
      <c r="C82">
        <v>19396</v>
      </c>
      <c r="D82" t="s">
        <v>270</v>
      </c>
      <c r="E82" t="s">
        <v>271</v>
      </c>
      <c r="F82" t="s">
        <v>272</v>
      </c>
      <c r="G82" s="28">
        <v>34485</v>
      </c>
      <c r="H82" t="s">
        <v>100</v>
      </c>
      <c r="I82" t="b">
        <v>0</v>
      </c>
      <c r="J82">
        <v>237</v>
      </c>
      <c r="K82" t="s">
        <v>101</v>
      </c>
      <c r="L82" t="s">
        <v>102</v>
      </c>
      <c r="M82" t="s">
        <v>103</v>
      </c>
      <c r="N82" t="s">
        <v>102</v>
      </c>
      <c r="O82">
        <v>6</v>
      </c>
      <c r="P82" t="s">
        <v>104</v>
      </c>
      <c r="Q82" t="s">
        <v>105</v>
      </c>
      <c r="R82" t="b">
        <v>0</v>
      </c>
      <c r="S82">
        <v>-39.393239410611066</v>
      </c>
      <c r="T82">
        <v>67.712605594478077</v>
      </c>
      <c r="U82">
        <v>88.365496393392078</v>
      </c>
      <c r="V82">
        <v>1.7673000000000001</v>
      </c>
      <c r="W82">
        <v>50</v>
      </c>
      <c r="X82">
        <v>50</v>
      </c>
      <c r="Y82">
        <v>85</v>
      </c>
      <c r="Z82">
        <v>77</v>
      </c>
      <c r="AA82">
        <v>33</v>
      </c>
      <c r="AB82" s="29">
        <v>45886</v>
      </c>
      <c r="AC82">
        <v>91</v>
      </c>
      <c r="AD82">
        <v>9089</v>
      </c>
    </row>
    <row r="83" spans="1:30" x14ac:dyDescent="0.25">
      <c r="A83">
        <v>12371997</v>
      </c>
      <c r="B83">
        <v>82</v>
      </c>
      <c r="C83">
        <v>14795</v>
      </c>
      <c r="D83" t="s">
        <v>361</v>
      </c>
      <c r="E83" t="s">
        <v>362</v>
      </c>
      <c r="F83" t="s">
        <v>363</v>
      </c>
      <c r="G83" s="28">
        <v>32815</v>
      </c>
      <c r="H83" t="s">
        <v>100</v>
      </c>
      <c r="I83" t="b">
        <v>0</v>
      </c>
      <c r="J83">
        <v>253</v>
      </c>
      <c r="K83" t="s">
        <v>130</v>
      </c>
      <c r="L83" t="s">
        <v>63</v>
      </c>
      <c r="M83" t="s">
        <v>63</v>
      </c>
      <c r="N83" t="s">
        <v>131</v>
      </c>
      <c r="O83">
        <v>4</v>
      </c>
      <c r="P83" t="s">
        <v>106</v>
      </c>
      <c r="Q83" t="s">
        <v>107</v>
      </c>
      <c r="R83" t="b">
        <v>0</v>
      </c>
      <c r="S83">
        <v>-28.796019582916053</v>
      </c>
      <c r="T83">
        <v>57.809499950256729</v>
      </c>
      <c r="U83">
        <v>70.390743983306891</v>
      </c>
      <c r="V83">
        <v>1.7598</v>
      </c>
      <c r="W83">
        <v>37</v>
      </c>
      <c r="X83">
        <v>40</v>
      </c>
      <c r="Y83">
        <v>125</v>
      </c>
      <c r="Z83">
        <v>78</v>
      </c>
      <c r="AA83">
        <v>33</v>
      </c>
      <c r="AB83" s="29">
        <v>45886</v>
      </c>
      <c r="AC83">
        <v>91</v>
      </c>
      <c r="AD83">
        <v>9089</v>
      </c>
    </row>
    <row r="84" spans="1:30" x14ac:dyDescent="0.25">
      <c r="A84">
        <v>12371998</v>
      </c>
      <c r="B84">
        <v>83</v>
      </c>
      <c r="C84">
        <v>20722</v>
      </c>
      <c r="D84" t="s">
        <v>425</v>
      </c>
      <c r="E84" t="s">
        <v>426</v>
      </c>
      <c r="F84" t="s">
        <v>427</v>
      </c>
      <c r="G84" s="28">
        <v>35752</v>
      </c>
      <c r="H84" t="s">
        <v>100</v>
      </c>
      <c r="I84" t="b">
        <v>0</v>
      </c>
      <c r="J84">
        <v>82</v>
      </c>
      <c r="K84" t="s">
        <v>256</v>
      </c>
      <c r="L84" t="s">
        <v>257</v>
      </c>
      <c r="M84" t="s">
        <v>258</v>
      </c>
      <c r="N84" t="s">
        <v>259</v>
      </c>
      <c r="O84">
        <v>4</v>
      </c>
      <c r="P84" t="s">
        <v>106</v>
      </c>
      <c r="Q84" t="s">
        <v>107</v>
      </c>
      <c r="R84" t="b">
        <v>0</v>
      </c>
      <c r="S84">
        <v>-35.417750701929613</v>
      </c>
      <c r="T84">
        <v>65.269700263981335</v>
      </c>
      <c r="U84">
        <v>90.814189187051426</v>
      </c>
      <c r="V84">
        <v>1.7464</v>
      </c>
      <c r="W84">
        <v>69</v>
      </c>
      <c r="X84">
        <v>52</v>
      </c>
      <c r="Y84">
        <v>103</v>
      </c>
      <c r="Z84">
        <v>81</v>
      </c>
      <c r="AA84">
        <v>33</v>
      </c>
      <c r="AB84" s="29">
        <v>45886</v>
      </c>
      <c r="AC84">
        <v>91</v>
      </c>
      <c r="AD84">
        <v>9089</v>
      </c>
    </row>
    <row r="85" spans="1:30" x14ac:dyDescent="0.25">
      <c r="A85">
        <v>12371999</v>
      </c>
      <c r="B85">
        <v>84</v>
      </c>
      <c r="C85">
        <v>20706</v>
      </c>
      <c r="D85" t="s">
        <v>128</v>
      </c>
      <c r="E85" t="s">
        <v>279</v>
      </c>
      <c r="F85" t="s">
        <v>280</v>
      </c>
      <c r="G85" s="28">
        <v>32975</v>
      </c>
      <c r="H85" t="s">
        <v>100</v>
      </c>
      <c r="I85" t="b">
        <v>0</v>
      </c>
      <c r="J85">
        <v>253</v>
      </c>
      <c r="K85" t="s">
        <v>130</v>
      </c>
      <c r="L85" t="s">
        <v>63</v>
      </c>
      <c r="M85" t="s">
        <v>63</v>
      </c>
      <c r="N85" t="s">
        <v>131</v>
      </c>
      <c r="O85">
        <v>4</v>
      </c>
      <c r="P85" t="s">
        <v>106</v>
      </c>
      <c r="Q85" t="s">
        <v>107</v>
      </c>
      <c r="R85" t="b">
        <v>0</v>
      </c>
      <c r="S85">
        <v>-44.567041803797594</v>
      </c>
      <c r="T85">
        <v>46.378476601308222</v>
      </c>
      <c r="U85">
        <v>89.448948139605506</v>
      </c>
      <c r="V85">
        <v>1.7202</v>
      </c>
      <c r="W85">
        <v>61</v>
      </c>
      <c r="X85">
        <v>52</v>
      </c>
      <c r="Y85">
        <v>61</v>
      </c>
      <c r="Z85">
        <v>82</v>
      </c>
      <c r="AA85">
        <v>33</v>
      </c>
      <c r="AB85" s="29">
        <v>45886</v>
      </c>
      <c r="AC85">
        <v>91</v>
      </c>
      <c r="AD85">
        <v>9089</v>
      </c>
    </row>
    <row r="86" spans="1:30" x14ac:dyDescent="0.25">
      <c r="A86">
        <v>12372000</v>
      </c>
      <c r="B86">
        <v>85</v>
      </c>
      <c r="C86">
        <v>15310</v>
      </c>
      <c r="D86" t="s">
        <v>461</v>
      </c>
      <c r="E86" t="s">
        <v>462</v>
      </c>
      <c r="F86" t="s">
        <v>444</v>
      </c>
      <c r="G86" s="28">
        <v>34914</v>
      </c>
      <c r="H86" t="s">
        <v>100</v>
      </c>
      <c r="I86" t="b">
        <v>0</v>
      </c>
      <c r="J86">
        <v>45</v>
      </c>
      <c r="K86" t="s">
        <v>463</v>
      </c>
      <c r="L86" t="s">
        <v>464</v>
      </c>
      <c r="M86" t="s">
        <v>465</v>
      </c>
      <c r="N86" t="s">
        <v>464</v>
      </c>
      <c r="O86">
        <v>3</v>
      </c>
      <c r="P86" t="s">
        <v>155</v>
      </c>
      <c r="Q86" t="s">
        <v>156</v>
      </c>
      <c r="R86" t="b">
        <v>0</v>
      </c>
      <c r="S86">
        <v>-13.485238657802768</v>
      </c>
      <c r="T86">
        <v>73.114333648561285</v>
      </c>
      <c r="U86">
        <v>79.131759955288004</v>
      </c>
      <c r="V86">
        <v>1.6837</v>
      </c>
      <c r="W86">
        <v>47</v>
      </c>
      <c r="X86">
        <v>47</v>
      </c>
      <c r="Y86">
        <v>308</v>
      </c>
      <c r="Z86">
        <v>83</v>
      </c>
      <c r="AA86">
        <v>33</v>
      </c>
      <c r="AB86" s="29">
        <v>45886</v>
      </c>
      <c r="AC86">
        <v>91</v>
      </c>
      <c r="AD86">
        <v>9089</v>
      </c>
    </row>
    <row r="87" spans="1:30" x14ac:dyDescent="0.25">
      <c r="A87">
        <v>12372001</v>
      </c>
      <c r="B87">
        <v>86</v>
      </c>
      <c r="C87">
        <v>32055</v>
      </c>
      <c r="D87" t="s">
        <v>466</v>
      </c>
      <c r="E87" t="s">
        <v>467</v>
      </c>
      <c r="F87" t="s">
        <v>468</v>
      </c>
      <c r="G87" s="28">
        <v>36883</v>
      </c>
      <c r="H87" t="s">
        <v>100</v>
      </c>
      <c r="I87" t="b">
        <v>0</v>
      </c>
      <c r="J87">
        <v>237</v>
      </c>
      <c r="K87" t="s">
        <v>101</v>
      </c>
      <c r="L87" t="s">
        <v>102</v>
      </c>
      <c r="M87" t="s">
        <v>103</v>
      </c>
      <c r="N87" t="s">
        <v>102</v>
      </c>
      <c r="O87">
        <v>6</v>
      </c>
      <c r="P87" t="s">
        <v>104</v>
      </c>
      <c r="Q87" t="s">
        <v>105</v>
      </c>
      <c r="R87" t="b">
        <v>0</v>
      </c>
      <c r="S87">
        <v>-11.273135589374363</v>
      </c>
      <c r="T87">
        <v>54.434268207063077</v>
      </c>
      <c r="U87">
        <v>67.323143292277948</v>
      </c>
      <c r="V87">
        <v>1.6831</v>
      </c>
      <c r="W87">
        <v>37</v>
      </c>
      <c r="X87">
        <v>40</v>
      </c>
      <c r="Y87">
        <v>227</v>
      </c>
      <c r="Z87">
        <v>85</v>
      </c>
      <c r="AA87">
        <v>33</v>
      </c>
      <c r="AB87" s="29">
        <v>45886</v>
      </c>
      <c r="AC87">
        <v>91</v>
      </c>
      <c r="AD87">
        <v>9089</v>
      </c>
    </row>
    <row r="88" spans="1:30" x14ac:dyDescent="0.25">
      <c r="A88">
        <v>12371987</v>
      </c>
      <c r="B88">
        <v>87</v>
      </c>
      <c r="C88">
        <v>28469</v>
      </c>
      <c r="D88" t="s">
        <v>377</v>
      </c>
      <c r="E88" t="s">
        <v>378</v>
      </c>
      <c r="F88" t="s">
        <v>379</v>
      </c>
      <c r="G88" s="28">
        <v>36635</v>
      </c>
      <c r="H88" t="s">
        <v>100</v>
      </c>
      <c r="I88" t="b">
        <v>0</v>
      </c>
      <c r="J88">
        <v>237</v>
      </c>
      <c r="K88" t="s">
        <v>101</v>
      </c>
      <c r="L88" t="s">
        <v>102</v>
      </c>
      <c r="M88" t="s">
        <v>103</v>
      </c>
      <c r="N88" t="s">
        <v>102</v>
      </c>
      <c r="O88">
        <v>6</v>
      </c>
      <c r="P88" t="s">
        <v>104</v>
      </c>
      <c r="Q88" t="s">
        <v>105</v>
      </c>
      <c r="R88" t="b">
        <v>0</v>
      </c>
      <c r="S88">
        <v>-26.490773572803562</v>
      </c>
      <c r="T88">
        <v>74.799265419505289</v>
      </c>
      <c r="U88">
        <v>86.781933362092559</v>
      </c>
      <c r="V88">
        <v>1.6689000000000001</v>
      </c>
      <c r="W88">
        <v>55</v>
      </c>
      <c r="X88">
        <v>52</v>
      </c>
      <c r="Y88">
        <v>162</v>
      </c>
      <c r="Z88">
        <v>84</v>
      </c>
      <c r="AA88">
        <v>33</v>
      </c>
      <c r="AB88" s="29">
        <v>45886</v>
      </c>
      <c r="AC88">
        <v>91</v>
      </c>
      <c r="AD88">
        <v>9089</v>
      </c>
    </row>
    <row r="89" spans="1:30" x14ac:dyDescent="0.25">
      <c r="A89">
        <v>12371986</v>
      </c>
      <c r="B89">
        <v>88</v>
      </c>
      <c r="C89">
        <v>17550</v>
      </c>
      <c r="D89" t="s">
        <v>273</v>
      </c>
      <c r="E89" t="s">
        <v>274</v>
      </c>
      <c r="F89" t="s">
        <v>275</v>
      </c>
      <c r="G89" s="28">
        <v>32925</v>
      </c>
      <c r="H89" t="s">
        <v>100</v>
      </c>
      <c r="I89" t="b">
        <v>0</v>
      </c>
      <c r="J89">
        <v>207</v>
      </c>
      <c r="K89" t="s">
        <v>232</v>
      </c>
      <c r="L89" t="s">
        <v>233</v>
      </c>
      <c r="M89" t="s">
        <v>234</v>
      </c>
      <c r="N89" t="s">
        <v>235</v>
      </c>
      <c r="O89">
        <v>1</v>
      </c>
      <c r="P89" t="s">
        <v>236</v>
      </c>
      <c r="Q89" t="s">
        <v>237</v>
      </c>
      <c r="R89" t="b">
        <v>0</v>
      </c>
      <c r="S89">
        <v>-50.124129391867854</v>
      </c>
      <c r="T89">
        <v>59.806632995367792</v>
      </c>
      <c r="U89">
        <v>85.637132719324086</v>
      </c>
      <c r="V89">
        <v>1.6469</v>
      </c>
      <c r="W89">
        <v>58</v>
      </c>
      <c r="X89">
        <v>52</v>
      </c>
      <c r="Y89">
        <v>75</v>
      </c>
      <c r="Z89">
        <v>86</v>
      </c>
      <c r="AA89">
        <v>33</v>
      </c>
      <c r="AB89" s="29">
        <v>45886</v>
      </c>
      <c r="AC89">
        <v>91</v>
      </c>
      <c r="AD89">
        <v>9089</v>
      </c>
    </row>
    <row r="90" spans="1:30" x14ac:dyDescent="0.25">
      <c r="A90">
        <v>12371985</v>
      </c>
      <c r="B90">
        <v>89</v>
      </c>
      <c r="C90">
        <v>26653</v>
      </c>
      <c r="D90" t="s">
        <v>228</v>
      </c>
      <c r="E90" t="s">
        <v>229</v>
      </c>
      <c r="F90" t="s">
        <v>230</v>
      </c>
      <c r="G90" s="28">
        <v>36172</v>
      </c>
      <c r="H90" t="s">
        <v>100</v>
      </c>
      <c r="I90" t="b">
        <v>0</v>
      </c>
      <c r="J90">
        <v>237</v>
      </c>
      <c r="K90" t="s">
        <v>101</v>
      </c>
      <c r="L90" t="s">
        <v>102</v>
      </c>
      <c r="M90" t="s">
        <v>103</v>
      </c>
      <c r="N90" t="s">
        <v>102</v>
      </c>
      <c r="O90">
        <v>6</v>
      </c>
      <c r="P90" t="s">
        <v>104</v>
      </c>
      <c r="Q90" t="s">
        <v>105</v>
      </c>
      <c r="R90" t="b">
        <v>0</v>
      </c>
      <c r="S90">
        <v>-59.436755179396243</v>
      </c>
      <c r="T90">
        <v>25.946934643788168</v>
      </c>
      <c r="U90">
        <v>82.764913201966834</v>
      </c>
      <c r="V90">
        <v>1.5915999999999999</v>
      </c>
      <c r="W90">
        <v>54</v>
      </c>
      <c r="X90">
        <v>52</v>
      </c>
      <c r="Y90">
        <v>35</v>
      </c>
      <c r="Z90">
        <v>88</v>
      </c>
      <c r="AA90">
        <v>33</v>
      </c>
      <c r="AB90" s="29">
        <v>45886</v>
      </c>
      <c r="AC90">
        <v>91</v>
      </c>
      <c r="AD90">
        <v>9089</v>
      </c>
    </row>
    <row r="91" spans="1:30" x14ac:dyDescent="0.25">
      <c r="A91">
        <v>12371984</v>
      </c>
      <c r="B91">
        <v>90</v>
      </c>
      <c r="C91">
        <v>23602</v>
      </c>
      <c r="D91" t="s">
        <v>469</v>
      </c>
      <c r="E91" t="s">
        <v>239</v>
      </c>
      <c r="F91" t="s">
        <v>470</v>
      </c>
      <c r="G91" s="28">
        <v>36962</v>
      </c>
      <c r="H91" t="s">
        <v>100</v>
      </c>
      <c r="I91" t="b">
        <v>0</v>
      </c>
      <c r="J91">
        <v>60</v>
      </c>
      <c r="K91" t="s">
        <v>241</v>
      </c>
      <c r="L91" t="s">
        <v>242</v>
      </c>
      <c r="M91" t="s">
        <v>243</v>
      </c>
      <c r="N91" t="s">
        <v>244</v>
      </c>
      <c r="O91">
        <v>4</v>
      </c>
      <c r="P91" t="s">
        <v>106</v>
      </c>
      <c r="Q91" t="s">
        <v>107</v>
      </c>
      <c r="R91" t="b">
        <v>0</v>
      </c>
      <c r="S91">
        <v>-58.762288356985508</v>
      </c>
      <c r="T91">
        <v>47.851721698295634</v>
      </c>
      <c r="U91">
        <v>80.932135072327412</v>
      </c>
      <c r="V91">
        <v>1.5564</v>
      </c>
      <c r="W91">
        <v>53</v>
      </c>
      <c r="X91">
        <v>52</v>
      </c>
      <c r="Y91">
        <v>58</v>
      </c>
      <c r="Z91">
        <v>89</v>
      </c>
      <c r="AA91">
        <v>33</v>
      </c>
      <c r="AB91" s="29">
        <v>45886</v>
      </c>
      <c r="AC91">
        <v>91</v>
      </c>
      <c r="AD91">
        <v>9089</v>
      </c>
    </row>
    <row r="92" spans="1:30" x14ac:dyDescent="0.25">
      <c r="A92">
        <v>12371983</v>
      </c>
      <c r="B92">
        <v>91</v>
      </c>
      <c r="C92">
        <v>18586</v>
      </c>
      <c r="D92" t="s">
        <v>132</v>
      </c>
      <c r="E92" t="s">
        <v>434</v>
      </c>
      <c r="F92" t="s">
        <v>253</v>
      </c>
      <c r="G92" s="28">
        <v>33917</v>
      </c>
      <c r="H92" t="s">
        <v>100</v>
      </c>
      <c r="I92" t="b">
        <v>0</v>
      </c>
      <c r="J92">
        <v>253</v>
      </c>
      <c r="K92" t="s">
        <v>130</v>
      </c>
      <c r="L92" t="s">
        <v>63</v>
      </c>
      <c r="M92" t="s">
        <v>63</v>
      </c>
      <c r="N92" t="s">
        <v>131</v>
      </c>
      <c r="O92">
        <v>4</v>
      </c>
      <c r="P92" t="s">
        <v>106</v>
      </c>
      <c r="Q92" t="s">
        <v>107</v>
      </c>
      <c r="R92" t="b">
        <v>0</v>
      </c>
      <c r="S92">
        <v>-37.002629132071824</v>
      </c>
      <c r="T92">
        <v>50.044912513452367</v>
      </c>
      <c r="U92">
        <v>80.560113832075828</v>
      </c>
      <c r="V92">
        <v>1.5491999999999999</v>
      </c>
      <c r="W92">
        <v>55</v>
      </c>
      <c r="X92">
        <v>52</v>
      </c>
      <c r="Y92">
        <v>83</v>
      </c>
      <c r="Z92">
        <v>90</v>
      </c>
      <c r="AA92">
        <v>33</v>
      </c>
      <c r="AB92" s="29">
        <v>45886</v>
      </c>
      <c r="AC92">
        <v>91</v>
      </c>
      <c r="AD92">
        <v>9089</v>
      </c>
    </row>
    <row r="93" spans="1:30" x14ac:dyDescent="0.25">
      <c r="A93">
        <v>12371982</v>
      </c>
      <c r="B93">
        <v>92</v>
      </c>
      <c r="C93">
        <v>18105</v>
      </c>
      <c r="D93" t="s">
        <v>343</v>
      </c>
      <c r="E93" t="s">
        <v>344</v>
      </c>
      <c r="F93" t="s">
        <v>231</v>
      </c>
      <c r="G93" s="28">
        <v>35402</v>
      </c>
      <c r="H93" t="s">
        <v>100</v>
      </c>
      <c r="I93" t="b">
        <v>0</v>
      </c>
      <c r="J93">
        <v>207</v>
      </c>
      <c r="K93" t="s">
        <v>232</v>
      </c>
      <c r="L93" t="s">
        <v>233</v>
      </c>
      <c r="M93" t="s">
        <v>234</v>
      </c>
      <c r="N93" t="s">
        <v>235</v>
      </c>
      <c r="O93">
        <v>1</v>
      </c>
      <c r="P93" t="s">
        <v>236</v>
      </c>
      <c r="Q93" t="s">
        <v>237</v>
      </c>
      <c r="R93" t="b">
        <v>0</v>
      </c>
      <c r="S93">
        <v>-53.521482479725826</v>
      </c>
      <c r="T93">
        <v>26.193579787536073</v>
      </c>
      <c r="U93">
        <v>79.548644899999246</v>
      </c>
      <c r="V93">
        <v>1.5298</v>
      </c>
      <c r="W93">
        <v>65</v>
      </c>
      <c r="X93">
        <v>52</v>
      </c>
      <c r="Y93">
        <v>45</v>
      </c>
      <c r="Z93">
        <v>91</v>
      </c>
      <c r="AA93">
        <v>33</v>
      </c>
      <c r="AB93" s="29">
        <v>45886</v>
      </c>
      <c r="AC93">
        <v>91</v>
      </c>
      <c r="AD93">
        <v>9089</v>
      </c>
    </row>
    <row r="94" spans="1:30" x14ac:dyDescent="0.25">
      <c r="A94">
        <v>12371981</v>
      </c>
      <c r="B94">
        <v>93</v>
      </c>
      <c r="C94">
        <v>16333</v>
      </c>
      <c r="D94" t="s">
        <v>471</v>
      </c>
      <c r="E94" t="s">
        <v>472</v>
      </c>
      <c r="F94" t="s">
        <v>473</v>
      </c>
      <c r="G94" s="28">
        <v>32652</v>
      </c>
      <c r="H94" t="s">
        <v>100</v>
      </c>
      <c r="I94" t="b">
        <v>0</v>
      </c>
      <c r="J94">
        <v>237</v>
      </c>
      <c r="K94" t="s">
        <v>101</v>
      </c>
      <c r="L94" t="s">
        <v>102</v>
      </c>
      <c r="M94" t="s">
        <v>103</v>
      </c>
      <c r="N94" t="s">
        <v>102</v>
      </c>
      <c r="O94">
        <v>6</v>
      </c>
      <c r="P94" t="s">
        <v>104</v>
      </c>
      <c r="Q94" t="s">
        <v>105</v>
      </c>
      <c r="R94" t="b">
        <v>0</v>
      </c>
      <c r="S94">
        <v>-37.646698514949883</v>
      </c>
      <c r="T94">
        <v>54.947488035243744</v>
      </c>
      <c r="U94">
        <v>78.537049026599391</v>
      </c>
      <c r="V94">
        <v>1.5103</v>
      </c>
      <c r="W94">
        <v>60</v>
      </c>
      <c r="X94">
        <v>52</v>
      </c>
      <c r="Y94">
        <v>100</v>
      </c>
      <c r="Z94">
        <v>92</v>
      </c>
      <c r="AA94">
        <v>33</v>
      </c>
      <c r="AB94" s="29">
        <v>45886</v>
      </c>
      <c r="AC94">
        <v>91</v>
      </c>
      <c r="AD94">
        <v>9089</v>
      </c>
    </row>
    <row r="95" spans="1:30" x14ac:dyDescent="0.25">
      <c r="A95">
        <v>12371980</v>
      </c>
      <c r="B95">
        <v>94</v>
      </c>
      <c r="C95">
        <v>28159</v>
      </c>
      <c r="D95" t="s">
        <v>474</v>
      </c>
      <c r="E95" t="s">
        <v>475</v>
      </c>
      <c r="F95" t="s">
        <v>476</v>
      </c>
      <c r="G95" s="28">
        <v>36199</v>
      </c>
      <c r="H95" t="s">
        <v>100</v>
      </c>
      <c r="I95" t="b">
        <v>0</v>
      </c>
      <c r="J95">
        <v>237</v>
      </c>
      <c r="K95" t="s">
        <v>101</v>
      </c>
      <c r="L95" t="s">
        <v>102</v>
      </c>
      <c r="M95" t="s">
        <v>103</v>
      </c>
      <c r="N95" t="s">
        <v>102</v>
      </c>
      <c r="O95">
        <v>6</v>
      </c>
      <c r="P95" t="s">
        <v>104</v>
      </c>
      <c r="Q95" t="s">
        <v>105</v>
      </c>
      <c r="R95" t="b">
        <v>0</v>
      </c>
      <c r="S95">
        <v>-23.169858037762296</v>
      </c>
      <c r="T95">
        <v>52.760492917467623</v>
      </c>
      <c r="U95">
        <v>72.975477692761899</v>
      </c>
      <c r="V95">
        <v>1.4893000000000001</v>
      </c>
      <c r="W95">
        <v>49</v>
      </c>
      <c r="X95">
        <v>49</v>
      </c>
      <c r="Y95">
        <v>150</v>
      </c>
      <c r="Z95">
        <v>96</v>
      </c>
      <c r="AA95">
        <v>33</v>
      </c>
      <c r="AB95" s="29">
        <v>45886</v>
      </c>
      <c r="AC95">
        <v>91</v>
      </c>
      <c r="AD95">
        <v>9089</v>
      </c>
    </row>
    <row r="96" spans="1:30" x14ac:dyDescent="0.25">
      <c r="A96">
        <v>12371979</v>
      </c>
      <c r="B96">
        <v>95</v>
      </c>
      <c r="C96">
        <v>23841</v>
      </c>
      <c r="D96" t="s">
        <v>238</v>
      </c>
      <c r="E96" t="s">
        <v>389</v>
      </c>
      <c r="F96" t="s">
        <v>390</v>
      </c>
      <c r="G96" s="28">
        <v>36344</v>
      </c>
      <c r="H96" t="s">
        <v>100</v>
      </c>
      <c r="I96" t="b">
        <v>0</v>
      </c>
      <c r="J96">
        <v>60</v>
      </c>
      <c r="K96" t="s">
        <v>241</v>
      </c>
      <c r="L96" t="s">
        <v>242</v>
      </c>
      <c r="M96" t="s">
        <v>243</v>
      </c>
      <c r="N96" t="s">
        <v>244</v>
      </c>
      <c r="O96">
        <v>4</v>
      </c>
      <c r="P96" t="s">
        <v>106</v>
      </c>
      <c r="Q96" t="s">
        <v>107</v>
      </c>
      <c r="R96" t="b">
        <v>0</v>
      </c>
      <c r="S96">
        <v>-27.409850994920831</v>
      </c>
      <c r="T96">
        <v>52.197483875494939</v>
      </c>
      <c r="U96">
        <v>75.7968487538472</v>
      </c>
      <c r="V96">
        <v>1.4862</v>
      </c>
      <c r="W96">
        <v>51</v>
      </c>
      <c r="X96">
        <v>51</v>
      </c>
      <c r="Y96">
        <v>94</v>
      </c>
      <c r="Z96">
        <v>95</v>
      </c>
      <c r="AA96">
        <v>33</v>
      </c>
      <c r="AB96" s="29">
        <v>45886</v>
      </c>
      <c r="AC96">
        <v>91</v>
      </c>
      <c r="AD96">
        <v>9089</v>
      </c>
    </row>
    <row r="97" spans="1:30" x14ac:dyDescent="0.25">
      <c r="A97">
        <v>12371978</v>
      </c>
      <c r="B97">
        <v>96</v>
      </c>
      <c r="C97">
        <v>17786</v>
      </c>
      <c r="D97" t="s">
        <v>121</v>
      </c>
      <c r="E97" t="s">
        <v>209</v>
      </c>
      <c r="F97" t="s">
        <v>210</v>
      </c>
      <c r="G97" s="28">
        <v>34751</v>
      </c>
      <c r="H97" t="s">
        <v>100</v>
      </c>
      <c r="I97" t="b">
        <v>0</v>
      </c>
      <c r="J97">
        <v>13</v>
      </c>
      <c r="K97" t="s">
        <v>122</v>
      </c>
      <c r="L97" t="s">
        <v>123</v>
      </c>
      <c r="M97" t="s">
        <v>124</v>
      </c>
      <c r="N97" t="s">
        <v>123</v>
      </c>
      <c r="O97">
        <v>2</v>
      </c>
      <c r="P97" t="s">
        <v>125</v>
      </c>
      <c r="Q97" t="s">
        <v>126</v>
      </c>
      <c r="R97" t="b">
        <v>0</v>
      </c>
      <c r="S97">
        <v>-62.460697566767891</v>
      </c>
      <c r="T97">
        <v>38.507301619075676</v>
      </c>
      <c r="U97">
        <v>76.285883513827244</v>
      </c>
      <c r="V97">
        <v>1.4670000000000001</v>
      </c>
      <c r="W97">
        <v>52</v>
      </c>
      <c r="X97">
        <v>52</v>
      </c>
      <c r="Y97">
        <v>51</v>
      </c>
      <c r="Z97">
        <v>93</v>
      </c>
      <c r="AA97">
        <v>33</v>
      </c>
      <c r="AB97" s="29">
        <v>45886</v>
      </c>
      <c r="AC97">
        <v>91</v>
      </c>
      <c r="AD97">
        <v>9089</v>
      </c>
    </row>
    <row r="98" spans="1:30" x14ac:dyDescent="0.25">
      <c r="A98">
        <v>12371977</v>
      </c>
      <c r="B98">
        <v>97</v>
      </c>
      <c r="C98">
        <v>23505</v>
      </c>
      <c r="D98" t="s">
        <v>127</v>
      </c>
      <c r="E98" t="s">
        <v>393</v>
      </c>
      <c r="F98" t="s">
        <v>394</v>
      </c>
      <c r="G98" s="28">
        <v>34822</v>
      </c>
      <c r="H98" t="s">
        <v>100</v>
      </c>
      <c r="I98" t="b">
        <v>0</v>
      </c>
      <c r="J98">
        <v>237</v>
      </c>
      <c r="K98" t="s">
        <v>101</v>
      </c>
      <c r="L98" t="s">
        <v>102</v>
      </c>
      <c r="M98" t="s">
        <v>103</v>
      </c>
      <c r="N98" t="s">
        <v>102</v>
      </c>
      <c r="O98">
        <v>6</v>
      </c>
      <c r="P98" t="s">
        <v>104</v>
      </c>
      <c r="Q98" t="s">
        <v>105</v>
      </c>
      <c r="R98" t="b">
        <v>0</v>
      </c>
      <c r="S98">
        <v>-31.974077941877859</v>
      </c>
      <c r="T98">
        <v>38.022931515382531</v>
      </c>
      <c r="U98">
        <v>76.258179876168938</v>
      </c>
      <c r="V98">
        <v>1.4664999999999999</v>
      </c>
      <c r="W98">
        <v>58</v>
      </c>
      <c r="X98">
        <v>52</v>
      </c>
      <c r="Y98">
        <v>82</v>
      </c>
      <c r="Z98">
        <v>94</v>
      </c>
      <c r="AA98">
        <v>33</v>
      </c>
      <c r="AB98" s="29">
        <v>45886</v>
      </c>
      <c r="AC98">
        <v>91</v>
      </c>
      <c r="AD98">
        <v>9089</v>
      </c>
    </row>
    <row r="99" spans="1:30" x14ac:dyDescent="0.25">
      <c r="A99">
        <v>12371976</v>
      </c>
      <c r="B99">
        <v>98</v>
      </c>
      <c r="C99">
        <v>13412</v>
      </c>
      <c r="D99" t="s">
        <v>250</v>
      </c>
      <c r="E99" t="s">
        <v>251</v>
      </c>
      <c r="F99" t="s">
        <v>252</v>
      </c>
      <c r="G99" s="28">
        <v>32863</v>
      </c>
      <c r="H99" t="s">
        <v>100</v>
      </c>
      <c r="I99" t="b">
        <v>0</v>
      </c>
      <c r="J99">
        <v>60</v>
      </c>
      <c r="K99" t="s">
        <v>241</v>
      </c>
      <c r="L99" t="s">
        <v>242</v>
      </c>
      <c r="M99" t="s">
        <v>243</v>
      </c>
      <c r="N99" t="s">
        <v>244</v>
      </c>
      <c r="O99">
        <v>4</v>
      </c>
      <c r="P99" t="s">
        <v>106</v>
      </c>
      <c r="Q99" t="s">
        <v>107</v>
      </c>
      <c r="R99" t="b">
        <v>0</v>
      </c>
      <c r="S99">
        <v>-44.946299171911733</v>
      </c>
      <c r="T99">
        <v>35.732799696567454</v>
      </c>
      <c r="U99">
        <v>75.502441266095076</v>
      </c>
      <c r="V99">
        <v>1.452</v>
      </c>
      <c r="W99">
        <v>61</v>
      </c>
      <c r="X99">
        <v>52</v>
      </c>
      <c r="Y99">
        <v>66</v>
      </c>
      <c r="Z99">
        <v>99</v>
      </c>
      <c r="AA99">
        <v>33</v>
      </c>
      <c r="AB99" s="29">
        <v>45886</v>
      </c>
      <c r="AC99">
        <v>91</v>
      </c>
      <c r="AD99">
        <v>9089</v>
      </c>
    </row>
    <row r="100" spans="1:30" x14ac:dyDescent="0.25">
      <c r="A100">
        <v>12371975</v>
      </c>
      <c r="B100">
        <v>99</v>
      </c>
      <c r="C100">
        <v>12808</v>
      </c>
      <c r="D100" t="s">
        <v>435</v>
      </c>
      <c r="E100" t="s">
        <v>436</v>
      </c>
      <c r="F100" t="s">
        <v>45</v>
      </c>
      <c r="G100" s="28">
        <v>33861</v>
      </c>
      <c r="H100" t="s">
        <v>100</v>
      </c>
      <c r="I100" t="b">
        <v>0</v>
      </c>
      <c r="J100">
        <v>10</v>
      </c>
      <c r="K100" t="s">
        <v>437</v>
      </c>
      <c r="L100" t="s">
        <v>438</v>
      </c>
      <c r="M100" t="s">
        <v>439</v>
      </c>
      <c r="N100" t="s">
        <v>438</v>
      </c>
      <c r="O100">
        <v>7</v>
      </c>
      <c r="P100" t="s">
        <v>199</v>
      </c>
      <c r="Q100" t="s">
        <v>200</v>
      </c>
      <c r="R100" t="b">
        <v>0</v>
      </c>
      <c r="S100">
        <v>-47.612446617114522</v>
      </c>
      <c r="T100">
        <v>57.823535604228717</v>
      </c>
      <c r="U100">
        <v>75.322955776910945</v>
      </c>
      <c r="V100">
        <v>1.4484999999999999</v>
      </c>
      <c r="W100">
        <v>52</v>
      </c>
      <c r="X100">
        <v>52</v>
      </c>
      <c r="Y100">
        <v>86</v>
      </c>
      <c r="Z100">
        <v>98</v>
      </c>
      <c r="AA100">
        <v>33</v>
      </c>
      <c r="AB100" s="29">
        <v>45886</v>
      </c>
      <c r="AC100">
        <v>91</v>
      </c>
      <c r="AD100">
        <v>9089</v>
      </c>
    </row>
    <row r="101" spans="1:30" x14ac:dyDescent="0.25">
      <c r="A101">
        <v>12371974</v>
      </c>
      <c r="B101">
        <v>100</v>
      </c>
      <c r="C101">
        <v>12577</v>
      </c>
      <c r="D101" t="s">
        <v>477</v>
      </c>
      <c r="E101" t="s">
        <v>478</v>
      </c>
      <c r="F101" t="s">
        <v>479</v>
      </c>
      <c r="G101" s="28">
        <v>30823</v>
      </c>
      <c r="H101" t="s">
        <v>100</v>
      </c>
      <c r="I101" t="b">
        <v>0</v>
      </c>
      <c r="J101">
        <v>237</v>
      </c>
      <c r="K101" t="s">
        <v>101</v>
      </c>
      <c r="L101" t="s">
        <v>102</v>
      </c>
      <c r="M101" t="s">
        <v>103</v>
      </c>
      <c r="N101" t="s">
        <v>102</v>
      </c>
      <c r="O101">
        <v>6</v>
      </c>
      <c r="P101" t="s">
        <v>104</v>
      </c>
      <c r="Q101" t="s">
        <v>105</v>
      </c>
      <c r="R101" t="b">
        <v>0</v>
      </c>
      <c r="S101">
        <v>-21.597517247249165</v>
      </c>
      <c r="T101">
        <v>56.748263267075238</v>
      </c>
      <c r="U101">
        <v>64.602628493849096</v>
      </c>
      <c r="V101">
        <v>1.4356</v>
      </c>
      <c r="W101">
        <v>45</v>
      </c>
      <c r="X101">
        <v>45</v>
      </c>
      <c r="Y101">
        <v>200</v>
      </c>
      <c r="Z101">
        <v>100</v>
      </c>
      <c r="AA101">
        <v>33</v>
      </c>
      <c r="AB101" s="29">
        <v>45886</v>
      </c>
      <c r="AC101">
        <v>91</v>
      </c>
      <c r="AD101">
        <v>9089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3" t="str" cm="1">
        <f t="array" aca="1" ref="A1" ca="1">LEFT(CELL("filename"),FIND("[",CELL("filename"))-1)</f>
        <v>C:\pga\</v>
      </c>
    </row>
    <row r="4" spans="1:1" ht="19.2" x14ac:dyDescent="0.45">
      <c r="A4" s="4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2EA05996-E1CD-4F5E-A686-756E14993D11}">
  <ds:schemaRef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5fd5ea90-b119-47df-baf9-72dae140e9be"/>
    <ds:schemaRef ds:uri="982f01af-4d07-425c-8fa5-3f0095db24b1"/>
    <ds:schemaRef ds:uri="http://schemas.microsoft.com/sharepoint/v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ESPNField</vt:lpstr>
      <vt:lpstr>Status</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2025-08-21T22:03:19Z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