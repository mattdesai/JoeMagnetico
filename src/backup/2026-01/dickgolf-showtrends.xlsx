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pga\"/>
    </mc:Choice>
  </mc:AlternateContent>
  <xr:revisionPtr revIDLastSave="0" documentId="8_{2E7DC2AE-0AD1-409E-9A84-C4D953916A66}" xr6:coauthVersionLast="47" xr6:coauthVersionMax="47" xr10:uidLastSave="{00000000-0000-0000-0000-000000000000}"/>
  <bookViews>
    <workbookView xWindow="-96" yWindow="-96" windowWidth="23232" windowHeight="12432" activeTab="2" xr2:uid="{B96DF515-7248-4A25-A5C6-2986289BD1B4}"/>
  </bookViews>
  <sheets>
    <sheet name="Sheet1" sheetId="1" r:id="rId1"/>
    <sheet name="Sheet6" sheetId="6" r:id="rId2"/>
    <sheet name="Sheet7" sheetId="7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7" l="1" a="1"/>
  <c r="E30" i="7" s="1"/>
  <c r="D30" i="7" a="1"/>
  <c r="D30" i="7" s="1"/>
  <c r="C30" i="7" a="1"/>
  <c r="C30" i="7" s="1"/>
  <c r="B30" i="7" a="1"/>
  <c r="B30" i="7" s="1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 s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 s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 s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 s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 s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 s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 s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 s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 s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 s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 s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 s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 s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 s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 s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 s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 s="1"/>
  <c r="C75" i="1" l="1" a="1"/>
  <c r="C75" i="1" s="1"/>
  <c r="C73" i="1" a="1"/>
  <c r="C73" i="1" s="1"/>
  <c r="C74" i="1" a="1"/>
  <c r="C74" i="1" s="1"/>
  <c r="C72" i="1" a="1"/>
  <c r="C72" i="1" s="1"/>
  <c r="C70" i="1" a="1"/>
  <c r="C70" i="1" s="1"/>
  <c r="C66" i="1" a="1"/>
  <c r="C66" i="1" s="1"/>
  <c r="C65" i="1" a="1"/>
  <c r="C65" i="1" s="1"/>
  <c r="C62" i="1" a="1"/>
  <c r="C62" i="1" s="1"/>
  <c r="C60" i="1" a="1"/>
  <c r="C60" i="1" s="1"/>
  <c r="C59" i="1" a="1"/>
  <c r="C59" i="1" s="1"/>
  <c r="C71" i="1" a="1"/>
  <c r="C71" i="1" s="1"/>
  <c r="C68" i="1" a="1"/>
  <c r="C68" i="1" s="1"/>
  <c r="C69" i="1" a="1"/>
  <c r="C69" i="1" s="1"/>
  <c r="C64" i="1" a="1"/>
  <c r="C64" i="1" s="1"/>
  <c r="C63" i="1" a="1"/>
  <c r="C63" i="1" s="1"/>
  <c r="C57" i="1" a="1"/>
  <c r="C57" i="1" s="1"/>
  <c r="C77" i="1" a="1"/>
  <c r="C77" i="1" s="1"/>
  <c r="C78" i="1" a="1"/>
  <c r="C78" i="1" s="1"/>
  <c r="C76" i="1" a="1"/>
  <c r="C76" i="1" s="1"/>
  <c r="C67" i="1" a="1"/>
  <c r="C67" i="1" s="1"/>
  <c r="C61" i="1" a="1"/>
  <c r="C61" i="1" s="1"/>
  <c r="C58" i="1" a="1"/>
  <c r="C58" i="1" s="1"/>
  <c r="C48" i="1"/>
  <c r="C45" i="1"/>
  <c r="C42" i="1"/>
  <c r="C35" i="1"/>
  <c r="C3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<sst xmlns="http://schemas.openxmlformats.org/spreadsheetml/2006/main" count="1026" uniqueCount="94">
  <si>
    <t>Joe Magnetico</t>
  </si>
  <si>
    <t>Richard Webster</t>
  </si>
  <si>
    <t>Dean Nardone</t>
  </si>
  <si>
    <t>Charlie Adams</t>
  </si>
  <si>
    <t>Russ Flagg</t>
  </si>
  <si>
    <t>Gary Casarsa</t>
  </si>
  <si>
    <t>Halley Ganges</t>
  </si>
  <si>
    <t>Matt Desai</t>
  </si>
  <si>
    <t>Scottie Scheffler</t>
  </si>
  <si>
    <t>Tommy Fleetwood</t>
  </si>
  <si>
    <t>Justin Rose</t>
  </si>
  <si>
    <t>Robert MacIntyre</t>
  </si>
  <si>
    <t>Russell Henley</t>
  </si>
  <si>
    <t>Maverick McNealy</t>
  </si>
  <si>
    <t>Harris English</t>
  </si>
  <si>
    <t>Justin Thomas</t>
  </si>
  <si>
    <t>Ludvig Åberg</t>
  </si>
  <si>
    <t>Cameron Young</t>
  </si>
  <si>
    <t>Sam Burns</t>
  </si>
  <si>
    <t>Keegan Bradley</t>
  </si>
  <si>
    <t>Patrick Cantlay</t>
  </si>
  <si>
    <t>Collin Morikawa</t>
  </si>
  <si>
    <t>Hideki Matsuyama</t>
  </si>
  <si>
    <t>Viktor Hovland</t>
  </si>
  <si>
    <t>Nick Taylor</t>
  </si>
  <si>
    <t>Harry Hall</t>
  </si>
  <si>
    <t>Akshay Bhatia</t>
  </si>
  <si>
    <t>Sungjae Im</t>
  </si>
  <si>
    <t>Chris Gotterup</t>
  </si>
  <si>
    <t>Mike Coope</t>
  </si>
  <si>
    <t>Bill Seeger</t>
  </si>
  <si>
    <t>Laurie Seeger</t>
  </si>
  <si>
    <t>Anne Heal</t>
  </si>
  <si>
    <t>Lorraine McGill</t>
  </si>
  <si>
    <t>Steve McFadden</t>
  </si>
  <si>
    <t>Chris Callahan</t>
  </si>
  <si>
    <t>Rory McIlroy</t>
  </si>
  <si>
    <t>Ben Griffin</t>
  </si>
  <si>
    <t>Sepp Straka</t>
  </si>
  <si>
    <t>Brian Harman</t>
  </si>
  <si>
    <t>Shane Lowry</t>
  </si>
  <si>
    <t>Sean Christian</t>
  </si>
  <si>
    <t>Mark Brenman</t>
  </si>
  <si>
    <t>Ken Webster</t>
  </si>
  <si>
    <t>Matt Myers</t>
  </si>
  <si>
    <t>Damon Chapman</t>
  </si>
  <si>
    <t>Chris Marinis</t>
  </si>
  <si>
    <t>Anthony Neville</t>
  </si>
  <si>
    <t>Andrew Novak</t>
  </si>
  <si>
    <t>Corey Conners</t>
  </si>
  <si>
    <t>J.J. Spaun</t>
  </si>
  <si>
    <t>Jacob Bridgeman</t>
  </si>
  <si>
    <t>TeamName</t>
  </si>
  <si>
    <t>Golfer1</t>
  </si>
  <si>
    <t>Golfer10</t>
  </si>
  <si>
    <t>Golfer2</t>
  </si>
  <si>
    <t>Golfer3</t>
  </si>
  <si>
    <t>Golfer4</t>
  </si>
  <si>
    <t>Golfer5</t>
  </si>
  <si>
    <t>Golfer6</t>
  </si>
  <si>
    <t>Golfer7</t>
  </si>
  <si>
    <t>Golfer8</t>
  </si>
  <si>
    <t>Golfer9</t>
  </si>
  <si>
    <t>x</t>
  </si>
  <si>
    <t>12p</t>
  </si>
  <si>
    <t>1p</t>
  </si>
  <si>
    <t>2p</t>
  </si>
  <si>
    <t>3p</t>
  </si>
  <si>
    <t>4p</t>
  </si>
  <si>
    <t>5p</t>
  </si>
  <si>
    <t>6p</t>
  </si>
  <si>
    <t>Sun</t>
  </si>
  <si>
    <t>7p</t>
  </si>
  <si>
    <t>Sat</t>
  </si>
  <si>
    <t>9a</t>
  </si>
  <si>
    <t>10a</t>
  </si>
  <si>
    <t>11a</t>
  </si>
  <si>
    <t>Fri</t>
  </si>
  <si>
    <t>Thu</t>
  </si>
  <si>
    <t>--</t>
  </si>
  <si>
    <t>bob</t>
  </si>
  <si>
    <t>doug</t>
  </si>
  <si>
    <t>janet</t>
  </si>
  <si>
    <t>a</t>
  </si>
  <si>
    <t>c</t>
  </si>
  <si>
    <t>e</t>
  </si>
  <si>
    <t>f</t>
  </si>
  <si>
    <t>g</t>
  </si>
  <si>
    <t>h</t>
  </si>
  <si>
    <t>i</t>
  </si>
  <si>
    <t>k</t>
  </si>
  <si>
    <t>l</t>
  </si>
  <si>
    <t>m</t>
  </si>
  <si>
    <t>fred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</si>
</sst>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8" tint="0.3999755851924192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0" borderId="0" xfId="0" applyFont="1"/>
    <xf numFmtId="0" fontId="4" fillId="0" borderId="0" xfId="0" applyFont="1" applyAlignment="1">
      <alignment vertical="center"/>
    </xf>
    <xf numFmtId="0" fontId="2" fillId="0" borderId="0" xfId="0" applyFont="1"/>
    <xf numFmtId="0" fontId="5" fillId="0" borderId="0" xfId="1" applyFont="1"/>
    <xf numFmtId="0" fontId="0" fillId="0" borderId="2" xfId="0" applyBorder="1"/>
    <xf numFmtId="0" fontId="2" fillId="0" borderId="2" xfId="0" applyFont="1" applyBorder="1"/>
    <xf numFmtId="0" fontId="4" fillId="0" borderId="2" xfId="0" applyFont="1" applyBorder="1"/>
    <xf numFmtId="0" fontId="5" fillId="0" borderId="2" xfId="1" applyFont="1" applyBorder="1"/>
    <xf numFmtId="0" fontId="4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6" fillId="0" borderId="0" xfId="0" applyFont="1"/>
    <xf numFmtId="0" fontId="0" fillId="2" borderId="3" xfId="0" applyFill="1" applyBorder="1"/>
    <xf numFmtId="0" fontId="3" fillId="2" borderId="5" xfId="0" applyFont="1" applyFill="1" applyBorder="1" applyAlignment="1">
      <alignment horizontal="center"/>
    </xf>
    <xf numFmtId="0" fontId="0" fillId="2" borderId="6" xfId="0" applyFill="1" applyBorder="1"/>
    <xf numFmtId="0" fontId="0" fillId="0" borderId="9" xfId="0" applyBorder="1"/>
    <xf numFmtId="0" fontId="4" fillId="0" borderId="1" xfId="0" applyFont="1" applyBorder="1"/>
    <xf numFmtId="0" fontId="0" fillId="0" borderId="1" xfId="0" applyBorder="1"/>
    <xf numFmtId="0" fontId="0" fillId="0" borderId="11" xfId="0" applyBorder="1"/>
    <xf numFmtId="0" fontId="3" fillId="0" borderId="0" xfId="0" applyFont="1" applyAlignment="1">
      <alignment vertical="center"/>
    </xf>
    <xf numFmtId="0" fontId="4" fillId="0" borderId="0" xfId="0" quotePrefix="1" applyFont="1"/>
    <xf numFmtId="1" fontId="0" fillId="0" borderId="0" xfId="0" applyNumberFormat="1"/>
    <xf numFmtId="0" fontId="3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2">
    <cellStyle name="Normal" xfId="0" builtinId="0"/>
    <cellStyle name="Normal 2" xfId="1" xr:uid="{6E81414E-C97F-418D-BAE6-A8837C7CDA7E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Sheet7!$A$3</c:f>
              <c:strCache>
                <c:ptCount val="1"/>
                <c:pt idx="0">
                  <c:v>bob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Sheet7!$B$2:$E$2</c:f>
              <c:strCache>
                <c:ptCount val="4"/>
                <c:pt idx="0">
                  <c:v>12p</c:v>
                </c:pt>
                <c:pt idx="1">
                  <c:v>1p</c:v>
                </c:pt>
                <c:pt idx="2">
                  <c:v>2p</c:v>
                </c:pt>
                <c:pt idx="3">
                  <c:v>3p</c:v>
                </c:pt>
              </c:strCache>
            </c:strRef>
          </c:cat>
          <c:val>
            <c:numRef>
              <c:f>Sheet7!$B$3:$E$3</c:f>
              <c:numCache>
                <c:formatCode>0</c:formatCode>
                <c:ptCount val="4"/>
                <c:pt idx="0">
                  <c:v>-22.263970521865918</c:v>
                </c:pt>
                <c:pt idx="1">
                  <c:v>-30.686403983779694</c:v>
                </c:pt>
                <c:pt idx="2">
                  <c:v>-22.765151378108524</c:v>
                </c:pt>
                <c:pt idx="3">
                  <c:v>-34.675037262366423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5C-4719-9E12-BE98BD728D7F}"/>
            </c:ext>
          </c:extLst>
        </c:ser>
        <c:ser>
          <c:idx val="1"/>
          <c:order val="1"/>
          <c:tx>
            <c:strRef>
              <c:f>Sheet7!$A$4</c:f>
              <c:strCache>
                <c:ptCount val="1"/>
                <c:pt idx="0">
                  <c:v>janet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Sheet7!$B$2:$E$2</c:f>
              <c:strCache>
                <c:ptCount val="4"/>
                <c:pt idx="0">
                  <c:v>12p</c:v>
                </c:pt>
                <c:pt idx="1">
                  <c:v>1p</c:v>
                </c:pt>
                <c:pt idx="2">
                  <c:v>2p</c:v>
                </c:pt>
                <c:pt idx="3">
                  <c:v>3p</c:v>
                </c:pt>
              </c:strCache>
            </c:strRef>
          </c:cat>
          <c:val>
            <c:numRef>
              <c:f>Sheet7!$B$4:$E$4</c:f>
              <c:numCache>
                <c:formatCode>0</c:formatCode>
                <c:ptCount val="4"/>
                <c:pt idx="0">
                  <c:v>-37.575558313216504</c:v>
                </c:pt>
                <c:pt idx="1">
                  <c:v>-37.662768552260559</c:v>
                </c:pt>
                <c:pt idx="2">
                  <c:v>-23.02853847654027</c:v>
                </c:pt>
                <c:pt idx="3">
                  <c:v>-36.955566082755091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5C-4719-9E12-BE98BD728D7F}"/>
            </c:ext>
          </c:extLst>
        </c:ser>
        <c:ser>
          <c:idx val="2"/>
          <c:order val="2"/>
          <c:tx>
            <c:strRef>
              <c:f>Sheet7!$A$5</c:f>
              <c:strCache>
                <c:ptCount val="1"/>
                <c:pt idx="0">
                  <c:v>doug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Sheet7!$B$2:$E$2</c:f>
              <c:strCache>
                <c:ptCount val="4"/>
                <c:pt idx="0">
                  <c:v>12p</c:v>
                </c:pt>
                <c:pt idx="1">
                  <c:v>1p</c:v>
                </c:pt>
                <c:pt idx="2">
                  <c:v>2p</c:v>
                </c:pt>
                <c:pt idx="3">
                  <c:v>3p</c:v>
                </c:pt>
              </c:strCache>
            </c:strRef>
          </c:cat>
          <c:val>
            <c:numRef>
              <c:f>Sheet7!$B$5:$E$5</c:f>
              <c:numCache>
                <c:formatCode>0</c:formatCode>
                <c:ptCount val="4"/>
                <c:pt idx="0">
                  <c:v>-26.638161095287611</c:v>
                </c:pt>
                <c:pt idx="1">
                  <c:v>-35.723183094089016</c:v>
                </c:pt>
                <c:pt idx="2">
                  <c:v>-33.043117626814364</c:v>
                </c:pt>
                <c:pt idx="3">
                  <c:v>-34.652254769519416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5C-4719-9E12-BE98BD728D7F}"/>
            </c:ext>
          </c:extLst>
        </c:ser>
        <c:ser>
          <c:idx val="3"/>
          <c:order val="3"/>
          <c:tx>
            <c:strRef>
              <c:f>Sheet7!$A$6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Sheet7!$B$2:$E$2</c:f>
              <c:strCache>
                <c:ptCount val="4"/>
                <c:pt idx="0">
                  <c:v>12p</c:v>
                </c:pt>
                <c:pt idx="1">
                  <c:v>1p</c:v>
                </c:pt>
                <c:pt idx="2">
                  <c:v>2p</c:v>
                </c:pt>
                <c:pt idx="3">
                  <c:v>3p</c:v>
                </c:pt>
              </c:strCache>
            </c:strRef>
          </c:cat>
          <c:val>
            <c:numRef>
              <c:f>Sheet7!$B$6:$E$6</c:f>
              <c:numCache>
                <c:formatCode>0</c:formatCode>
                <c:ptCount val="4"/>
                <c:pt idx="0">
                  <c:v>-31.326277685036466</c:v>
                </c:pt>
                <c:pt idx="1">
                  <c:v>-39.40492615469735</c:v>
                </c:pt>
                <c:pt idx="2">
                  <c:v>-39.088637068963244</c:v>
                </c:pt>
                <c:pt idx="3">
                  <c:v>-30.949684144773709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5C-4719-9E12-BE98BD728D7F}"/>
            </c:ext>
          </c:extLst>
        </c:ser>
        <c:ser>
          <c:idx val="4"/>
          <c:order val="4"/>
          <c:tx>
            <c:strRef>
              <c:f>Sheet7!$A$7</c:f>
              <c:strCache>
                <c:ptCount val="1"/>
                <c:pt idx="0">
                  <c:v>fred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Sheet7!$B$2:$E$2</c:f>
              <c:strCache>
                <c:ptCount val="4"/>
                <c:pt idx="0">
                  <c:v>12p</c:v>
                </c:pt>
                <c:pt idx="1">
                  <c:v>1p</c:v>
                </c:pt>
                <c:pt idx="2">
                  <c:v>2p</c:v>
                </c:pt>
                <c:pt idx="3">
                  <c:v>3p</c:v>
                </c:pt>
              </c:strCache>
            </c:strRef>
          </c:cat>
          <c:val>
            <c:numRef>
              <c:f>Sheet7!$B$7:$E$7</c:f>
              <c:numCache>
                <c:formatCode>0</c:formatCode>
                <c:ptCount val="4"/>
                <c:pt idx="0">
                  <c:v>-20.412293564677118</c:v>
                </c:pt>
                <c:pt idx="1">
                  <c:v>-37.842765145026533</c:v>
                </c:pt>
                <c:pt idx="2">
                  <c:v>-26.27456673276118</c:v>
                </c:pt>
                <c:pt idx="3">
                  <c:v>-38.272679932103159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5C-4719-9E12-BE98BD728D7F}"/>
            </c:ext>
          </c:extLst>
        </c:ser>
        <c:ser>
          <c:idx val="5"/>
          <c:order val="5"/>
          <c:tx>
            <c:strRef>
              <c:f>Sheet7!$A$8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Sheet7!$B$2:$E$2</c:f>
              <c:strCache>
                <c:ptCount val="4"/>
                <c:pt idx="0">
                  <c:v>12p</c:v>
                </c:pt>
                <c:pt idx="1">
                  <c:v>1p</c:v>
                </c:pt>
                <c:pt idx="2">
                  <c:v>2p</c:v>
                </c:pt>
                <c:pt idx="3">
                  <c:v>3p</c:v>
                </c:pt>
              </c:strCache>
            </c:strRef>
          </c:cat>
          <c:val>
            <c:numRef>
              <c:f>Sheet7!$B$8:$E$8</c:f>
              <c:numCache>
                <c:formatCode>0</c:formatCode>
                <c:ptCount val="4"/>
                <c:pt idx="0">
                  <c:v>-24.046934545371794</c:v>
                </c:pt>
                <c:pt idx="1">
                  <c:v>-36.163271203860319</c:v>
                </c:pt>
                <c:pt idx="2">
                  <c:v>-28.65503483399997</c:v>
                </c:pt>
                <c:pt idx="3">
                  <c:v>-31.155823165901058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35C-4719-9E12-BE98BD728D7F}"/>
            </c:ext>
          </c:extLst>
        </c:ser>
        <c:ser>
          <c:idx val="6"/>
          <c:order val="6"/>
          <c:tx>
            <c:strRef>
              <c:f>Sheet7!$A$9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Sheet7!$B$2:$E$2</c:f>
              <c:strCache>
                <c:ptCount val="4"/>
                <c:pt idx="0">
                  <c:v>12p</c:v>
                </c:pt>
                <c:pt idx="1">
                  <c:v>1p</c:v>
                </c:pt>
                <c:pt idx="2">
                  <c:v>2p</c:v>
                </c:pt>
                <c:pt idx="3">
                  <c:v>3p</c:v>
                </c:pt>
              </c:strCache>
            </c:strRef>
          </c:cat>
          <c:val>
            <c:numRef>
              <c:f>Sheet7!$B$9:$E$9</c:f>
              <c:numCache>
                <c:formatCode>0</c:formatCode>
                <c:ptCount val="4"/>
                <c:pt idx="0">
                  <c:v>-31.901427333698848</c:v>
                </c:pt>
                <c:pt idx="1">
                  <c:v>-34.610491515983782</c:v>
                </c:pt>
                <c:pt idx="2">
                  <c:v>-35.604149219336783</c:v>
                </c:pt>
                <c:pt idx="3">
                  <c:v>-36.984310708496594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5C-4719-9E12-BE98BD728D7F}"/>
            </c:ext>
          </c:extLst>
        </c:ser>
        <c:ser>
          <c:idx val="7"/>
          <c:order val="7"/>
          <c:tx>
            <c:strRef>
              <c:f>Sheet7!$A$10</c:f>
              <c:strCache>
                <c:ptCount val="1"/>
                <c:pt idx="0">
                  <c:v>f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Sheet7!$B$2:$E$2</c:f>
              <c:strCache>
                <c:ptCount val="4"/>
                <c:pt idx="0">
                  <c:v>12p</c:v>
                </c:pt>
                <c:pt idx="1">
                  <c:v>1p</c:v>
                </c:pt>
                <c:pt idx="2">
                  <c:v>2p</c:v>
                </c:pt>
                <c:pt idx="3">
                  <c:v>3p</c:v>
                </c:pt>
              </c:strCache>
            </c:strRef>
          </c:cat>
          <c:val>
            <c:numRef>
              <c:f>Sheet7!$B$10:$E$10</c:f>
              <c:numCache>
                <c:formatCode>0</c:formatCode>
                <c:ptCount val="4"/>
                <c:pt idx="0">
                  <c:v>-38.093300267161851</c:v>
                </c:pt>
                <c:pt idx="1">
                  <c:v>-28.76493110919089</c:v>
                </c:pt>
                <c:pt idx="2">
                  <c:v>-27.996130371718735</c:v>
                </c:pt>
                <c:pt idx="3">
                  <c:v>-21.972637729145575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35C-4719-9E12-BE98BD728D7F}"/>
            </c:ext>
          </c:extLst>
        </c:ser>
        <c:ser>
          <c:idx val="8"/>
          <c:order val="8"/>
          <c:tx>
            <c:strRef>
              <c:f>Sheet7!$A$11</c:f>
              <c:strCache>
                <c:ptCount val="1"/>
                <c:pt idx="0">
                  <c:v>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Sheet7!$B$2:$E$2</c:f>
              <c:strCache>
                <c:ptCount val="4"/>
                <c:pt idx="0">
                  <c:v>12p</c:v>
                </c:pt>
                <c:pt idx="1">
                  <c:v>1p</c:v>
                </c:pt>
                <c:pt idx="2">
                  <c:v>2p</c:v>
                </c:pt>
                <c:pt idx="3">
                  <c:v>3p</c:v>
                </c:pt>
              </c:strCache>
            </c:strRef>
          </c:cat>
          <c:val>
            <c:numRef>
              <c:f>Sheet7!$B$11:$E$11</c:f>
              <c:numCache>
                <c:formatCode>0</c:formatCode>
                <c:ptCount val="4"/>
                <c:pt idx="0">
                  <c:v>-29.664436798529039</c:v>
                </c:pt>
                <c:pt idx="1">
                  <c:v>-21.033538178595151</c:v>
                </c:pt>
                <c:pt idx="2">
                  <c:v>-24.953712359648627</c:v>
                </c:pt>
                <c:pt idx="3">
                  <c:v>-28.157204586476482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35C-4719-9E12-BE98BD728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8594928"/>
        <c:axId val="1468600208"/>
      </c:lineChart>
      <c:catAx>
        <c:axId val="1468594928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600208"/>
        <c:crosses val="autoZero"/>
        <c:auto val="1"/>
        <c:lblAlgn val="ctr"/>
        <c:lblOffset val="100"/>
        <c:noMultiLvlLbl val="0"/>
      </c:catAx>
      <c:valAx>
        <c:axId val="1468600208"/>
        <c:scaling>
          <c:orientation val="maxMin"/>
          <c:max val="-10"/>
          <c:min val="-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59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Sheet7!$A$30</c:f>
              <c:strCache>
                <c:ptCount val="1"/>
                <c:pt idx="0">
                  <c:v>bob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Sheet7!$B$29:$E$29</c:f>
              <c:strCache>
                <c:ptCount val="4"/>
                <c:pt idx="0">
                  <c:v>12p</c:v>
                </c:pt>
                <c:pt idx="1">
                  <c:v>1p</c:v>
                </c:pt>
                <c:pt idx="2">
                  <c:v>2p</c:v>
                </c:pt>
                <c:pt idx="3">
                  <c:v>3p</c:v>
                </c:pt>
              </c:strCache>
            </c:strRef>
          </c:cat>
          <c:val>
            <c:numRef>
              <c:f>Sheet7!$B$30:$E$30</c:f>
              <c:numCache>
                <c:formatCode>0</c:formatCode>
                <c:ptCount val="4"/>
                <c:pt idx="0">
                  <c:v>7</c:v>
                </c:pt>
                <c:pt idx="1">
                  <c:v>1</c:v>
                </c:pt>
                <c:pt idx="2">
                  <c:v>12</c:v>
                </c:pt>
                <c:pt idx="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6D-491E-9CFC-791F598B099A}"/>
            </c:ext>
          </c:extLst>
        </c:ser>
        <c:ser>
          <c:idx val="1"/>
          <c:order val="1"/>
          <c:tx>
            <c:strRef>
              <c:f>Sheet7!$A$31</c:f>
              <c:strCache>
                <c:ptCount val="1"/>
                <c:pt idx="0">
                  <c:v>janet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Sheet7!$B$29:$E$29</c:f>
              <c:strCache>
                <c:ptCount val="4"/>
                <c:pt idx="0">
                  <c:v>12p</c:v>
                </c:pt>
                <c:pt idx="1">
                  <c:v>1p</c:v>
                </c:pt>
                <c:pt idx="2">
                  <c:v>2p</c:v>
                </c:pt>
                <c:pt idx="3">
                  <c:v>3p</c:v>
                </c:pt>
              </c:strCache>
            </c:strRef>
          </c:cat>
          <c:val>
            <c:numRef>
              <c:f>Sheet7!$B$31:$E$31</c:f>
              <c:numCache>
                <c:formatCode>0</c:formatCode>
                <c:ptCount val="4"/>
                <c:pt idx="0">
                  <c:v>14</c:v>
                </c:pt>
                <c:pt idx="1">
                  <c:v>12</c:v>
                </c:pt>
                <c:pt idx="2">
                  <c:v>6</c:v>
                </c:pt>
                <c:pt idx="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6D-491E-9CFC-791F598B099A}"/>
            </c:ext>
          </c:extLst>
        </c:ser>
        <c:ser>
          <c:idx val="2"/>
          <c:order val="2"/>
          <c:tx>
            <c:strRef>
              <c:f>Sheet7!$A$32</c:f>
              <c:strCache>
                <c:ptCount val="1"/>
                <c:pt idx="0">
                  <c:v>doug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Sheet7!$B$29:$E$29</c:f>
              <c:strCache>
                <c:ptCount val="4"/>
                <c:pt idx="0">
                  <c:v>12p</c:v>
                </c:pt>
                <c:pt idx="1">
                  <c:v>1p</c:v>
                </c:pt>
                <c:pt idx="2">
                  <c:v>2p</c:v>
                </c:pt>
                <c:pt idx="3">
                  <c:v>3p</c:v>
                </c:pt>
              </c:strCache>
            </c:strRef>
          </c:cat>
          <c:val>
            <c:numRef>
              <c:f>Sheet7!$B$32:$E$32</c:f>
              <c:numCache>
                <c:formatCode>0</c:formatCode>
                <c:ptCount val="4"/>
                <c:pt idx="0">
                  <c:v>4</c:v>
                </c:pt>
                <c:pt idx="1">
                  <c:v>7</c:v>
                </c:pt>
                <c:pt idx="2">
                  <c:v>13</c:v>
                </c:pt>
                <c:pt idx="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6D-491E-9CFC-791F598B099A}"/>
            </c:ext>
          </c:extLst>
        </c:ser>
        <c:ser>
          <c:idx val="3"/>
          <c:order val="3"/>
          <c:tx>
            <c:strRef>
              <c:f>Sheet7!$A$33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Sheet7!$B$29:$E$29</c:f>
              <c:strCache>
                <c:ptCount val="4"/>
                <c:pt idx="0">
                  <c:v>12p</c:v>
                </c:pt>
                <c:pt idx="1">
                  <c:v>1p</c:v>
                </c:pt>
                <c:pt idx="2">
                  <c:v>2p</c:v>
                </c:pt>
                <c:pt idx="3">
                  <c:v>3p</c:v>
                </c:pt>
              </c:strCache>
            </c:strRef>
          </c:cat>
          <c:val>
            <c:numRef>
              <c:f>Sheet7!$B$33:$E$33</c:f>
              <c:numCache>
                <c:formatCode>0</c:formatCode>
                <c:ptCount val="4"/>
                <c:pt idx="0">
                  <c:v>5</c:v>
                </c:pt>
                <c:pt idx="1">
                  <c:v>8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6D-491E-9CFC-791F598B099A}"/>
            </c:ext>
          </c:extLst>
        </c:ser>
        <c:ser>
          <c:idx val="4"/>
          <c:order val="4"/>
          <c:tx>
            <c:strRef>
              <c:f>Sheet7!$A$34</c:f>
              <c:strCache>
                <c:ptCount val="1"/>
                <c:pt idx="0">
                  <c:v>fred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Sheet7!$B$29:$E$29</c:f>
              <c:strCache>
                <c:ptCount val="4"/>
                <c:pt idx="0">
                  <c:v>12p</c:v>
                </c:pt>
                <c:pt idx="1">
                  <c:v>1p</c:v>
                </c:pt>
                <c:pt idx="2">
                  <c:v>2p</c:v>
                </c:pt>
                <c:pt idx="3">
                  <c:v>3p</c:v>
                </c:pt>
              </c:strCache>
            </c:strRef>
          </c:cat>
          <c:val>
            <c:numRef>
              <c:f>Sheet7!$B$34:$E$34</c:f>
              <c:numCache>
                <c:formatCode>0</c:formatCode>
                <c:ptCount val="4"/>
                <c:pt idx="0">
                  <c:v>2</c:v>
                </c:pt>
                <c:pt idx="1">
                  <c:v>6</c:v>
                </c:pt>
                <c:pt idx="2">
                  <c:v>8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6D-491E-9CFC-791F598B099A}"/>
            </c:ext>
          </c:extLst>
        </c:ser>
        <c:ser>
          <c:idx val="5"/>
          <c:order val="5"/>
          <c:tx>
            <c:strRef>
              <c:f>Sheet7!$A$35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Sheet7!$B$29:$E$29</c:f>
              <c:strCache>
                <c:ptCount val="4"/>
                <c:pt idx="0">
                  <c:v>12p</c:v>
                </c:pt>
                <c:pt idx="1">
                  <c:v>1p</c:v>
                </c:pt>
                <c:pt idx="2">
                  <c:v>2p</c:v>
                </c:pt>
                <c:pt idx="3">
                  <c:v>3p</c:v>
                </c:pt>
              </c:strCache>
            </c:strRef>
          </c:cat>
          <c:val>
            <c:numRef>
              <c:f>Sheet7!$B$35:$E$35</c:f>
              <c:numCache>
                <c:formatCode>0</c:formatCode>
                <c:ptCount val="4"/>
                <c:pt idx="0">
                  <c:v>11</c:v>
                </c:pt>
                <c:pt idx="1">
                  <c:v>2</c:v>
                </c:pt>
                <c:pt idx="2">
                  <c:v>14</c:v>
                </c:pt>
                <c:pt idx="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86D-491E-9CFC-791F598B099A}"/>
            </c:ext>
          </c:extLst>
        </c:ser>
        <c:ser>
          <c:idx val="6"/>
          <c:order val="6"/>
          <c:tx>
            <c:strRef>
              <c:f>Sheet7!$A$36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Sheet7!$B$29:$E$29</c:f>
              <c:strCache>
                <c:ptCount val="4"/>
                <c:pt idx="0">
                  <c:v>12p</c:v>
                </c:pt>
                <c:pt idx="1">
                  <c:v>1p</c:v>
                </c:pt>
                <c:pt idx="2">
                  <c:v>2p</c:v>
                </c:pt>
                <c:pt idx="3">
                  <c:v>3p</c:v>
                </c:pt>
              </c:strCache>
            </c:strRef>
          </c:cat>
          <c:val>
            <c:numRef>
              <c:f>Sheet7!$B$36:$E$36</c:f>
              <c:numCache>
                <c:formatCode>0</c:formatCode>
                <c:ptCount val="4"/>
                <c:pt idx="0">
                  <c:v>9</c:v>
                </c:pt>
                <c:pt idx="1">
                  <c:v>14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6D-491E-9CFC-791F598B0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6731904"/>
        <c:axId val="676732384"/>
      </c:lineChart>
      <c:catAx>
        <c:axId val="67673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732384"/>
        <c:crosses val="autoZero"/>
        <c:auto val="1"/>
        <c:lblAlgn val="ctr"/>
        <c:lblOffset val="100"/>
        <c:noMultiLvlLbl val="0"/>
      </c:catAx>
      <c:valAx>
        <c:axId val="67673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73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411480</xdr:colOff>
      <xdr:row>0</xdr:row>
      <xdr:rowOff>110490</xdr:rowOff>
    </xdr:from>
    <xdr:to>
      <xdr:col>19</xdr:col>
      <xdr:colOff>152400</xdr:colOff>
      <xdr:row>26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E86D2D-6819-1C95-83F5-23563C5A0E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447675</xdr:colOff>
      <xdr:row>28</xdr:row>
      <xdr:rowOff>74295</xdr:rowOff>
    </xdr:from>
    <xdr:to>
      <xdr:col>15</xdr:col>
      <xdr:colOff>579120</xdr:colOff>
      <xdr:row>43</xdr:row>
      <xdr:rowOff>106681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859161-1514-5C91-8673-B0746576E6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380F0-D7A1-4D53-AEBE-B3CCC6A78A19}">
  <sheetPr codeName="Sheet1"/>
  <dimension ref="B2:AG78"/>
  <sheetViews>
    <sheetView topLeftCell="A28" workbookViewId="0">
      <selection activeCell="K46" sqref="K46"/>
    </sheetView>
  </sheetViews>
  <sheetFormatPr defaultRowHeight="15" x14ac:dyDescent="0.25"/>
  <cols>
    <col min="2" max="2" width="16.140625" customWidth="1"/>
    <col min="3" max="3" width="7.42578125" customWidth="1"/>
    <col min="4" max="5" width="5" customWidth="1"/>
    <col min="6" max="6" width="5" style="10" customWidth="1"/>
    <col min="7" max="8" width="5" customWidth="1"/>
    <col min="9" max="9" width="5" style="10" customWidth="1"/>
    <col min="10" max="11" width="5" customWidth="1"/>
    <col min="12" max="12" width="5" style="10" customWidth="1"/>
    <col min="13" max="14" width="5" customWidth="1"/>
    <col min="15" max="15" width="5" style="10" customWidth="1"/>
    <col min="16" max="17" width="5" customWidth="1"/>
    <col min="18" max="18" width="5" style="10" customWidth="1"/>
    <col min="19" max="20" width="5" customWidth="1"/>
    <col min="21" max="21" width="5" style="10" customWidth="1"/>
    <col min="22" max="23" width="5" customWidth="1"/>
    <col min="24" max="24" width="5" style="10" customWidth="1"/>
    <col min="25" max="26" width="5" customWidth="1"/>
    <col min="27" max="27" width="5" style="10" customWidth="1"/>
    <col min="28" max="29" width="5" customWidth="1"/>
    <col min="30" max="30" width="5" style="10" customWidth="1"/>
    <col min="31" max="32" width="5" customWidth="1"/>
    <col min="33" max="33" width="5" style="10" customWidth="1"/>
  </cols>
  <sheetData>
    <row r="2" spans="4:15" x14ac:dyDescent="0.25">
      <c r="D2" s="8" t="s">
        <v>52</v>
      </c>
      <c r="E2" s="8" t="s">
        <v>53</v>
      </c>
      <c r="F2" s="11" t="s">
        <v>55</v>
      </c>
      <c r="G2" s="8" t="s">
        <v>56</v>
      </c>
      <c r="H2" s="8" t="s">
        <v>57</v>
      </c>
      <c r="I2" s="11" t="s">
        <v>58</v>
      </c>
      <c r="J2" s="8" t="s">
        <v>59</v>
      </c>
      <c r="K2" s="8" t="s">
        <v>60</v>
      </c>
      <c r="L2" s="11" t="s">
        <v>61</v>
      </c>
      <c r="M2" s="8" t="s">
        <v>62</v>
      </c>
      <c r="N2" s="8" t="s">
        <v>54</v>
      </c>
    </row>
    <row r="3" spans="4:15" x14ac:dyDescent="0.25">
      <c r="D3" s="1" t="s">
        <v>0</v>
      </c>
      <c r="E3" s="1" t="s">
        <v>8</v>
      </c>
      <c r="F3" s="12" t="s">
        <v>9</v>
      </c>
      <c r="G3" s="1" t="s">
        <v>11</v>
      </c>
      <c r="H3" s="1" t="s">
        <v>13</v>
      </c>
      <c r="I3" s="12" t="s">
        <v>16</v>
      </c>
      <c r="J3" s="1" t="s">
        <v>18</v>
      </c>
      <c r="K3" s="1" t="s">
        <v>20</v>
      </c>
      <c r="L3" s="12" t="s">
        <v>22</v>
      </c>
      <c r="M3" s="1" t="s">
        <v>24</v>
      </c>
      <c r="N3" s="1" t="s">
        <v>26</v>
      </c>
    </row>
    <row r="4" spans="4:15" x14ac:dyDescent="0.25">
      <c r="D4" s="1" t="s">
        <v>29</v>
      </c>
      <c r="E4" s="1" t="s">
        <v>8</v>
      </c>
      <c r="F4" s="12" t="s">
        <v>37</v>
      </c>
      <c r="G4" s="1" t="s">
        <v>38</v>
      </c>
      <c r="H4" s="1" t="s">
        <v>14</v>
      </c>
      <c r="I4" s="12" t="s">
        <v>16</v>
      </c>
      <c r="J4" s="1" t="s">
        <v>18</v>
      </c>
      <c r="K4" s="1" t="s">
        <v>21</v>
      </c>
      <c r="L4" s="12" t="s">
        <v>22</v>
      </c>
      <c r="M4" s="1" t="s">
        <v>25</v>
      </c>
      <c r="N4" s="1" t="s">
        <v>28</v>
      </c>
    </row>
    <row r="5" spans="4:15" x14ac:dyDescent="0.25">
      <c r="D5" s="1" t="s">
        <v>41</v>
      </c>
      <c r="E5" s="1" t="s">
        <v>8</v>
      </c>
      <c r="F5" s="12" t="s">
        <v>9</v>
      </c>
      <c r="G5" s="1" t="s">
        <v>38</v>
      </c>
      <c r="H5" s="1" t="s">
        <v>14</v>
      </c>
      <c r="I5" s="12" t="s">
        <v>16</v>
      </c>
      <c r="J5" s="1" t="s">
        <v>18</v>
      </c>
      <c r="K5" s="1" t="s">
        <v>21</v>
      </c>
      <c r="L5" s="12" t="s">
        <v>23</v>
      </c>
      <c r="M5" s="1" t="s">
        <v>24</v>
      </c>
      <c r="N5" s="1" t="s">
        <v>26</v>
      </c>
    </row>
    <row r="6" spans="4:15" x14ac:dyDescent="0.25">
      <c r="D6" s="1" t="s">
        <v>1</v>
      </c>
      <c r="E6" s="1" t="s">
        <v>8</v>
      </c>
      <c r="F6" s="12" t="s">
        <v>10</v>
      </c>
      <c r="G6" s="1" t="s">
        <v>11</v>
      </c>
      <c r="H6" s="1" t="s">
        <v>14</v>
      </c>
      <c r="I6" s="12" t="s">
        <v>16</v>
      </c>
      <c r="J6" s="1" t="s">
        <v>18</v>
      </c>
      <c r="K6" s="1" t="s">
        <v>21</v>
      </c>
      <c r="L6" s="12" t="s">
        <v>23</v>
      </c>
      <c r="M6" s="1" t="s">
        <v>24</v>
      </c>
      <c r="N6" s="1" t="s">
        <v>26</v>
      </c>
      <c r="O6" s="12"/>
    </row>
    <row r="7" spans="4:15" x14ac:dyDescent="0.25">
      <c r="D7" s="1" t="s">
        <v>30</v>
      </c>
      <c r="E7" s="1" t="s">
        <v>8</v>
      </c>
      <c r="F7" s="12" t="s">
        <v>9</v>
      </c>
      <c r="G7" s="1" t="s">
        <v>12</v>
      </c>
      <c r="H7" s="1" t="s">
        <v>14</v>
      </c>
      <c r="I7" s="12" t="s">
        <v>16</v>
      </c>
      <c r="J7" s="1" t="s">
        <v>39</v>
      </c>
      <c r="K7" s="1" t="s">
        <v>21</v>
      </c>
      <c r="L7" s="12" t="s">
        <v>40</v>
      </c>
      <c r="M7" s="1" t="s">
        <v>24</v>
      </c>
      <c r="N7" s="1" t="s">
        <v>27</v>
      </c>
    </row>
    <row r="8" spans="4:15" x14ac:dyDescent="0.25">
      <c r="D8" s="1" t="s">
        <v>42</v>
      </c>
      <c r="E8" s="1" t="s">
        <v>8</v>
      </c>
      <c r="F8" s="12" t="s">
        <v>9</v>
      </c>
      <c r="G8" s="1" t="s">
        <v>12</v>
      </c>
      <c r="H8" s="1" t="s">
        <v>15</v>
      </c>
      <c r="I8" s="12" t="s">
        <v>16</v>
      </c>
      <c r="J8" s="1" t="s">
        <v>18</v>
      </c>
      <c r="K8" s="1" t="s">
        <v>20</v>
      </c>
      <c r="L8" s="12" t="s">
        <v>23</v>
      </c>
      <c r="M8" s="1" t="s">
        <v>25</v>
      </c>
      <c r="N8" s="1" t="s">
        <v>28</v>
      </c>
    </row>
    <row r="9" spans="4:15" x14ac:dyDescent="0.25">
      <c r="D9" s="1" t="s">
        <v>2</v>
      </c>
      <c r="E9" s="1" t="s">
        <v>8</v>
      </c>
      <c r="F9" s="12" t="s">
        <v>10</v>
      </c>
      <c r="G9" s="1" t="s">
        <v>12</v>
      </c>
      <c r="H9" s="1" t="s">
        <v>15</v>
      </c>
      <c r="I9" s="12" t="s">
        <v>16</v>
      </c>
      <c r="J9" s="1" t="s">
        <v>19</v>
      </c>
      <c r="K9" s="1" t="s">
        <v>21</v>
      </c>
      <c r="L9" s="12" t="s">
        <v>23</v>
      </c>
      <c r="M9" s="1" t="s">
        <v>25</v>
      </c>
      <c r="N9" s="1" t="s">
        <v>27</v>
      </c>
    </row>
    <row r="10" spans="4:15" x14ac:dyDescent="0.25">
      <c r="D10" s="1" t="s">
        <v>31</v>
      </c>
      <c r="E10" s="1" t="s">
        <v>8</v>
      </c>
      <c r="F10" s="12" t="s">
        <v>10</v>
      </c>
      <c r="G10" s="1" t="s">
        <v>38</v>
      </c>
      <c r="H10" s="1" t="s">
        <v>13</v>
      </c>
      <c r="I10" s="12" t="s">
        <v>16</v>
      </c>
      <c r="J10" s="1" t="s">
        <v>19</v>
      </c>
      <c r="K10" s="1" t="s">
        <v>20</v>
      </c>
      <c r="L10" s="12" t="s">
        <v>23</v>
      </c>
      <c r="M10" s="1" t="s">
        <v>24</v>
      </c>
      <c r="N10" s="1" t="s">
        <v>27</v>
      </c>
    </row>
    <row r="11" spans="4:15" x14ac:dyDescent="0.25">
      <c r="D11" s="1" t="s">
        <v>43</v>
      </c>
      <c r="E11" s="1" t="s">
        <v>8</v>
      </c>
      <c r="F11" s="12" t="s">
        <v>37</v>
      </c>
      <c r="G11" s="1" t="s">
        <v>12</v>
      </c>
      <c r="H11" s="1" t="s">
        <v>14</v>
      </c>
      <c r="I11" s="12" t="s">
        <v>48</v>
      </c>
      <c r="J11" s="1" t="s">
        <v>18</v>
      </c>
      <c r="K11" s="1" t="s">
        <v>49</v>
      </c>
      <c r="L11" s="12" t="s">
        <v>22</v>
      </c>
      <c r="M11" s="1" t="s">
        <v>24</v>
      </c>
      <c r="N11" s="1" t="s">
        <v>27</v>
      </c>
    </row>
    <row r="12" spans="4:15" x14ac:dyDescent="0.25">
      <c r="D12" s="1" t="s">
        <v>3</v>
      </c>
      <c r="E12" s="1" t="s">
        <v>8</v>
      </c>
      <c r="F12" s="12" t="s">
        <v>9</v>
      </c>
      <c r="G12" s="1" t="s">
        <v>12</v>
      </c>
      <c r="H12" s="1" t="s">
        <v>14</v>
      </c>
      <c r="I12" s="12" t="s">
        <v>17</v>
      </c>
      <c r="J12" s="1" t="s">
        <v>19</v>
      </c>
      <c r="K12" s="1" t="s">
        <v>20</v>
      </c>
      <c r="L12" s="12" t="s">
        <v>23</v>
      </c>
      <c r="M12" s="1" t="s">
        <v>25</v>
      </c>
      <c r="N12" s="1" t="s">
        <v>26</v>
      </c>
    </row>
    <row r="13" spans="4:15" x14ac:dyDescent="0.25">
      <c r="D13" s="1" t="s">
        <v>32</v>
      </c>
      <c r="E13" s="1" t="s">
        <v>36</v>
      </c>
      <c r="F13" s="12" t="s">
        <v>9</v>
      </c>
      <c r="G13" s="1" t="s">
        <v>11</v>
      </c>
      <c r="H13" s="1" t="s">
        <v>15</v>
      </c>
      <c r="I13" s="12" t="s">
        <v>17</v>
      </c>
      <c r="J13" s="1" t="s">
        <v>19</v>
      </c>
      <c r="K13" s="1" t="s">
        <v>20</v>
      </c>
      <c r="L13" s="12" t="s">
        <v>40</v>
      </c>
      <c r="M13" s="1" t="s">
        <v>25</v>
      </c>
      <c r="N13" s="1" t="s">
        <v>28</v>
      </c>
    </row>
    <row r="14" spans="4:15" x14ac:dyDescent="0.25">
      <c r="D14" s="1" t="s">
        <v>44</v>
      </c>
      <c r="E14" s="1" t="s">
        <v>8</v>
      </c>
      <c r="F14" s="12" t="s">
        <v>9</v>
      </c>
      <c r="G14" s="1" t="s">
        <v>38</v>
      </c>
      <c r="H14" s="1" t="s">
        <v>14</v>
      </c>
      <c r="I14" s="12" t="s">
        <v>17</v>
      </c>
      <c r="J14" s="1" t="s">
        <v>39</v>
      </c>
      <c r="K14" s="1" t="s">
        <v>21</v>
      </c>
      <c r="L14" s="12" t="s">
        <v>40</v>
      </c>
      <c r="M14" s="1" t="s">
        <v>24</v>
      </c>
      <c r="N14" s="1" t="s">
        <v>27</v>
      </c>
    </row>
    <row r="15" spans="4:15" x14ac:dyDescent="0.25">
      <c r="D15" s="1" t="s">
        <v>4</v>
      </c>
      <c r="E15" s="1" t="s">
        <v>8</v>
      </c>
      <c r="F15" s="12" t="s">
        <v>10</v>
      </c>
      <c r="G15" s="1" t="s">
        <v>11</v>
      </c>
      <c r="H15" s="1" t="s">
        <v>13</v>
      </c>
      <c r="I15" s="12" t="s">
        <v>16</v>
      </c>
      <c r="J15" s="1" t="s">
        <v>18</v>
      </c>
      <c r="K15" s="1" t="s">
        <v>20</v>
      </c>
      <c r="L15" s="12" t="s">
        <v>23</v>
      </c>
      <c r="M15" s="1" t="s">
        <v>25</v>
      </c>
      <c r="N15" s="1" t="s">
        <v>28</v>
      </c>
    </row>
    <row r="16" spans="4:15" x14ac:dyDescent="0.25">
      <c r="D16" s="1" t="s">
        <v>33</v>
      </c>
      <c r="E16" s="1" t="s">
        <v>8</v>
      </c>
      <c r="F16" s="12" t="s">
        <v>9</v>
      </c>
      <c r="G16" s="1" t="s">
        <v>11</v>
      </c>
      <c r="H16" s="1" t="s">
        <v>13</v>
      </c>
      <c r="I16" s="12" t="s">
        <v>16</v>
      </c>
      <c r="J16" s="1" t="s">
        <v>18</v>
      </c>
      <c r="K16" s="1" t="s">
        <v>21</v>
      </c>
      <c r="L16" s="12" t="s">
        <v>23</v>
      </c>
      <c r="M16" s="1" t="s">
        <v>25</v>
      </c>
      <c r="N16" s="1" t="s">
        <v>26</v>
      </c>
    </row>
    <row r="17" spans="2:33" x14ac:dyDescent="0.25">
      <c r="D17" s="1" t="s">
        <v>45</v>
      </c>
      <c r="E17" s="1" t="s">
        <v>8</v>
      </c>
      <c r="F17" s="12" t="s">
        <v>9</v>
      </c>
      <c r="G17" s="1" t="s">
        <v>12</v>
      </c>
      <c r="H17" s="1" t="s">
        <v>13</v>
      </c>
      <c r="I17" s="12" t="s">
        <v>16</v>
      </c>
      <c r="J17" s="1" t="s">
        <v>18</v>
      </c>
      <c r="K17" s="1" t="s">
        <v>20</v>
      </c>
      <c r="L17" s="12" t="s">
        <v>23</v>
      </c>
      <c r="M17" s="1" t="s">
        <v>25</v>
      </c>
      <c r="N17" s="1" t="s">
        <v>26</v>
      </c>
    </row>
    <row r="18" spans="2:33" x14ac:dyDescent="0.25">
      <c r="D18" s="1" t="s">
        <v>5</v>
      </c>
      <c r="E18" s="1" t="s">
        <v>8</v>
      </c>
      <c r="F18" s="12" t="s">
        <v>10</v>
      </c>
      <c r="G18" s="1" t="s">
        <v>11</v>
      </c>
      <c r="H18" s="1" t="s">
        <v>14</v>
      </c>
      <c r="I18" s="12" t="s">
        <v>16</v>
      </c>
      <c r="J18" s="1" t="s">
        <v>18</v>
      </c>
      <c r="K18" s="1" t="s">
        <v>21</v>
      </c>
      <c r="L18" s="12" t="s">
        <v>22</v>
      </c>
      <c r="M18" s="1" t="s">
        <v>25</v>
      </c>
      <c r="N18" s="1" t="s">
        <v>28</v>
      </c>
    </row>
    <row r="19" spans="2:33" x14ac:dyDescent="0.25">
      <c r="D19" s="1" t="s">
        <v>34</v>
      </c>
      <c r="E19" s="1" t="s">
        <v>8</v>
      </c>
      <c r="F19" s="12" t="s">
        <v>9</v>
      </c>
      <c r="G19" s="1" t="s">
        <v>12</v>
      </c>
      <c r="H19" s="1" t="s">
        <v>15</v>
      </c>
      <c r="I19" s="12" t="s">
        <v>16</v>
      </c>
      <c r="J19" s="1" t="s">
        <v>18</v>
      </c>
      <c r="K19" s="1" t="s">
        <v>20</v>
      </c>
      <c r="L19" s="12" t="s">
        <v>23</v>
      </c>
      <c r="M19" s="1" t="s">
        <v>25</v>
      </c>
      <c r="N19" s="1" t="s">
        <v>28</v>
      </c>
    </row>
    <row r="20" spans="2:33" x14ac:dyDescent="0.25">
      <c r="D20" s="1" t="s">
        <v>46</v>
      </c>
      <c r="E20" s="1" t="s">
        <v>8</v>
      </c>
      <c r="F20" s="12" t="s">
        <v>37</v>
      </c>
      <c r="G20" s="1" t="s">
        <v>12</v>
      </c>
      <c r="H20" s="1" t="s">
        <v>13</v>
      </c>
      <c r="I20" s="12" t="s">
        <v>16</v>
      </c>
      <c r="J20" s="1" t="s">
        <v>18</v>
      </c>
      <c r="K20" s="1" t="s">
        <v>21</v>
      </c>
      <c r="L20" s="12" t="s">
        <v>23</v>
      </c>
      <c r="M20" s="1" t="s">
        <v>24</v>
      </c>
      <c r="N20" s="1" t="s">
        <v>26</v>
      </c>
    </row>
    <row r="21" spans="2:33" x14ac:dyDescent="0.25">
      <c r="D21" s="1" t="s">
        <v>6</v>
      </c>
      <c r="E21" s="1" t="s">
        <v>8</v>
      </c>
      <c r="F21" s="12" t="s">
        <v>9</v>
      </c>
      <c r="G21" s="1" t="s">
        <v>11</v>
      </c>
      <c r="H21" s="1" t="s">
        <v>13</v>
      </c>
      <c r="I21" s="12" t="s">
        <v>16</v>
      </c>
      <c r="J21" s="1" t="s">
        <v>18</v>
      </c>
      <c r="K21" s="1" t="s">
        <v>20</v>
      </c>
      <c r="L21" s="12" t="s">
        <v>23</v>
      </c>
      <c r="M21" s="1" t="s">
        <v>25</v>
      </c>
      <c r="N21" s="1" t="s">
        <v>26</v>
      </c>
    </row>
    <row r="22" spans="2:33" x14ac:dyDescent="0.25">
      <c r="D22" s="1" t="s">
        <v>35</v>
      </c>
      <c r="E22" s="1" t="s">
        <v>8</v>
      </c>
      <c r="F22" s="12" t="s">
        <v>9</v>
      </c>
      <c r="G22" s="1" t="s">
        <v>12</v>
      </c>
      <c r="H22" s="1" t="s">
        <v>13</v>
      </c>
      <c r="I22" s="12" t="s">
        <v>16</v>
      </c>
      <c r="J22" s="1" t="s">
        <v>18</v>
      </c>
      <c r="K22" s="1" t="s">
        <v>21</v>
      </c>
      <c r="L22" s="12" t="s">
        <v>23</v>
      </c>
      <c r="M22" s="1" t="s">
        <v>25</v>
      </c>
      <c r="N22" s="1" t="s">
        <v>26</v>
      </c>
    </row>
    <row r="23" spans="2:33" x14ac:dyDescent="0.25">
      <c r="D23" s="1" t="s">
        <v>47</v>
      </c>
      <c r="E23" s="1" t="s">
        <v>8</v>
      </c>
      <c r="F23" s="12" t="s">
        <v>9</v>
      </c>
      <c r="G23" s="1" t="s">
        <v>12</v>
      </c>
      <c r="H23" s="1" t="s">
        <v>15</v>
      </c>
      <c r="I23" s="12" t="s">
        <v>48</v>
      </c>
      <c r="J23" s="1" t="s">
        <v>18</v>
      </c>
      <c r="K23" s="1" t="s">
        <v>49</v>
      </c>
      <c r="L23" s="12" t="s">
        <v>40</v>
      </c>
      <c r="M23" s="1" t="s">
        <v>25</v>
      </c>
      <c r="N23" s="1" t="s">
        <v>27</v>
      </c>
    </row>
    <row r="24" spans="2:33" x14ac:dyDescent="0.25">
      <c r="D24" s="1" t="s">
        <v>7</v>
      </c>
      <c r="E24" s="9" t="s">
        <v>8</v>
      </c>
      <c r="F24" s="13" t="s">
        <v>9</v>
      </c>
      <c r="G24" s="9" t="s">
        <v>12</v>
      </c>
      <c r="H24" s="9" t="s">
        <v>13</v>
      </c>
      <c r="I24" s="13" t="s">
        <v>17</v>
      </c>
      <c r="J24" s="9" t="s">
        <v>18</v>
      </c>
      <c r="K24" s="9" t="s">
        <v>21</v>
      </c>
      <c r="L24" s="13" t="s">
        <v>23</v>
      </c>
      <c r="M24" s="9" t="s">
        <v>25</v>
      </c>
      <c r="N24" s="9" t="s">
        <v>27</v>
      </c>
    </row>
    <row r="25" spans="2:33" x14ac:dyDescent="0.25">
      <c r="D25" s="1"/>
    </row>
    <row r="26" spans="2:33" x14ac:dyDescent="0.25">
      <c r="D26" s="9"/>
    </row>
    <row r="27" spans="2:33" x14ac:dyDescent="0.25">
      <c r="D27" s="9"/>
      <c r="G27" t="s">
        <v>63</v>
      </c>
      <c r="K27" t="s">
        <v>63</v>
      </c>
      <c r="R27" s="10" t="s">
        <v>63</v>
      </c>
      <c r="U27" s="10" t="s">
        <v>63</v>
      </c>
      <c r="V27" t="s">
        <v>63</v>
      </c>
      <c r="Z27" t="s">
        <v>63</v>
      </c>
    </row>
    <row r="28" spans="2:33" x14ac:dyDescent="0.25">
      <c r="D28" s="9">
        <v>21</v>
      </c>
      <c r="E28" s="8">
        <v>1</v>
      </c>
      <c r="F28" s="10">
        <v>0</v>
      </c>
      <c r="G28">
        <v>5</v>
      </c>
      <c r="H28">
        <v>14</v>
      </c>
      <c r="I28" s="11">
        <v>3</v>
      </c>
      <c r="J28">
        <v>11</v>
      </c>
      <c r="K28">
        <v>4</v>
      </c>
      <c r="L28" s="10">
        <v>7</v>
      </c>
      <c r="M28">
        <v>9</v>
      </c>
      <c r="N28">
        <v>8</v>
      </c>
      <c r="O28" s="11">
        <v>5</v>
      </c>
      <c r="P28" s="8">
        <v>4</v>
      </c>
      <c r="Q28">
        <v>16</v>
      </c>
      <c r="R28" s="10">
        <v>2</v>
      </c>
      <c r="S28" s="8">
        <v>4</v>
      </c>
      <c r="T28">
        <v>16</v>
      </c>
      <c r="U28" s="10">
        <v>2</v>
      </c>
      <c r="V28">
        <v>2</v>
      </c>
      <c r="W28">
        <v>9</v>
      </c>
      <c r="X28" s="10">
        <v>11</v>
      </c>
      <c r="Y28">
        <v>14</v>
      </c>
      <c r="Z28">
        <v>4</v>
      </c>
      <c r="AA28" s="11">
        <v>4</v>
      </c>
      <c r="AB28">
        <v>8</v>
      </c>
      <c r="AC28">
        <v>14</v>
      </c>
      <c r="AD28" s="10">
        <v>0</v>
      </c>
      <c r="AE28">
        <v>7</v>
      </c>
      <c r="AF28">
        <v>6</v>
      </c>
      <c r="AG28" s="10">
        <v>9</v>
      </c>
    </row>
    <row r="29" spans="2:33" x14ac:dyDescent="0.25">
      <c r="D29" s="2" t="s">
        <v>8</v>
      </c>
      <c r="E29" s="3" t="s">
        <v>36</v>
      </c>
      <c r="F29" s="14" t="s">
        <v>50</v>
      </c>
      <c r="G29" s="2" t="s">
        <v>10</v>
      </c>
      <c r="H29" s="2" t="s">
        <v>9</v>
      </c>
      <c r="I29" s="14" t="s">
        <v>37</v>
      </c>
      <c r="J29" s="4" t="s">
        <v>12</v>
      </c>
      <c r="K29" s="5" t="s">
        <v>38</v>
      </c>
      <c r="L29" s="15" t="s">
        <v>11</v>
      </c>
      <c r="M29" s="3" t="s">
        <v>13</v>
      </c>
      <c r="N29" s="2" t="s">
        <v>14</v>
      </c>
      <c r="O29" s="14" t="s">
        <v>15</v>
      </c>
      <c r="P29" s="2" t="s">
        <v>17</v>
      </c>
      <c r="Q29" s="6" t="s">
        <v>16</v>
      </c>
      <c r="R29" s="14" t="s">
        <v>48</v>
      </c>
      <c r="S29" s="4" t="s">
        <v>19</v>
      </c>
      <c r="T29" s="2" t="s">
        <v>18</v>
      </c>
      <c r="U29" s="14" t="s">
        <v>39</v>
      </c>
      <c r="V29" s="7" t="s">
        <v>49</v>
      </c>
      <c r="W29" s="4" t="s">
        <v>20</v>
      </c>
      <c r="X29" s="16" t="s">
        <v>21</v>
      </c>
      <c r="Y29" s="4" t="s">
        <v>23</v>
      </c>
      <c r="Z29" s="5" t="s">
        <v>22</v>
      </c>
      <c r="AA29" s="15" t="s">
        <v>40</v>
      </c>
      <c r="AB29" s="3" t="s">
        <v>24</v>
      </c>
      <c r="AC29" s="2" t="s">
        <v>25</v>
      </c>
      <c r="AD29" s="14" t="s">
        <v>51</v>
      </c>
      <c r="AE29" s="4" t="s">
        <v>27</v>
      </c>
      <c r="AF29" s="2" t="s">
        <v>28</v>
      </c>
      <c r="AG29" s="16" t="s">
        <v>26</v>
      </c>
    </row>
    <row r="30" spans="2:33" x14ac:dyDescent="0.25">
      <c r="B30" s="1" t="s">
        <v>0</v>
      </c>
      <c r="C30" s="1">
        <f t="shared" ref="C30:C51" si="0">SUM(D30:AG30)</f>
        <v>113</v>
      </c>
      <c r="D30" s="17">
        <f t="shared" ref="D30:AG30" si="1">IF(COUNTIF($E3:$N3,D$29),D$28,0)</f>
        <v>21</v>
      </c>
      <c r="E30">
        <f t="shared" si="1"/>
        <v>0</v>
      </c>
      <c r="F30">
        <f t="shared" si="1"/>
        <v>0</v>
      </c>
      <c r="G30">
        <f t="shared" si="1"/>
        <v>0</v>
      </c>
      <c r="H30" s="17">
        <f t="shared" si="1"/>
        <v>14</v>
      </c>
      <c r="I30">
        <f t="shared" si="1"/>
        <v>0</v>
      </c>
      <c r="J30" s="17">
        <f t="shared" si="1"/>
        <v>0</v>
      </c>
      <c r="K30">
        <f t="shared" si="1"/>
        <v>0</v>
      </c>
      <c r="L30">
        <f t="shared" si="1"/>
        <v>7</v>
      </c>
      <c r="M30">
        <f t="shared" si="1"/>
        <v>9</v>
      </c>
      <c r="N30">
        <f t="shared" si="1"/>
        <v>0</v>
      </c>
      <c r="O30">
        <f t="shared" si="1"/>
        <v>0</v>
      </c>
      <c r="P30" s="17">
        <f t="shared" si="1"/>
        <v>0</v>
      </c>
      <c r="Q30">
        <f t="shared" si="1"/>
        <v>16</v>
      </c>
      <c r="R30">
        <f t="shared" si="1"/>
        <v>0</v>
      </c>
      <c r="S30">
        <f t="shared" si="1"/>
        <v>0</v>
      </c>
      <c r="T30">
        <f t="shared" si="1"/>
        <v>16</v>
      </c>
      <c r="U30">
        <f t="shared" si="1"/>
        <v>0</v>
      </c>
      <c r="V30">
        <f t="shared" si="1"/>
        <v>0</v>
      </c>
      <c r="W30" s="17">
        <f t="shared" si="1"/>
        <v>9</v>
      </c>
      <c r="X30">
        <f t="shared" si="1"/>
        <v>0</v>
      </c>
      <c r="Y30">
        <f t="shared" si="1"/>
        <v>0</v>
      </c>
      <c r="Z30">
        <f t="shared" si="1"/>
        <v>4</v>
      </c>
      <c r="AA30">
        <f t="shared" si="1"/>
        <v>0</v>
      </c>
      <c r="AB30">
        <f t="shared" si="1"/>
        <v>8</v>
      </c>
      <c r="AC30">
        <f t="shared" si="1"/>
        <v>0</v>
      </c>
      <c r="AD30">
        <f t="shared" si="1"/>
        <v>0</v>
      </c>
      <c r="AE30">
        <f t="shared" si="1"/>
        <v>0</v>
      </c>
      <c r="AF30">
        <f t="shared" si="1"/>
        <v>0</v>
      </c>
      <c r="AG30">
        <f t="shared" si="1"/>
        <v>9</v>
      </c>
    </row>
    <row r="31" spans="2:33" x14ac:dyDescent="0.25">
      <c r="B31" s="1" t="s">
        <v>29</v>
      </c>
      <c r="C31" s="1">
        <f t="shared" si="0"/>
        <v>103</v>
      </c>
      <c r="D31" s="17">
        <f t="shared" ref="D31:AG31" si="2">IF(COUNTIF($E4:$N4,D$29),D$28,0)</f>
        <v>21</v>
      </c>
      <c r="E31">
        <f t="shared" si="2"/>
        <v>0</v>
      </c>
      <c r="F31">
        <f t="shared" si="2"/>
        <v>0</v>
      </c>
      <c r="G31">
        <f t="shared" si="2"/>
        <v>0</v>
      </c>
      <c r="H31" s="17">
        <f t="shared" si="2"/>
        <v>0</v>
      </c>
      <c r="I31">
        <f t="shared" si="2"/>
        <v>3</v>
      </c>
      <c r="J31" s="17">
        <f t="shared" si="2"/>
        <v>0</v>
      </c>
      <c r="K31">
        <f t="shared" si="2"/>
        <v>4</v>
      </c>
      <c r="L31">
        <f t="shared" si="2"/>
        <v>0</v>
      </c>
      <c r="M31">
        <f t="shared" si="2"/>
        <v>0</v>
      </c>
      <c r="N31">
        <f t="shared" si="2"/>
        <v>8</v>
      </c>
      <c r="O31">
        <f t="shared" si="2"/>
        <v>0</v>
      </c>
      <c r="P31" s="17">
        <f t="shared" si="2"/>
        <v>0</v>
      </c>
      <c r="Q31">
        <f t="shared" si="2"/>
        <v>16</v>
      </c>
      <c r="R31">
        <f t="shared" si="2"/>
        <v>0</v>
      </c>
      <c r="S31">
        <f t="shared" si="2"/>
        <v>0</v>
      </c>
      <c r="T31">
        <f t="shared" si="2"/>
        <v>16</v>
      </c>
      <c r="U31">
        <f t="shared" si="2"/>
        <v>0</v>
      </c>
      <c r="V31">
        <f t="shared" si="2"/>
        <v>0</v>
      </c>
      <c r="W31" s="17">
        <f t="shared" si="2"/>
        <v>0</v>
      </c>
      <c r="X31">
        <f t="shared" si="2"/>
        <v>11</v>
      </c>
      <c r="Y31">
        <f t="shared" si="2"/>
        <v>0</v>
      </c>
      <c r="Z31">
        <f t="shared" si="2"/>
        <v>4</v>
      </c>
      <c r="AA31">
        <f t="shared" si="2"/>
        <v>0</v>
      </c>
      <c r="AB31">
        <f t="shared" si="2"/>
        <v>0</v>
      </c>
      <c r="AC31">
        <f t="shared" si="2"/>
        <v>14</v>
      </c>
      <c r="AD31">
        <f t="shared" si="2"/>
        <v>0</v>
      </c>
      <c r="AE31">
        <f t="shared" si="2"/>
        <v>0</v>
      </c>
      <c r="AF31">
        <f t="shared" si="2"/>
        <v>6</v>
      </c>
      <c r="AG31">
        <f t="shared" si="2"/>
        <v>0</v>
      </c>
    </row>
    <row r="32" spans="2:33" x14ac:dyDescent="0.25">
      <c r="B32" s="1" t="s">
        <v>41</v>
      </c>
      <c r="C32" s="1">
        <f t="shared" si="0"/>
        <v>121</v>
      </c>
      <c r="D32" s="17">
        <f t="shared" ref="D32:AG32" si="3">IF(COUNTIF($E5:$N5,D$29),D$28,0)</f>
        <v>21</v>
      </c>
      <c r="E32">
        <f t="shared" si="3"/>
        <v>0</v>
      </c>
      <c r="F32">
        <f t="shared" si="3"/>
        <v>0</v>
      </c>
      <c r="G32">
        <f t="shared" si="3"/>
        <v>0</v>
      </c>
      <c r="H32" s="17">
        <f t="shared" si="3"/>
        <v>14</v>
      </c>
      <c r="I32">
        <f t="shared" si="3"/>
        <v>0</v>
      </c>
      <c r="J32" s="17">
        <f t="shared" si="3"/>
        <v>0</v>
      </c>
      <c r="K32">
        <f t="shared" si="3"/>
        <v>4</v>
      </c>
      <c r="L32">
        <f t="shared" si="3"/>
        <v>0</v>
      </c>
      <c r="M32">
        <f t="shared" si="3"/>
        <v>0</v>
      </c>
      <c r="N32">
        <f t="shared" si="3"/>
        <v>8</v>
      </c>
      <c r="O32">
        <f t="shared" si="3"/>
        <v>0</v>
      </c>
      <c r="P32" s="17">
        <f t="shared" si="3"/>
        <v>0</v>
      </c>
      <c r="Q32">
        <f t="shared" si="3"/>
        <v>16</v>
      </c>
      <c r="R32">
        <f t="shared" si="3"/>
        <v>0</v>
      </c>
      <c r="S32">
        <f t="shared" si="3"/>
        <v>0</v>
      </c>
      <c r="T32">
        <f t="shared" si="3"/>
        <v>16</v>
      </c>
      <c r="U32">
        <f t="shared" si="3"/>
        <v>0</v>
      </c>
      <c r="V32">
        <f t="shared" si="3"/>
        <v>0</v>
      </c>
      <c r="W32" s="17">
        <f t="shared" si="3"/>
        <v>0</v>
      </c>
      <c r="X32">
        <f t="shared" si="3"/>
        <v>11</v>
      </c>
      <c r="Y32">
        <f t="shared" si="3"/>
        <v>14</v>
      </c>
      <c r="Z32">
        <f t="shared" si="3"/>
        <v>0</v>
      </c>
      <c r="AA32">
        <f t="shared" si="3"/>
        <v>0</v>
      </c>
      <c r="AB32">
        <f t="shared" si="3"/>
        <v>8</v>
      </c>
      <c r="AC32">
        <f t="shared" si="3"/>
        <v>0</v>
      </c>
      <c r="AD32">
        <f t="shared" si="3"/>
        <v>0</v>
      </c>
      <c r="AE32">
        <f t="shared" si="3"/>
        <v>0</v>
      </c>
      <c r="AF32">
        <f t="shared" si="3"/>
        <v>0</v>
      </c>
      <c r="AG32">
        <f t="shared" si="3"/>
        <v>9</v>
      </c>
    </row>
    <row r="33" spans="2:33" x14ac:dyDescent="0.25">
      <c r="B33" s="1" t="s">
        <v>1</v>
      </c>
      <c r="C33" s="1">
        <f t="shared" si="0"/>
        <v>115</v>
      </c>
      <c r="D33" s="17">
        <f t="shared" ref="D33:AG33" si="4">IF(COUNTIF($E6:$N6,D$29),D$28,0)</f>
        <v>21</v>
      </c>
      <c r="E33">
        <f t="shared" si="4"/>
        <v>0</v>
      </c>
      <c r="F33">
        <f t="shared" si="4"/>
        <v>0</v>
      </c>
      <c r="G33">
        <f t="shared" si="4"/>
        <v>5</v>
      </c>
      <c r="H33" s="17">
        <f t="shared" si="4"/>
        <v>0</v>
      </c>
      <c r="I33">
        <f t="shared" si="4"/>
        <v>0</v>
      </c>
      <c r="J33" s="17">
        <f t="shared" si="4"/>
        <v>0</v>
      </c>
      <c r="K33">
        <f t="shared" si="4"/>
        <v>0</v>
      </c>
      <c r="L33">
        <f t="shared" si="4"/>
        <v>7</v>
      </c>
      <c r="M33">
        <f t="shared" si="4"/>
        <v>0</v>
      </c>
      <c r="N33">
        <f t="shared" si="4"/>
        <v>8</v>
      </c>
      <c r="O33">
        <f t="shared" si="4"/>
        <v>0</v>
      </c>
      <c r="P33" s="17">
        <f t="shared" si="4"/>
        <v>0</v>
      </c>
      <c r="Q33">
        <f t="shared" si="4"/>
        <v>16</v>
      </c>
      <c r="R33">
        <f t="shared" si="4"/>
        <v>0</v>
      </c>
      <c r="S33">
        <f t="shared" si="4"/>
        <v>0</v>
      </c>
      <c r="T33">
        <f t="shared" si="4"/>
        <v>16</v>
      </c>
      <c r="U33">
        <f t="shared" si="4"/>
        <v>0</v>
      </c>
      <c r="V33">
        <f t="shared" si="4"/>
        <v>0</v>
      </c>
      <c r="W33" s="17">
        <f t="shared" si="4"/>
        <v>0</v>
      </c>
      <c r="X33">
        <f t="shared" si="4"/>
        <v>11</v>
      </c>
      <c r="Y33">
        <f t="shared" si="4"/>
        <v>14</v>
      </c>
      <c r="Z33">
        <f t="shared" si="4"/>
        <v>0</v>
      </c>
      <c r="AA33">
        <f t="shared" si="4"/>
        <v>0</v>
      </c>
      <c r="AB33">
        <f t="shared" si="4"/>
        <v>8</v>
      </c>
      <c r="AC33">
        <f t="shared" si="4"/>
        <v>0</v>
      </c>
      <c r="AD33">
        <f t="shared" si="4"/>
        <v>0</v>
      </c>
      <c r="AE33">
        <f t="shared" si="4"/>
        <v>0</v>
      </c>
      <c r="AF33">
        <f t="shared" si="4"/>
        <v>0</v>
      </c>
      <c r="AG33">
        <f t="shared" si="4"/>
        <v>9</v>
      </c>
    </row>
    <row r="34" spans="2:33" x14ac:dyDescent="0.25">
      <c r="B34" s="1" t="s">
        <v>30</v>
      </c>
      <c r="C34" s="1">
        <f t="shared" si="0"/>
        <v>102</v>
      </c>
      <c r="D34" s="17">
        <f t="shared" ref="D34:AG34" si="5">IF(COUNTIF($E7:$N7,D$29),D$28,0)</f>
        <v>21</v>
      </c>
      <c r="E34">
        <f t="shared" si="5"/>
        <v>0</v>
      </c>
      <c r="F34">
        <f t="shared" si="5"/>
        <v>0</v>
      </c>
      <c r="G34">
        <f t="shared" si="5"/>
        <v>0</v>
      </c>
      <c r="H34" s="17">
        <f t="shared" si="5"/>
        <v>14</v>
      </c>
      <c r="I34">
        <f t="shared" si="5"/>
        <v>0</v>
      </c>
      <c r="J34" s="17">
        <f t="shared" si="5"/>
        <v>11</v>
      </c>
      <c r="K34">
        <f t="shared" si="5"/>
        <v>0</v>
      </c>
      <c r="L34">
        <f t="shared" si="5"/>
        <v>0</v>
      </c>
      <c r="M34">
        <f t="shared" si="5"/>
        <v>0</v>
      </c>
      <c r="N34">
        <f t="shared" si="5"/>
        <v>8</v>
      </c>
      <c r="O34">
        <f t="shared" si="5"/>
        <v>0</v>
      </c>
      <c r="P34" s="17">
        <f t="shared" si="5"/>
        <v>0</v>
      </c>
      <c r="Q34">
        <f t="shared" si="5"/>
        <v>16</v>
      </c>
      <c r="R34">
        <f t="shared" si="5"/>
        <v>0</v>
      </c>
      <c r="S34">
        <f t="shared" si="5"/>
        <v>0</v>
      </c>
      <c r="T34">
        <f t="shared" si="5"/>
        <v>0</v>
      </c>
      <c r="U34">
        <f t="shared" si="5"/>
        <v>2</v>
      </c>
      <c r="V34">
        <f t="shared" si="5"/>
        <v>0</v>
      </c>
      <c r="W34" s="17">
        <f t="shared" si="5"/>
        <v>0</v>
      </c>
      <c r="X34">
        <f t="shared" si="5"/>
        <v>11</v>
      </c>
      <c r="Y34">
        <f t="shared" si="5"/>
        <v>0</v>
      </c>
      <c r="Z34">
        <f t="shared" si="5"/>
        <v>0</v>
      </c>
      <c r="AA34">
        <f t="shared" si="5"/>
        <v>4</v>
      </c>
      <c r="AB34">
        <f t="shared" si="5"/>
        <v>8</v>
      </c>
      <c r="AC34">
        <f t="shared" si="5"/>
        <v>0</v>
      </c>
      <c r="AD34">
        <f t="shared" si="5"/>
        <v>0</v>
      </c>
      <c r="AE34">
        <f t="shared" si="5"/>
        <v>7</v>
      </c>
      <c r="AF34">
        <f t="shared" si="5"/>
        <v>0</v>
      </c>
      <c r="AG34">
        <f t="shared" si="5"/>
        <v>0</v>
      </c>
    </row>
    <row r="35" spans="2:33" x14ac:dyDescent="0.25">
      <c r="B35" s="1" t="s">
        <v>42</v>
      </c>
      <c r="C35" s="1">
        <f t="shared" si="0"/>
        <v>126</v>
      </c>
      <c r="D35" s="17">
        <f t="shared" ref="D35:AG35" si="6">IF(COUNTIF($E8:$N8,D$29),D$28,0)</f>
        <v>21</v>
      </c>
      <c r="E35">
        <f t="shared" si="6"/>
        <v>0</v>
      </c>
      <c r="F35">
        <f t="shared" si="6"/>
        <v>0</v>
      </c>
      <c r="G35">
        <f t="shared" si="6"/>
        <v>0</v>
      </c>
      <c r="H35" s="17">
        <f t="shared" si="6"/>
        <v>14</v>
      </c>
      <c r="I35">
        <f t="shared" si="6"/>
        <v>0</v>
      </c>
      <c r="J35" s="17">
        <f t="shared" si="6"/>
        <v>11</v>
      </c>
      <c r="K35">
        <f t="shared" si="6"/>
        <v>0</v>
      </c>
      <c r="L35">
        <f t="shared" si="6"/>
        <v>0</v>
      </c>
      <c r="M35">
        <f t="shared" si="6"/>
        <v>0</v>
      </c>
      <c r="N35">
        <f t="shared" si="6"/>
        <v>0</v>
      </c>
      <c r="O35">
        <f t="shared" si="6"/>
        <v>5</v>
      </c>
      <c r="P35" s="17">
        <f t="shared" si="6"/>
        <v>0</v>
      </c>
      <c r="Q35">
        <f t="shared" si="6"/>
        <v>16</v>
      </c>
      <c r="R35">
        <f t="shared" si="6"/>
        <v>0</v>
      </c>
      <c r="S35">
        <f t="shared" si="6"/>
        <v>0</v>
      </c>
      <c r="T35">
        <f t="shared" si="6"/>
        <v>16</v>
      </c>
      <c r="U35">
        <f t="shared" si="6"/>
        <v>0</v>
      </c>
      <c r="V35">
        <f t="shared" si="6"/>
        <v>0</v>
      </c>
      <c r="W35" s="17">
        <f t="shared" si="6"/>
        <v>9</v>
      </c>
      <c r="X35">
        <f t="shared" si="6"/>
        <v>0</v>
      </c>
      <c r="Y35">
        <f t="shared" si="6"/>
        <v>14</v>
      </c>
      <c r="Z35">
        <f t="shared" si="6"/>
        <v>0</v>
      </c>
      <c r="AA35">
        <f t="shared" si="6"/>
        <v>0</v>
      </c>
      <c r="AB35">
        <f t="shared" si="6"/>
        <v>0</v>
      </c>
      <c r="AC35">
        <f t="shared" si="6"/>
        <v>14</v>
      </c>
      <c r="AD35">
        <f t="shared" si="6"/>
        <v>0</v>
      </c>
      <c r="AE35">
        <f t="shared" si="6"/>
        <v>0</v>
      </c>
      <c r="AF35">
        <f t="shared" si="6"/>
        <v>6</v>
      </c>
      <c r="AG35">
        <f t="shared" si="6"/>
        <v>0</v>
      </c>
    </row>
    <row r="36" spans="2:33" x14ac:dyDescent="0.25">
      <c r="B36" s="1" t="s">
        <v>2</v>
      </c>
      <c r="C36" s="1">
        <f t="shared" si="0"/>
        <v>108</v>
      </c>
      <c r="D36" s="17">
        <f t="shared" ref="D36:AG36" si="7">IF(COUNTIF($E9:$N9,D$29),D$28,0)</f>
        <v>21</v>
      </c>
      <c r="E36">
        <f t="shared" si="7"/>
        <v>0</v>
      </c>
      <c r="F36">
        <f t="shared" si="7"/>
        <v>0</v>
      </c>
      <c r="G36">
        <f t="shared" si="7"/>
        <v>5</v>
      </c>
      <c r="H36" s="17">
        <f t="shared" si="7"/>
        <v>0</v>
      </c>
      <c r="I36">
        <f t="shared" si="7"/>
        <v>0</v>
      </c>
      <c r="J36" s="17">
        <f t="shared" si="7"/>
        <v>11</v>
      </c>
      <c r="K36">
        <f t="shared" si="7"/>
        <v>0</v>
      </c>
      <c r="L36">
        <f t="shared" si="7"/>
        <v>0</v>
      </c>
      <c r="M36">
        <f t="shared" si="7"/>
        <v>0</v>
      </c>
      <c r="N36">
        <f t="shared" si="7"/>
        <v>0</v>
      </c>
      <c r="O36">
        <f t="shared" si="7"/>
        <v>5</v>
      </c>
      <c r="P36" s="17">
        <f t="shared" si="7"/>
        <v>0</v>
      </c>
      <c r="Q36">
        <f t="shared" si="7"/>
        <v>16</v>
      </c>
      <c r="R36">
        <f t="shared" si="7"/>
        <v>0</v>
      </c>
      <c r="S36">
        <f t="shared" si="7"/>
        <v>4</v>
      </c>
      <c r="T36">
        <f t="shared" si="7"/>
        <v>0</v>
      </c>
      <c r="U36">
        <f t="shared" si="7"/>
        <v>0</v>
      </c>
      <c r="V36">
        <f t="shared" si="7"/>
        <v>0</v>
      </c>
      <c r="W36" s="17">
        <f t="shared" si="7"/>
        <v>0</v>
      </c>
      <c r="X36">
        <f t="shared" si="7"/>
        <v>11</v>
      </c>
      <c r="Y36">
        <f t="shared" si="7"/>
        <v>14</v>
      </c>
      <c r="Z36">
        <f t="shared" si="7"/>
        <v>0</v>
      </c>
      <c r="AA36">
        <f t="shared" si="7"/>
        <v>0</v>
      </c>
      <c r="AB36">
        <f t="shared" si="7"/>
        <v>0</v>
      </c>
      <c r="AC36">
        <f t="shared" si="7"/>
        <v>14</v>
      </c>
      <c r="AD36">
        <f t="shared" si="7"/>
        <v>0</v>
      </c>
      <c r="AE36">
        <f t="shared" si="7"/>
        <v>7</v>
      </c>
      <c r="AF36">
        <f t="shared" si="7"/>
        <v>0</v>
      </c>
      <c r="AG36">
        <f t="shared" si="7"/>
        <v>0</v>
      </c>
    </row>
    <row r="37" spans="2:33" x14ac:dyDescent="0.25">
      <c r="B37" s="1" t="s">
        <v>31</v>
      </c>
      <c r="C37" s="1">
        <f t="shared" si="0"/>
        <v>97</v>
      </c>
      <c r="D37" s="17">
        <f t="shared" ref="D37:AG37" si="8">IF(COUNTIF($E10:$N10,D$29),D$28,0)</f>
        <v>21</v>
      </c>
      <c r="E37">
        <f t="shared" si="8"/>
        <v>0</v>
      </c>
      <c r="F37">
        <f t="shared" si="8"/>
        <v>0</v>
      </c>
      <c r="G37">
        <f t="shared" si="8"/>
        <v>5</v>
      </c>
      <c r="H37" s="17">
        <f t="shared" si="8"/>
        <v>0</v>
      </c>
      <c r="I37">
        <f t="shared" si="8"/>
        <v>0</v>
      </c>
      <c r="J37" s="17">
        <f t="shared" si="8"/>
        <v>0</v>
      </c>
      <c r="K37">
        <f t="shared" si="8"/>
        <v>4</v>
      </c>
      <c r="L37">
        <f t="shared" si="8"/>
        <v>0</v>
      </c>
      <c r="M37">
        <f t="shared" si="8"/>
        <v>9</v>
      </c>
      <c r="N37">
        <f t="shared" si="8"/>
        <v>0</v>
      </c>
      <c r="O37">
        <f t="shared" si="8"/>
        <v>0</v>
      </c>
      <c r="P37" s="17">
        <f t="shared" si="8"/>
        <v>0</v>
      </c>
      <c r="Q37">
        <f t="shared" si="8"/>
        <v>16</v>
      </c>
      <c r="R37">
        <f t="shared" si="8"/>
        <v>0</v>
      </c>
      <c r="S37">
        <f t="shared" si="8"/>
        <v>4</v>
      </c>
      <c r="T37">
        <f t="shared" si="8"/>
        <v>0</v>
      </c>
      <c r="U37">
        <f t="shared" si="8"/>
        <v>0</v>
      </c>
      <c r="V37">
        <f t="shared" si="8"/>
        <v>0</v>
      </c>
      <c r="W37" s="17">
        <f t="shared" si="8"/>
        <v>9</v>
      </c>
      <c r="X37">
        <f t="shared" si="8"/>
        <v>0</v>
      </c>
      <c r="Y37">
        <f t="shared" si="8"/>
        <v>14</v>
      </c>
      <c r="Z37">
        <f t="shared" si="8"/>
        <v>0</v>
      </c>
      <c r="AA37">
        <f t="shared" si="8"/>
        <v>0</v>
      </c>
      <c r="AB37">
        <f t="shared" si="8"/>
        <v>8</v>
      </c>
      <c r="AC37">
        <f t="shared" si="8"/>
        <v>0</v>
      </c>
      <c r="AD37">
        <f t="shared" si="8"/>
        <v>0</v>
      </c>
      <c r="AE37">
        <f t="shared" si="8"/>
        <v>7</v>
      </c>
      <c r="AF37">
        <f t="shared" si="8"/>
        <v>0</v>
      </c>
      <c r="AG37">
        <f t="shared" si="8"/>
        <v>0</v>
      </c>
    </row>
    <row r="38" spans="2:33" x14ac:dyDescent="0.25">
      <c r="B38" s="1" t="s">
        <v>43</v>
      </c>
      <c r="C38" s="1">
        <f t="shared" si="0"/>
        <v>82</v>
      </c>
      <c r="D38" s="17">
        <f t="shared" ref="D38:AG38" si="9">IF(COUNTIF($E11:$N11,D$29),D$28,0)</f>
        <v>21</v>
      </c>
      <c r="E38">
        <f t="shared" si="9"/>
        <v>0</v>
      </c>
      <c r="F38">
        <f t="shared" si="9"/>
        <v>0</v>
      </c>
      <c r="G38">
        <f t="shared" si="9"/>
        <v>0</v>
      </c>
      <c r="H38" s="17">
        <f t="shared" si="9"/>
        <v>0</v>
      </c>
      <c r="I38">
        <f t="shared" si="9"/>
        <v>3</v>
      </c>
      <c r="J38" s="17">
        <f t="shared" si="9"/>
        <v>11</v>
      </c>
      <c r="K38">
        <f t="shared" si="9"/>
        <v>0</v>
      </c>
      <c r="L38">
        <f t="shared" si="9"/>
        <v>0</v>
      </c>
      <c r="M38">
        <f t="shared" si="9"/>
        <v>0</v>
      </c>
      <c r="N38">
        <f t="shared" si="9"/>
        <v>8</v>
      </c>
      <c r="O38">
        <f t="shared" si="9"/>
        <v>0</v>
      </c>
      <c r="P38" s="17">
        <f t="shared" si="9"/>
        <v>0</v>
      </c>
      <c r="Q38">
        <f t="shared" si="9"/>
        <v>0</v>
      </c>
      <c r="R38">
        <f t="shared" si="9"/>
        <v>2</v>
      </c>
      <c r="S38">
        <f t="shared" si="9"/>
        <v>0</v>
      </c>
      <c r="T38">
        <f t="shared" si="9"/>
        <v>16</v>
      </c>
      <c r="U38">
        <f t="shared" si="9"/>
        <v>0</v>
      </c>
      <c r="V38">
        <f t="shared" si="9"/>
        <v>2</v>
      </c>
      <c r="W38" s="17">
        <f t="shared" si="9"/>
        <v>0</v>
      </c>
      <c r="X38">
        <f t="shared" si="9"/>
        <v>0</v>
      </c>
      <c r="Y38">
        <f t="shared" si="9"/>
        <v>0</v>
      </c>
      <c r="Z38">
        <f t="shared" si="9"/>
        <v>4</v>
      </c>
      <c r="AA38">
        <f t="shared" si="9"/>
        <v>0</v>
      </c>
      <c r="AB38">
        <f t="shared" si="9"/>
        <v>8</v>
      </c>
      <c r="AC38">
        <f t="shared" si="9"/>
        <v>0</v>
      </c>
      <c r="AD38">
        <f t="shared" si="9"/>
        <v>0</v>
      </c>
      <c r="AE38">
        <f t="shared" si="9"/>
        <v>7</v>
      </c>
      <c r="AF38">
        <f t="shared" si="9"/>
        <v>0</v>
      </c>
      <c r="AG38">
        <f t="shared" si="9"/>
        <v>0</v>
      </c>
    </row>
    <row r="39" spans="2:33" x14ac:dyDescent="0.25">
      <c r="B39" s="1" t="s">
        <v>3</v>
      </c>
      <c r="C39" s="1">
        <f t="shared" si="0"/>
        <v>108</v>
      </c>
      <c r="D39" s="17">
        <f t="shared" ref="D39:AG39" si="10">IF(COUNTIF($E12:$N12,D$29),D$28,0)</f>
        <v>21</v>
      </c>
      <c r="E39">
        <f t="shared" si="10"/>
        <v>0</v>
      </c>
      <c r="F39">
        <f t="shared" si="10"/>
        <v>0</v>
      </c>
      <c r="G39">
        <f t="shared" si="10"/>
        <v>0</v>
      </c>
      <c r="H39" s="17">
        <f t="shared" si="10"/>
        <v>14</v>
      </c>
      <c r="I39">
        <f t="shared" si="10"/>
        <v>0</v>
      </c>
      <c r="J39" s="17">
        <f t="shared" si="10"/>
        <v>11</v>
      </c>
      <c r="K39">
        <f t="shared" si="10"/>
        <v>0</v>
      </c>
      <c r="L39">
        <f t="shared" si="10"/>
        <v>0</v>
      </c>
      <c r="M39">
        <f t="shared" si="10"/>
        <v>0</v>
      </c>
      <c r="N39">
        <f t="shared" si="10"/>
        <v>8</v>
      </c>
      <c r="O39">
        <f t="shared" si="10"/>
        <v>0</v>
      </c>
      <c r="P39" s="17">
        <f t="shared" si="10"/>
        <v>4</v>
      </c>
      <c r="Q39">
        <f t="shared" si="10"/>
        <v>0</v>
      </c>
      <c r="R39">
        <f t="shared" si="10"/>
        <v>0</v>
      </c>
      <c r="S39">
        <f t="shared" si="10"/>
        <v>4</v>
      </c>
      <c r="T39">
        <f t="shared" si="10"/>
        <v>0</v>
      </c>
      <c r="U39">
        <f t="shared" si="10"/>
        <v>0</v>
      </c>
      <c r="V39">
        <f t="shared" si="10"/>
        <v>0</v>
      </c>
      <c r="W39" s="17">
        <f t="shared" si="10"/>
        <v>9</v>
      </c>
      <c r="X39">
        <f t="shared" si="10"/>
        <v>0</v>
      </c>
      <c r="Y39">
        <f t="shared" si="10"/>
        <v>14</v>
      </c>
      <c r="Z39">
        <f t="shared" si="10"/>
        <v>0</v>
      </c>
      <c r="AA39">
        <f t="shared" si="10"/>
        <v>0</v>
      </c>
      <c r="AB39">
        <f t="shared" si="10"/>
        <v>0</v>
      </c>
      <c r="AC39">
        <f t="shared" si="10"/>
        <v>14</v>
      </c>
      <c r="AD39">
        <f t="shared" si="10"/>
        <v>0</v>
      </c>
      <c r="AE39">
        <f t="shared" si="10"/>
        <v>0</v>
      </c>
      <c r="AF39">
        <f t="shared" si="10"/>
        <v>0</v>
      </c>
      <c r="AG39">
        <f t="shared" si="10"/>
        <v>9</v>
      </c>
    </row>
    <row r="40" spans="2:33" x14ac:dyDescent="0.25">
      <c r="B40" s="1" t="s">
        <v>32</v>
      </c>
      <c r="C40" s="1">
        <f t="shared" si="0"/>
        <v>68</v>
      </c>
      <c r="D40" s="17">
        <f t="shared" ref="D40:AG40" si="11">IF(COUNTIF($E13:$N13,D$29),D$28,0)</f>
        <v>0</v>
      </c>
      <c r="E40">
        <f t="shared" si="11"/>
        <v>1</v>
      </c>
      <c r="F40">
        <f t="shared" si="11"/>
        <v>0</v>
      </c>
      <c r="G40">
        <f t="shared" si="11"/>
        <v>0</v>
      </c>
      <c r="H40" s="17">
        <f t="shared" si="11"/>
        <v>14</v>
      </c>
      <c r="I40">
        <f t="shared" si="11"/>
        <v>0</v>
      </c>
      <c r="J40" s="17">
        <f t="shared" si="11"/>
        <v>0</v>
      </c>
      <c r="K40">
        <f t="shared" si="11"/>
        <v>0</v>
      </c>
      <c r="L40">
        <f t="shared" si="11"/>
        <v>7</v>
      </c>
      <c r="M40">
        <f t="shared" si="11"/>
        <v>0</v>
      </c>
      <c r="N40">
        <f t="shared" si="11"/>
        <v>0</v>
      </c>
      <c r="O40">
        <f t="shared" si="11"/>
        <v>5</v>
      </c>
      <c r="P40" s="17">
        <f t="shared" si="11"/>
        <v>4</v>
      </c>
      <c r="Q40">
        <f t="shared" si="11"/>
        <v>0</v>
      </c>
      <c r="R40">
        <f t="shared" si="11"/>
        <v>0</v>
      </c>
      <c r="S40">
        <f t="shared" si="11"/>
        <v>4</v>
      </c>
      <c r="T40">
        <f t="shared" si="11"/>
        <v>0</v>
      </c>
      <c r="U40">
        <f t="shared" si="11"/>
        <v>0</v>
      </c>
      <c r="V40">
        <f t="shared" si="11"/>
        <v>0</v>
      </c>
      <c r="W40" s="17">
        <f t="shared" si="11"/>
        <v>9</v>
      </c>
      <c r="X40">
        <f t="shared" si="11"/>
        <v>0</v>
      </c>
      <c r="Y40">
        <f t="shared" si="11"/>
        <v>0</v>
      </c>
      <c r="Z40">
        <f t="shared" si="11"/>
        <v>0</v>
      </c>
      <c r="AA40">
        <f t="shared" si="11"/>
        <v>4</v>
      </c>
      <c r="AB40">
        <f t="shared" si="11"/>
        <v>0</v>
      </c>
      <c r="AC40">
        <f t="shared" si="11"/>
        <v>14</v>
      </c>
      <c r="AD40">
        <f t="shared" si="11"/>
        <v>0</v>
      </c>
      <c r="AE40">
        <f t="shared" si="11"/>
        <v>0</v>
      </c>
      <c r="AF40">
        <f t="shared" si="11"/>
        <v>6</v>
      </c>
      <c r="AG40">
        <f t="shared" si="11"/>
        <v>0</v>
      </c>
    </row>
    <row r="41" spans="2:33" x14ac:dyDescent="0.25">
      <c r="B41" s="1" t="s">
        <v>44</v>
      </c>
      <c r="C41" s="1">
        <f t="shared" si="0"/>
        <v>83</v>
      </c>
      <c r="D41" s="17">
        <f t="shared" ref="D41:AG41" si="12">IF(COUNTIF($E14:$N14,D$29),D$28,0)</f>
        <v>21</v>
      </c>
      <c r="E41">
        <f t="shared" si="12"/>
        <v>0</v>
      </c>
      <c r="F41">
        <f t="shared" si="12"/>
        <v>0</v>
      </c>
      <c r="G41">
        <f t="shared" si="12"/>
        <v>0</v>
      </c>
      <c r="H41" s="17">
        <f t="shared" si="12"/>
        <v>14</v>
      </c>
      <c r="I41">
        <f t="shared" si="12"/>
        <v>0</v>
      </c>
      <c r="J41" s="17">
        <f t="shared" si="12"/>
        <v>0</v>
      </c>
      <c r="K41">
        <f t="shared" si="12"/>
        <v>4</v>
      </c>
      <c r="L41">
        <f t="shared" si="12"/>
        <v>0</v>
      </c>
      <c r="M41">
        <f t="shared" si="12"/>
        <v>0</v>
      </c>
      <c r="N41">
        <f t="shared" si="12"/>
        <v>8</v>
      </c>
      <c r="O41">
        <f t="shared" si="12"/>
        <v>0</v>
      </c>
      <c r="P41" s="17">
        <f t="shared" si="12"/>
        <v>4</v>
      </c>
      <c r="Q41">
        <f t="shared" si="12"/>
        <v>0</v>
      </c>
      <c r="R41">
        <f t="shared" si="12"/>
        <v>0</v>
      </c>
      <c r="S41">
        <f t="shared" si="12"/>
        <v>0</v>
      </c>
      <c r="T41">
        <f t="shared" si="12"/>
        <v>0</v>
      </c>
      <c r="U41">
        <f t="shared" si="12"/>
        <v>2</v>
      </c>
      <c r="V41">
        <f t="shared" si="12"/>
        <v>0</v>
      </c>
      <c r="W41" s="17">
        <f t="shared" si="12"/>
        <v>0</v>
      </c>
      <c r="X41">
        <f t="shared" si="12"/>
        <v>11</v>
      </c>
      <c r="Y41">
        <f t="shared" si="12"/>
        <v>0</v>
      </c>
      <c r="Z41">
        <f t="shared" si="12"/>
        <v>0</v>
      </c>
      <c r="AA41">
        <f t="shared" si="12"/>
        <v>4</v>
      </c>
      <c r="AB41">
        <f t="shared" si="12"/>
        <v>8</v>
      </c>
      <c r="AC41">
        <f t="shared" si="12"/>
        <v>0</v>
      </c>
      <c r="AD41">
        <f t="shared" si="12"/>
        <v>0</v>
      </c>
      <c r="AE41">
        <f t="shared" si="12"/>
        <v>7</v>
      </c>
      <c r="AF41">
        <f t="shared" si="12"/>
        <v>0</v>
      </c>
      <c r="AG41">
        <f t="shared" si="12"/>
        <v>0</v>
      </c>
    </row>
    <row r="42" spans="2:33" x14ac:dyDescent="0.25">
      <c r="B42" s="1" t="s">
        <v>4</v>
      </c>
      <c r="C42" s="1">
        <f t="shared" si="0"/>
        <v>117</v>
      </c>
      <c r="D42" s="17">
        <f t="shared" ref="D42:AG42" si="13">IF(COUNTIF($E15:$N15,D$29),D$28,0)</f>
        <v>21</v>
      </c>
      <c r="E42">
        <f t="shared" si="13"/>
        <v>0</v>
      </c>
      <c r="F42">
        <f t="shared" si="13"/>
        <v>0</v>
      </c>
      <c r="G42">
        <f t="shared" si="13"/>
        <v>5</v>
      </c>
      <c r="H42" s="17">
        <f t="shared" si="13"/>
        <v>0</v>
      </c>
      <c r="I42">
        <f t="shared" si="13"/>
        <v>0</v>
      </c>
      <c r="J42" s="17">
        <f t="shared" si="13"/>
        <v>0</v>
      </c>
      <c r="K42">
        <f t="shared" si="13"/>
        <v>0</v>
      </c>
      <c r="L42">
        <f t="shared" si="13"/>
        <v>7</v>
      </c>
      <c r="M42">
        <f t="shared" si="13"/>
        <v>9</v>
      </c>
      <c r="N42">
        <f t="shared" si="13"/>
        <v>0</v>
      </c>
      <c r="O42">
        <f t="shared" si="13"/>
        <v>0</v>
      </c>
      <c r="P42" s="17">
        <f t="shared" si="13"/>
        <v>0</v>
      </c>
      <c r="Q42">
        <f t="shared" si="13"/>
        <v>16</v>
      </c>
      <c r="R42">
        <f t="shared" si="13"/>
        <v>0</v>
      </c>
      <c r="S42">
        <f t="shared" si="13"/>
        <v>0</v>
      </c>
      <c r="T42">
        <f t="shared" si="13"/>
        <v>16</v>
      </c>
      <c r="U42">
        <f t="shared" si="13"/>
        <v>0</v>
      </c>
      <c r="V42">
        <f t="shared" si="13"/>
        <v>0</v>
      </c>
      <c r="W42" s="17">
        <f t="shared" si="13"/>
        <v>9</v>
      </c>
      <c r="X42">
        <f t="shared" si="13"/>
        <v>0</v>
      </c>
      <c r="Y42">
        <f t="shared" si="13"/>
        <v>14</v>
      </c>
      <c r="Z42">
        <f t="shared" si="13"/>
        <v>0</v>
      </c>
      <c r="AA42">
        <f t="shared" si="13"/>
        <v>0</v>
      </c>
      <c r="AB42">
        <f t="shared" si="13"/>
        <v>0</v>
      </c>
      <c r="AC42">
        <f t="shared" si="13"/>
        <v>14</v>
      </c>
      <c r="AD42">
        <f t="shared" si="13"/>
        <v>0</v>
      </c>
      <c r="AE42">
        <f t="shared" si="13"/>
        <v>0</v>
      </c>
      <c r="AF42">
        <f t="shared" si="13"/>
        <v>6</v>
      </c>
      <c r="AG42">
        <f t="shared" si="13"/>
        <v>0</v>
      </c>
    </row>
    <row r="43" spans="2:33" x14ac:dyDescent="0.25">
      <c r="B43" s="1" t="s">
        <v>33</v>
      </c>
      <c r="C43" s="1">
        <f t="shared" si="0"/>
        <v>131</v>
      </c>
      <c r="D43" s="17">
        <f t="shared" ref="D43:AG43" si="14">IF(COUNTIF($E16:$N16,D$29),D$28,0)</f>
        <v>21</v>
      </c>
      <c r="E43">
        <f t="shared" si="14"/>
        <v>0</v>
      </c>
      <c r="F43">
        <f t="shared" si="14"/>
        <v>0</v>
      </c>
      <c r="G43">
        <f t="shared" si="14"/>
        <v>0</v>
      </c>
      <c r="H43" s="17">
        <f t="shared" si="14"/>
        <v>14</v>
      </c>
      <c r="I43">
        <f t="shared" si="14"/>
        <v>0</v>
      </c>
      <c r="J43" s="17">
        <f t="shared" si="14"/>
        <v>0</v>
      </c>
      <c r="K43">
        <f t="shared" si="14"/>
        <v>0</v>
      </c>
      <c r="L43">
        <f t="shared" si="14"/>
        <v>7</v>
      </c>
      <c r="M43">
        <f t="shared" si="14"/>
        <v>9</v>
      </c>
      <c r="N43">
        <f t="shared" si="14"/>
        <v>0</v>
      </c>
      <c r="O43">
        <f t="shared" si="14"/>
        <v>0</v>
      </c>
      <c r="P43" s="17">
        <f t="shared" si="14"/>
        <v>0</v>
      </c>
      <c r="Q43">
        <f t="shared" si="14"/>
        <v>16</v>
      </c>
      <c r="R43">
        <f t="shared" si="14"/>
        <v>0</v>
      </c>
      <c r="S43">
        <f t="shared" si="14"/>
        <v>0</v>
      </c>
      <c r="T43">
        <f t="shared" si="14"/>
        <v>16</v>
      </c>
      <c r="U43">
        <f t="shared" si="14"/>
        <v>0</v>
      </c>
      <c r="V43">
        <f t="shared" si="14"/>
        <v>0</v>
      </c>
      <c r="W43" s="17">
        <f t="shared" si="14"/>
        <v>0</v>
      </c>
      <c r="X43">
        <f t="shared" si="14"/>
        <v>11</v>
      </c>
      <c r="Y43">
        <f t="shared" si="14"/>
        <v>14</v>
      </c>
      <c r="Z43">
        <f t="shared" si="14"/>
        <v>0</v>
      </c>
      <c r="AA43">
        <f t="shared" si="14"/>
        <v>0</v>
      </c>
      <c r="AB43">
        <f t="shared" si="14"/>
        <v>0</v>
      </c>
      <c r="AC43">
        <f t="shared" si="14"/>
        <v>14</v>
      </c>
      <c r="AD43">
        <f t="shared" si="14"/>
        <v>0</v>
      </c>
      <c r="AE43">
        <f t="shared" si="14"/>
        <v>0</v>
      </c>
      <c r="AF43">
        <f t="shared" si="14"/>
        <v>0</v>
      </c>
      <c r="AG43">
        <f t="shared" si="14"/>
        <v>9</v>
      </c>
    </row>
    <row r="44" spans="2:33" x14ac:dyDescent="0.25">
      <c r="B44" s="1" t="s">
        <v>45</v>
      </c>
      <c r="C44" s="1">
        <f t="shared" si="0"/>
        <v>133</v>
      </c>
      <c r="D44" s="17">
        <f t="shared" ref="D44:AG44" si="15">IF(COUNTIF($E17:$N17,D$29),D$28,0)</f>
        <v>21</v>
      </c>
      <c r="E44">
        <f t="shared" si="15"/>
        <v>0</v>
      </c>
      <c r="F44">
        <f t="shared" si="15"/>
        <v>0</v>
      </c>
      <c r="G44">
        <f t="shared" si="15"/>
        <v>0</v>
      </c>
      <c r="H44" s="17">
        <f t="shared" si="15"/>
        <v>14</v>
      </c>
      <c r="I44">
        <f t="shared" si="15"/>
        <v>0</v>
      </c>
      <c r="J44" s="17">
        <f t="shared" si="15"/>
        <v>11</v>
      </c>
      <c r="K44">
        <f t="shared" si="15"/>
        <v>0</v>
      </c>
      <c r="L44">
        <f t="shared" si="15"/>
        <v>0</v>
      </c>
      <c r="M44">
        <f t="shared" si="15"/>
        <v>9</v>
      </c>
      <c r="N44">
        <f t="shared" si="15"/>
        <v>0</v>
      </c>
      <c r="O44">
        <f t="shared" si="15"/>
        <v>0</v>
      </c>
      <c r="P44" s="17">
        <f t="shared" si="15"/>
        <v>0</v>
      </c>
      <c r="Q44">
        <f t="shared" si="15"/>
        <v>16</v>
      </c>
      <c r="R44">
        <f t="shared" si="15"/>
        <v>0</v>
      </c>
      <c r="S44">
        <f t="shared" si="15"/>
        <v>0</v>
      </c>
      <c r="T44">
        <f t="shared" si="15"/>
        <v>16</v>
      </c>
      <c r="U44">
        <f t="shared" si="15"/>
        <v>0</v>
      </c>
      <c r="V44">
        <f t="shared" si="15"/>
        <v>0</v>
      </c>
      <c r="W44" s="17">
        <f t="shared" si="15"/>
        <v>9</v>
      </c>
      <c r="X44">
        <f t="shared" si="15"/>
        <v>0</v>
      </c>
      <c r="Y44">
        <f t="shared" si="15"/>
        <v>14</v>
      </c>
      <c r="Z44">
        <f t="shared" si="15"/>
        <v>0</v>
      </c>
      <c r="AA44">
        <f t="shared" si="15"/>
        <v>0</v>
      </c>
      <c r="AB44">
        <f t="shared" si="15"/>
        <v>0</v>
      </c>
      <c r="AC44">
        <f t="shared" si="15"/>
        <v>14</v>
      </c>
      <c r="AD44">
        <f t="shared" si="15"/>
        <v>0</v>
      </c>
      <c r="AE44">
        <f t="shared" si="15"/>
        <v>0</v>
      </c>
      <c r="AF44">
        <f t="shared" si="15"/>
        <v>0</v>
      </c>
      <c r="AG44">
        <f t="shared" si="15"/>
        <v>9</v>
      </c>
    </row>
    <row r="45" spans="2:33" x14ac:dyDescent="0.25">
      <c r="B45" s="1" t="s">
        <v>5</v>
      </c>
      <c r="C45" s="1">
        <f t="shared" si="0"/>
        <v>108</v>
      </c>
      <c r="D45" s="17">
        <f t="shared" ref="D45:AG45" si="16">IF(COUNTIF($E18:$N18,D$29),D$28,0)</f>
        <v>21</v>
      </c>
      <c r="E45">
        <f t="shared" si="16"/>
        <v>0</v>
      </c>
      <c r="F45">
        <f t="shared" si="16"/>
        <v>0</v>
      </c>
      <c r="G45">
        <f t="shared" si="16"/>
        <v>5</v>
      </c>
      <c r="H45" s="17">
        <f t="shared" si="16"/>
        <v>0</v>
      </c>
      <c r="I45">
        <f t="shared" si="16"/>
        <v>0</v>
      </c>
      <c r="J45" s="17">
        <f t="shared" si="16"/>
        <v>0</v>
      </c>
      <c r="K45">
        <f t="shared" si="16"/>
        <v>0</v>
      </c>
      <c r="L45">
        <f t="shared" si="16"/>
        <v>7</v>
      </c>
      <c r="M45">
        <f t="shared" si="16"/>
        <v>0</v>
      </c>
      <c r="N45">
        <f t="shared" si="16"/>
        <v>8</v>
      </c>
      <c r="O45">
        <f t="shared" si="16"/>
        <v>0</v>
      </c>
      <c r="P45" s="17">
        <f t="shared" si="16"/>
        <v>0</v>
      </c>
      <c r="Q45">
        <f t="shared" si="16"/>
        <v>16</v>
      </c>
      <c r="R45">
        <f t="shared" si="16"/>
        <v>0</v>
      </c>
      <c r="S45">
        <f t="shared" si="16"/>
        <v>0</v>
      </c>
      <c r="T45">
        <f t="shared" si="16"/>
        <v>16</v>
      </c>
      <c r="U45">
        <f t="shared" si="16"/>
        <v>0</v>
      </c>
      <c r="V45">
        <f t="shared" si="16"/>
        <v>0</v>
      </c>
      <c r="W45" s="17">
        <f t="shared" si="16"/>
        <v>0</v>
      </c>
      <c r="X45">
        <f t="shared" si="16"/>
        <v>11</v>
      </c>
      <c r="Y45">
        <f t="shared" si="16"/>
        <v>0</v>
      </c>
      <c r="Z45">
        <f t="shared" si="16"/>
        <v>4</v>
      </c>
      <c r="AA45">
        <f t="shared" si="16"/>
        <v>0</v>
      </c>
      <c r="AB45">
        <f t="shared" si="16"/>
        <v>0</v>
      </c>
      <c r="AC45">
        <f t="shared" si="16"/>
        <v>14</v>
      </c>
      <c r="AD45">
        <f t="shared" si="16"/>
        <v>0</v>
      </c>
      <c r="AE45">
        <f t="shared" si="16"/>
        <v>0</v>
      </c>
      <c r="AF45">
        <f t="shared" si="16"/>
        <v>6</v>
      </c>
      <c r="AG45">
        <f t="shared" si="16"/>
        <v>0</v>
      </c>
    </row>
    <row r="46" spans="2:33" x14ac:dyDescent="0.25">
      <c r="B46" s="1" t="s">
        <v>34</v>
      </c>
      <c r="C46" s="1">
        <f t="shared" si="0"/>
        <v>126</v>
      </c>
      <c r="D46" s="17">
        <f t="shared" ref="D46:AG46" si="17">IF(COUNTIF($E19:$N19,D$29),D$28,0)</f>
        <v>21</v>
      </c>
      <c r="E46">
        <f t="shared" si="17"/>
        <v>0</v>
      </c>
      <c r="F46">
        <f t="shared" si="17"/>
        <v>0</v>
      </c>
      <c r="G46">
        <f t="shared" si="17"/>
        <v>0</v>
      </c>
      <c r="H46" s="17">
        <f t="shared" si="17"/>
        <v>14</v>
      </c>
      <c r="I46">
        <f t="shared" si="17"/>
        <v>0</v>
      </c>
      <c r="J46" s="17">
        <f t="shared" si="17"/>
        <v>11</v>
      </c>
      <c r="K46">
        <f t="shared" si="17"/>
        <v>0</v>
      </c>
      <c r="L46">
        <f t="shared" si="17"/>
        <v>0</v>
      </c>
      <c r="M46">
        <f t="shared" si="17"/>
        <v>0</v>
      </c>
      <c r="N46">
        <f t="shared" si="17"/>
        <v>0</v>
      </c>
      <c r="O46">
        <f t="shared" si="17"/>
        <v>5</v>
      </c>
      <c r="P46" s="17">
        <f t="shared" si="17"/>
        <v>0</v>
      </c>
      <c r="Q46">
        <f t="shared" si="17"/>
        <v>16</v>
      </c>
      <c r="R46">
        <f t="shared" si="17"/>
        <v>0</v>
      </c>
      <c r="S46">
        <f t="shared" si="17"/>
        <v>0</v>
      </c>
      <c r="T46">
        <f t="shared" si="17"/>
        <v>16</v>
      </c>
      <c r="U46">
        <f t="shared" si="17"/>
        <v>0</v>
      </c>
      <c r="V46">
        <f t="shared" si="17"/>
        <v>0</v>
      </c>
      <c r="W46" s="17">
        <f t="shared" si="17"/>
        <v>9</v>
      </c>
      <c r="X46">
        <f t="shared" si="17"/>
        <v>0</v>
      </c>
      <c r="Y46">
        <f t="shared" si="17"/>
        <v>14</v>
      </c>
      <c r="Z46">
        <f t="shared" si="17"/>
        <v>0</v>
      </c>
      <c r="AA46">
        <f t="shared" si="17"/>
        <v>0</v>
      </c>
      <c r="AB46">
        <f t="shared" si="17"/>
        <v>0</v>
      </c>
      <c r="AC46">
        <f t="shared" si="17"/>
        <v>14</v>
      </c>
      <c r="AD46">
        <f t="shared" si="17"/>
        <v>0</v>
      </c>
      <c r="AE46">
        <f t="shared" si="17"/>
        <v>0</v>
      </c>
      <c r="AF46">
        <f t="shared" si="17"/>
        <v>6</v>
      </c>
      <c r="AG46">
        <f t="shared" si="17"/>
        <v>0</v>
      </c>
    </row>
    <row r="47" spans="2:33" x14ac:dyDescent="0.25">
      <c r="B47" s="1" t="s">
        <v>46</v>
      </c>
      <c r="C47" s="1">
        <f t="shared" si="0"/>
        <v>118</v>
      </c>
      <c r="D47" s="17">
        <f t="shared" ref="D47:AG47" si="18">IF(COUNTIF($E20:$N20,D$29),D$28,0)</f>
        <v>21</v>
      </c>
      <c r="E47">
        <f t="shared" si="18"/>
        <v>0</v>
      </c>
      <c r="F47">
        <f t="shared" si="18"/>
        <v>0</v>
      </c>
      <c r="G47">
        <f t="shared" si="18"/>
        <v>0</v>
      </c>
      <c r="H47" s="17">
        <f t="shared" si="18"/>
        <v>0</v>
      </c>
      <c r="I47">
        <f t="shared" si="18"/>
        <v>3</v>
      </c>
      <c r="J47" s="17">
        <f t="shared" si="18"/>
        <v>11</v>
      </c>
      <c r="K47">
        <f t="shared" si="18"/>
        <v>0</v>
      </c>
      <c r="L47">
        <f t="shared" si="18"/>
        <v>0</v>
      </c>
      <c r="M47">
        <f t="shared" si="18"/>
        <v>9</v>
      </c>
      <c r="N47">
        <f t="shared" si="18"/>
        <v>0</v>
      </c>
      <c r="O47">
        <f t="shared" si="18"/>
        <v>0</v>
      </c>
      <c r="P47" s="17">
        <f t="shared" si="18"/>
        <v>0</v>
      </c>
      <c r="Q47">
        <f t="shared" si="18"/>
        <v>16</v>
      </c>
      <c r="R47">
        <f t="shared" si="18"/>
        <v>0</v>
      </c>
      <c r="S47">
        <f t="shared" si="18"/>
        <v>0</v>
      </c>
      <c r="T47">
        <f t="shared" si="18"/>
        <v>16</v>
      </c>
      <c r="U47">
        <f t="shared" si="18"/>
        <v>0</v>
      </c>
      <c r="V47">
        <f t="shared" si="18"/>
        <v>0</v>
      </c>
      <c r="W47" s="17">
        <f t="shared" si="18"/>
        <v>0</v>
      </c>
      <c r="X47">
        <f t="shared" si="18"/>
        <v>11</v>
      </c>
      <c r="Y47">
        <f t="shared" si="18"/>
        <v>14</v>
      </c>
      <c r="Z47">
        <f t="shared" si="18"/>
        <v>0</v>
      </c>
      <c r="AA47">
        <f t="shared" si="18"/>
        <v>0</v>
      </c>
      <c r="AB47">
        <f t="shared" si="18"/>
        <v>8</v>
      </c>
      <c r="AC47">
        <f t="shared" si="18"/>
        <v>0</v>
      </c>
      <c r="AD47">
        <f t="shared" si="18"/>
        <v>0</v>
      </c>
      <c r="AE47">
        <f t="shared" si="18"/>
        <v>0</v>
      </c>
      <c r="AF47">
        <f t="shared" si="18"/>
        <v>0</v>
      </c>
      <c r="AG47">
        <f t="shared" si="18"/>
        <v>9</v>
      </c>
    </row>
    <row r="48" spans="2:33" x14ac:dyDescent="0.25">
      <c r="B48" s="1" t="s">
        <v>6</v>
      </c>
      <c r="C48" s="1">
        <f t="shared" si="0"/>
        <v>129</v>
      </c>
      <c r="D48" s="17">
        <f t="shared" ref="D48:AG48" si="19">IF(COUNTIF($E21:$N21,D$29),D$28,0)</f>
        <v>21</v>
      </c>
      <c r="E48">
        <f t="shared" si="19"/>
        <v>0</v>
      </c>
      <c r="F48">
        <f t="shared" si="19"/>
        <v>0</v>
      </c>
      <c r="G48">
        <f t="shared" si="19"/>
        <v>0</v>
      </c>
      <c r="H48" s="17">
        <f t="shared" si="19"/>
        <v>14</v>
      </c>
      <c r="I48">
        <f t="shared" si="19"/>
        <v>0</v>
      </c>
      <c r="J48" s="17">
        <f t="shared" si="19"/>
        <v>0</v>
      </c>
      <c r="K48">
        <f t="shared" si="19"/>
        <v>0</v>
      </c>
      <c r="L48">
        <f t="shared" si="19"/>
        <v>7</v>
      </c>
      <c r="M48">
        <f t="shared" si="19"/>
        <v>9</v>
      </c>
      <c r="N48">
        <f t="shared" si="19"/>
        <v>0</v>
      </c>
      <c r="O48">
        <f t="shared" si="19"/>
        <v>0</v>
      </c>
      <c r="P48" s="17">
        <f t="shared" si="19"/>
        <v>0</v>
      </c>
      <c r="Q48">
        <f t="shared" si="19"/>
        <v>16</v>
      </c>
      <c r="R48">
        <f t="shared" si="19"/>
        <v>0</v>
      </c>
      <c r="S48">
        <f t="shared" si="19"/>
        <v>0</v>
      </c>
      <c r="T48">
        <f t="shared" si="19"/>
        <v>16</v>
      </c>
      <c r="U48">
        <f t="shared" si="19"/>
        <v>0</v>
      </c>
      <c r="V48">
        <f t="shared" si="19"/>
        <v>0</v>
      </c>
      <c r="W48" s="17">
        <f t="shared" si="19"/>
        <v>9</v>
      </c>
      <c r="X48">
        <f t="shared" si="19"/>
        <v>0</v>
      </c>
      <c r="Y48">
        <f t="shared" si="19"/>
        <v>14</v>
      </c>
      <c r="Z48">
        <f t="shared" si="19"/>
        <v>0</v>
      </c>
      <c r="AA48">
        <f t="shared" si="19"/>
        <v>0</v>
      </c>
      <c r="AB48">
        <f t="shared" si="19"/>
        <v>0</v>
      </c>
      <c r="AC48">
        <f t="shared" si="19"/>
        <v>14</v>
      </c>
      <c r="AD48">
        <f t="shared" si="19"/>
        <v>0</v>
      </c>
      <c r="AE48">
        <f t="shared" si="19"/>
        <v>0</v>
      </c>
      <c r="AF48">
        <f t="shared" si="19"/>
        <v>0</v>
      </c>
      <c r="AG48">
        <f t="shared" si="19"/>
        <v>9</v>
      </c>
    </row>
    <row r="49" spans="2:33" x14ac:dyDescent="0.25">
      <c r="B49" s="1" t="s">
        <v>35</v>
      </c>
      <c r="C49" s="1">
        <f t="shared" si="0"/>
        <v>135</v>
      </c>
      <c r="D49" s="17">
        <f t="shared" ref="D49:AG49" si="20">IF(COUNTIF($E22:$N22,D$29),D$28,0)</f>
        <v>21</v>
      </c>
      <c r="E49">
        <f t="shared" si="20"/>
        <v>0</v>
      </c>
      <c r="F49">
        <f t="shared" si="20"/>
        <v>0</v>
      </c>
      <c r="G49">
        <f t="shared" si="20"/>
        <v>0</v>
      </c>
      <c r="H49" s="17">
        <f t="shared" si="20"/>
        <v>14</v>
      </c>
      <c r="I49">
        <f t="shared" si="20"/>
        <v>0</v>
      </c>
      <c r="J49" s="17">
        <f t="shared" si="20"/>
        <v>11</v>
      </c>
      <c r="K49">
        <f t="shared" si="20"/>
        <v>0</v>
      </c>
      <c r="L49">
        <f t="shared" si="20"/>
        <v>0</v>
      </c>
      <c r="M49">
        <f t="shared" si="20"/>
        <v>9</v>
      </c>
      <c r="N49">
        <f t="shared" si="20"/>
        <v>0</v>
      </c>
      <c r="O49">
        <f t="shared" si="20"/>
        <v>0</v>
      </c>
      <c r="P49" s="17">
        <f t="shared" si="20"/>
        <v>0</v>
      </c>
      <c r="Q49">
        <f t="shared" si="20"/>
        <v>16</v>
      </c>
      <c r="R49">
        <f t="shared" si="20"/>
        <v>0</v>
      </c>
      <c r="S49">
        <f t="shared" si="20"/>
        <v>0</v>
      </c>
      <c r="T49">
        <f t="shared" si="20"/>
        <v>16</v>
      </c>
      <c r="U49">
        <f t="shared" si="20"/>
        <v>0</v>
      </c>
      <c r="V49">
        <f t="shared" si="20"/>
        <v>0</v>
      </c>
      <c r="W49" s="17">
        <f t="shared" si="20"/>
        <v>0</v>
      </c>
      <c r="X49">
        <f t="shared" si="20"/>
        <v>11</v>
      </c>
      <c r="Y49">
        <f t="shared" si="20"/>
        <v>14</v>
      </c>
      <c r="Z49">
        <f t="shared" si="20"/>
        <v>0</v>
      </c>
      <c r="AA49">
        <f t="shared" si="20"/>
        <v>0</v>
      </c>
      <c r="AB49">
        <f t="shared" si="20"/>
        <v>0</v>
      </c>
      <c r="AC49">
        <f t="shared" si="20"/>
        <v>14</v>
      </c>
      <c r="AD49">
        <f t="shared" si="20"/>
        <v>0</v>
      </c>
      <c r="AE49">
        <f t="shared" si="20"/>
        <v>0</v>
      </c>
      <c r="AF49">
        <f t="shared" si="20"/>
        <v>0</v>
      </c>
      <c r="AG49">
        <f t="shared" si="20"/>
        <v>9</v>
      </c>
    </row>
    <row r="50" spans="2:33" x14ac:dyDescent="0.25">
      <c r="B50" s="1" t="s">
        <v>47</v>
      </c>
      <c r="C50" s="1">
        <f t="shared" si="0"/>
        <v>96</v>
      </c>
      <c r="D50" s="17">
        <f t="shared" ref="D50:AG50" si="21">IF(COUNTIF($E23:$N23,D$29),D$28,0)</f>
        <v>21</v>
      </c>
      <c r="E50">
        <f t="shared" si="21"/>
        <v>0</v>
      </c>
      <c r="F50">
        <f t="shared" si="21"/>
        <v>0</v>
      </c>
      <c r="G50">
        <f t="shared" si="21"/>
        <v>0</v>
      </c>
      <c r="H50" s="17">
        <f t="shared" si="21"/>
        <v>14</v>
      </c>
      <c r="I50">
        <f t="shared" si="21"/>
        <v>0</v>
      </c>
      <c r="J50" s="17">
        <f t="shared" si="21"/>
        <v>11</v>
      </c>
      <c r="K50">
        <f t="shared" si="21"/>
        <v>0</v>
      </c>
      <c r="L50">
        <f t="shared" si="21"/>
        <v>0</v>
      </c>
      <c r="M50">
        <f t="shared" si="21"/>
        <v>0</v>
      </c>
      <c r="N50">
        <f t="shared" si="21"/>
        <v>0</v>
      </c>
      <c r="O50">
        <f t="shared" si="21"/>
        <v>5</v>
      </c>
      <c r="P50" s="17">
        <f t="shared" si="21"/>
        <v>0</v>
      </c>
      <c r="Q50">
        <f t="shared" si="21"/>
        <v>0</v>
      </c>
      <c r="R50">
        <f t="shared" si="21"/>
        <v>2</v>
      </c>
      <c r="S50">
        <f t="shared" si="21"/>
        <v>0</v>
      </c>
      <c r="T50">
        <f t="shared" si="21"/>
        <v>16</v>
      </c>
      <c r="U50">
        <f t="shared" si="21"/>
        <v>0</v>
      </c>
      <c r="V50">
        <f t="shared" si="21"/>
        <v>2</v>
      </c>
      <c r="W50" s="17">
        <f t="shared" si="21"/>
        <v>0</v>
      </c>
      <c r="X50">
        <f t="shared" si="21"/>
        <v>0</v>
      </c>
      <c r="Y50">
        <f t="shared" si="21"/>
        <v>0</v>
      </c>
      <c r="Z50">
        <f t="shared" si="21"/>
        <v>0</v>
      </c>
      <c r="AA50">
        <f t="shared" si="21"/>
        <v>4</v>
      </c>
      <c r="AB50">
        <f t="shared" si="21"/>
        <v>0</v>
      </c>
      <c r="AC50">
        <f t="shared" si="21"/>
        <v>14</v>
      </c>
      <c r="AD50">
        <f t="shared" si="21"/>
        <v>0</v>
      </c>
      <c r="AE50">
        <f t="shared" si="21"/>
        <v>7</v>
      </c>
      <c r="AF50">
        <f t="shared" si="21"/>
        <v>0</v>
      </c>
      <c r="AG50">
        <f t="shared" si="21"/>
        <v>0</v>
      </c>
    </row>
    <row r="51" spans="2:33" x14ac:dyDescent="0.25">
      <c r="B51" s="1" t="s">
        <v>7</v>
      </c>
      <c r="C51" s="1">
        <f t="shared" si="0"/>
        <v>121</v>
      </c>
      <c r="D51" s="17">
        <f t="shared" ref="D51:AG51" si="22">IF(COUNTIF($E24:$N24,D$29),D$28,0)</f>
        <v>21</v>
      </c>
      <c r="E51">
        <f t="shared" si="22"/>
        <v>0</v>
      </c>
      <c r="F51">
        <f t="shared" si="22"/>
        <v>0</v>
      </c>
      <c r="G51">
        <f t="shared" si="22"/>
        <v>0</v>
      </c>
      <c r="H51" s="17">
        <f t="shared" si="22"/>
        <v>14</v>
      </c>
      <c r="I51">
        <f t="shared" si="22"/>
        <v>0</v>
      </c>
      <c r="J51" s="17">
        <f t="shared" si="22"/>
        <v>11</v>
      </c>
      <c r="K51">
        <f t="shared" si="22"/>
        <v>0</v>
      </c>
      <c r="L51">
        <f t="shared" si="22"/>
        <v>0</v>
      </c>
      <c r="M51">
        <f t="shared" si="22"/>
        <v>9</v>
      </c>
      <c r="N51">
        <f t="shared" si="22"/>
        <v>0</v>
      </c>
      <c r="O51">
        <f t="shared" si="22"/>
        <v>0</v>
      </c>
      <c r="P51" s="17">
        <f t="shared" si="22"/>
        <v>4</v>
      </c>
      <c r="Q51">
        <f t="shared" si="22"/>
        <v>0</v>
      </c>
      <c r="R51">
        <f t="shared" si="22"/>
        <v>0</v>
      </c>
      <c r="S51">
        <f t="shared" si="22"/>
        <v>0</v>
      </c>
      <c r="T51">
        <f t="shared" si="22"/>
        <v>16</v>
      </c>
      <c r="U51">
        <f t="shared" si="22"/>
        <v>0</v>
      </c>
      <c r="V51">
        <f t="shared" si="22"/>
        <v>0</v>
      </c>
      <c r="W51" s="17">
        <f t="shared" si="22"/>
        <v>0</v>
      </c>
      <c r="X51">
        <f t="shared" si="22"/>
        <v>11</v>
      </c>
      <c r="Y51">
        <f t="shared" si="22"/>
        <v>14</v>
      </c>
      <c r="Z51">
        <f t="shared" si="22"/>
        <v>0</v>
      </c>
      <c r="AA51">
        <f t="shared" si="22"/>
        <v>0</v>
      </c>
      <c r="AB51">
        <f t="shared" si="22"/>
        <v>0</v>
      </c>
      <c r="AC51">
        <f t="shared" si="22"/>
        <v>14</v>
      </c>
      <c r="AD51">
        <f t="shared" si="22"/>
        <v>0</v>
      </c>
      <c r="AE51">
        <f t="shared" si="22"/>
        <v>7</v>
      </c>
      <c r="AF51">
        <f t="shared" si="22"/>
        <v>0</v>
      </c>
      <c r="AG51">
        <f t="shared" si="22"/>
        <v>0</v>
      </c>
    </row>
    <row r="52" spans="2:33" x14ac:dyDescent="0.25">
      <c r="F52"/>
      <c r="I52"/>
      <c r="J52" s="17"/>
      <c r="L52"/>
      <c r="O52"/>
      <c r="R52"/>
      <c r="U52"/>
      <c r="X52"/>
      <c r="AA52"/>
      <c r="AD52"/>
      <c r="AG52"/>
    </row>
    <row r="55" spans="2:33" x14ac:dyDescent="0.25">
      <c r="D55" s="9">
        <v>-8</v>
      </c>
      <c r="E55" s="8">
        <v>-7</v>
      </c>
      <c r="F55" s="10">
        <v>-1</v>
      </c>
      <c r="G55">
        <v>-1</v>
      </c>
      <c r="H55">
        <v>-13</v>
      </c>
      <c r="I55" s="11">
        <v>-7</v>
      </c>
      <c r="J55">
        <v>-13</v>
      </c>
      <c r="K55">
        <v>-1</v>
      </c>
      <c r="L55" s="10">
        <v>-10</v>
      </c>
      <c r="M55">
        <v>-5</v>
      </c>
      <c r="N55">
        <v>-6</v>
      </c>
      <c r="O55" s="11">
        <v>-7</v>
      </c>
      <c r="P55" s="8">
        <v>-11</v>
      </c>
      <c r="Q55">
        <v>-6</v>
      </c>
      <c r="R55" s="10">
        <v>-2</v>
      </c>
      <c r="S55" s="8">
        <v>-6</v>
      </c>
      <c r="T55">
        <v>-7</v>
      </c>
      <c r="U55" s="10">
        <v>-2</v>
      </c>
      <c r="V55">
        <v>-3</v>
      </c>
      <c r="W55">
        <v>-10</v>
      </c>
      <c r="X55" s="10">
        <v>-6</v>
      </c>
      <c r="Y55">
        <v>-1</v>
      </c>
      <c r="Z55">
        <v>-2</v>
      </c>
      <c r="AA55" s="11">
        <v>-7</v>
      </c>
      <c r="AB55">
        <v>-6</v>
      </c>
      <c r="AC55">
        <v>-6</v>
      </c>
      <c r="AD55" s="10">
        <v>-6</v>
      </c>
      <c r="AE55">
        <v>-5</v>
      </c>
      <c r="AF55">
        <v>-7</v>
      </c>
      <c r="AG55" s="10">
        <v>-7</v>
      </c>
    </row>
    <row r="56" spans="2:33" x14ac:dyDescent="0.25">
      <c r="D56" s="2" t="s">
        <v>8</v>
      </c>
      <c r="E56" s="3" t="s">
        <v>36</v>
      </c>
      <c r="F56" s="14" t="s">
        <v>50</v>
      </c>
      <c r="G56" s="2" t="s">
        <v>10</v>
      </c>
      <c r="H56" s="2" t="s">
        <v>9</v>
      </c>
      <c r="I56" s="14" t="s">
        <v>37</v>
      </c>
      <c r="J56" s="4" t="s">
        <v>12</v>
      </c>
      <c r="K56" s="5" t="s">
        <v>38</v>
      </c>
      <c r="L56" s="15" t="s">
        <v>11</v>
      </c>
      <c r="M56" s="3" t="s">
        <v>13</v>
      </c>
      <c r="N56" s="2" t="s">
        <v>14</v>
      </c>
      <c r="O56" s="14" t="s">
        <v>15</v>
      </c>
      <c r="P56" s="2" t="s">
        <v>17</v>
      </c>
      <c r="Q56" s="6" t="s">
        <v>16</v>
      </c>
      <c r="R56" s="14" t="s">
        <v>48</v>
      </c>
      <c r="S56" s="4" t="s">
        <v>19</v>
      </c>
      <c r="T56" s="2" t="s">
        <v>18</v>
      </c>
      <c r="U56" s="14" t="s">
        <v>39</v>
      </c>
      <c r="V56" s="7" t="s">
        <v>49</v>
      </c>
      <c r="W56" s="4" t="s">
        <v>20</v>
      </c>
      <c r="X56" s="16" t="s">
        <v>21</v>
      </c>
      <c r="Y56" s="4" t="s">
        <v>23</v>
      </c>
      <c r="Z56" s="5" t="s">
        <v>22</v>
      </c>
      <c r="AA56" s="15" t="s">
        <v>40</v>
      </c>
      <c r="AB56" s="3" t="s">
        <v>24</v>
      </c>
      <c r="AC56" s="2" t="s">
        <v>25</v>
      </c>
      <c r="AD56" s="14" t="s">
        <v>51</v>
      </c>
      <c r="AE56" s="4" t="s">
        <v>27</v>
      </c>
      <c r="AF56" s="2" t="s">
        <v>28</v>
      </c>
      <c r="AG56" s="16" t="s">
        <v>26</v>
      </c>
    </row>
    <row r="57" spans="2:33" x14ac:dyDescent="0.25">
      <c r="B57" s="1" t="s">
        <v>0</v>
      </c>
      <c r="C57" s="1" cm="1">
        <f t="array" ref="C57">SUM(SMALL(D57:AG57,{1,2,3,4,5}))</f>
        <v>-48</v>
      </c>
      <c r="D57" s="17">
        <f>IF(COUNTIF($E3:$N3,D$56),D$55,0)</f>
        <v>-8</v>
      </c>
      <c r="E57" s="17">
        <f t="shared" ref="E57:AG57" si="23">IF(COUNTIF($E3:$N3,E$56),E$55,0)</f>
        <v>0</v>
      </c>
      <c r="F57" s="17">
        <f t="shared" si="23"/>
        <v>0</v>
      </c>
      <c r="G57" s="17">
        <f t="shared" si="23"/>
        <v>0</v>
      </c>
      <c r="H57" s="17">
        <f t="shared" si="23"/>
        <v>-13</v>
      </c>
      <c r="I57" s="17">
        <f t="shared" si="23"/>
        <v>0</v>
      </c>
      <c r="J57" s="17">
        <f t="shared" si="23"/>
        <v>0</v>
      </c>
      <c r="K57" s="17">
        <f t="shared" si="23"/>
        <v>0</v>
      </c>
      <c r="L57" s="17">
        <f t="shared" si="23"/>
        <v>-10</v>
      </c>
      <c r="M57" s="17">
        <f t="shared" si="23"/>
        <v>-5</v>
      </c>
      <c r="N57" s="17">
        <f t="shared" si="23"/>
        <v>0</v>
      </c>
      <c r="O57" s="17">
        <f t="shared" si="23"/>
        <v>0</v>
      </c>
      <c r="P57" s="17">
        <f t="shared" si="23"/>
        <v>0</v>
      </c>
      <c r="Q57" s="17">
        <f t="shared" si="23"/>
        <v>-6</v>
      </c>
      <c r="R57" s="17">
        <f t="shared" si="23"/>
        <v>0</v>
      </c>
      <c r="S57" s="17">
        <f t="shared" si="23"/>
        <v>0</v>
      </c>
      <c r="T57" s="17">
        <f t="shared" si="23"/>
        <v>-7</v>
      </c>
      <c r="U57" s="17">
        <f t="shared" si="23"/>
        <v>0</v>
      </c>
      <c r="V57" s="17">
        <f t="shared" si="23"/>
        <v>0</v>
      </c>
      <c r="W57" s="17">
        <f t="shared" si="23"/>
        <v>-10</v>
      </c>
      <c r="X57" s="17">
        <f t="shared" si="23"/>
        <v>0</v>
      </c>
      <c r="Y57" s="17">
        <f t="shared" si="23"/>
        <v>0</v>
      </c>
      <c r="Z57" s="17">
        <f t="shared" si="23"/>
        <v>-2</v>
      </c>
      <c r="AA57" s="17">
        <f t="shared" si="23"/>
        <v>0</v>
      </c>
      <c r="AB57" s="17">
        <f t="shared" si="23"/>
        <v>-6</v>
      </c>
      <c r="AC57" s="17">
        <f t="shared" si="23"/>
        <v>0</v>
      </c>
      <c r="AD57" s="17">
        <f t="shared" si="23"/>
        <v>0</v>
      </c>
      <c r="AE57" s="17">
        <f t="shared" si="23"/>
        <v>0</v>
      </c>
      <c r="AF57" s="17">
        <f t="shared" si="23"/>
        <v>0</v>
      </c>
      <c r="AG57" s="17">
        <f t="shared" si="23"/>
        <v>-7</v>
      </c>
    </row>
    <row r="58" spans="2:33" x14ac:dyDescent="0.25">
      <c r="B58" s="1" t="s">
        <v>29</v>
      </c>
      <c r="C58" s="1" cm="1">
        <f t="array" ref="C58">SUM(SMALL(D58:AG58,{1,2,3,4,5}))</f>
        <v>-35</v>
      </c>
      <c r="D58" s="17">
        <f t="shared" ref="D58:AG58" si="24">IF(COUNTIF($E4:$N4,D$56),D$55,0)</f>
        <v>-8</v>
      </c>
      <c r="E58" s="17">
        <f t="shared" si="24"/>
        <v>0</v>
      </c>
      <c r="F58" s="17">
        <f t="shared" si="24"/>
        <v>0</v>
      </c>
      <c r="G58" s="17">
        <f t="shared" si="24"/>
        <v>0</v>
      </c>
      <c r="H58" s="17">
        <f t="shared" si="24"/>
        <v>0</v>
      </c>
      <c r="I58" s="17">
        <f t="shared" si="24"/>
        <v>-7</v>
      </c>
      <c r="J58" s="17">
        <f t="shared" si="24"/>
        <v>0</v>
      </c>
      <c r="K58" s="17">
        <f t="shared" si="24"/>
        <v>-1</v>
      </c>
      <c r="L58" s="17">
        <f t="shared" si="24"/>
        <v>0</v>
      </c>
      <c r="M58" s="17">
        <f t="shared" si="24"/>
        <v>0</v>
      </c>
      <c r="N58" s="17">
        <f t="shared" si="24"/>
        <v>-6</v>
      </c>
      <c r="O58" s="17">
        <f t="shared" si="24"/>
        <v>0</v>
      </c>
      <c r="P58" s="17">
        <f t="shared" si="24"/>
        <v>0</v>
      </c>
      <c r="Q58" s="17">
        <f t="shared" si="24"/>
        <v>-6</v>
      </c>
      <c r="R58" s="17">
        <f t="shared" si="24"/>
        <v>0</v>
      </c>
      <c r="S58" s="17">
        <f t="shared" si="24"/>
        <v>0</v>
      </c>
      <c r="T58" s="17">
        <f t="shared" si="24"/>
        <v>-7</v>
      </c>
      <c r="U58" s="17">
        <f t="shared" si="24"/>
        <v>0</v>
      </c>
      <c r="V58" s="17">
        <f t="shared" si="24"/>
        <v>0</v>
      </c>
      <c r="W58" s="17">
        <f t="shared" si="24"/>
        <v>0</v>
      </c>
      <c r="X58" s="17">
        <f t="shared" si="24"/>
        <v>-6</v>
      </c>
      <c r="Y58" s="17">
        <f t="shared" si="24"/>
        <v>0</v>
      </c>
      <c r="Z58" s="17">
        <f t="shared" si="24"/>
        <v>-2</v>
      </c>
      <c r="AA58" s="17">
        <f t="shared" si="24"/>
        <v>0</v>
      </c>
      <c r="AB58" s="17">
        <f t="shared" si="24"/>
        <v>0</v>
      </c>
      <c r="AC58" s="17">
        <f t="shared" si="24"/>
        <v>-6</v>
      </c>
      <c r="AD58" s="17">
        <f t="shared" si="24"/>
        <v>0</v>
      </c>
      <c r="AE58" s="17">
        <f t="shared" si="24"/>
        <v>0</v>
      </c>
      <c r="AF58" s="17">
        <f t="shared" si="24"/>
        <v>-7</v>
      </c>
      <c r="AG58" s="17">
        <f t="shared" si="24"/>
        <v>0</v>
      </c>
    </row>
    <row r="59" spans="2:33" x14ac:dyDescent="0.25">
      <c r="B59" s="1" t="s">
        <v>41</v>
      </c>
      <c r="C59" s="1" cm="1">
        <f t="array" ref="C59">SUM(SMALL(D59:AG59,{1,2,3,4,5}))</f>
        <v>-41</v>
      </c>
      <c r="D59" s="17">
        <f t="shared" ref="D59:AG59" si="25">IF(COUNTIF($E5:$N5,D$56),D$55,0)</f>
        <v>-8</v>
      </c>
      <c r="E59" s="17">
        <f t="shared" si="25"/>
        <v>0</v>
      </c>
      <c r="F59" s="17">
        <f t="shared" si="25"/>
        <v>0</v>
      </c>
      <c r="G59" s="17">
        <f t="shared" si="25"/>
        <v>0</v>
      </c>
      <c r="H59" s="17">
        <f t="shared" si="25"/>
        <v>-13</v>
      </c>
      <c r="I59" s="17">
        <f t="shared" si="25"/>
        <v>0</v>
      </c>
      <c r="J59" s="17">
        <f t="shared" si="25"/>
        <v>0</v>
      </c>
      <c r="K59" s="17">
        <f t="shared" si="25"/>
        <v>-1</v>
      </c>
      <c r="L59" s="17">
        <f t="shared" si="25"/>
        <v>0</v>
      </c>
      <c r="M59" s="17">
        <f t="shared" si="25"/>
        <v>0</v>
      </c>
      <c r="N59" s="17">
        <f t="shared" si="25"/>
        <v>-6</v>
      </c>
      <c r="O59" s="17">
        <f t="shared" si="25"/>
        <v>0</v>
      </c>
      <c r="P59" s="17">
        <f t="shared" si="25"/>
        <v>0</v>
      </c>
      <c r="Q59" s="17">
        <f t="shared" si="25"/>
        <v>-6</v>
      </c>
      <c r="R59" s="17">
        <f t="shared" si="25"/>
        <v>0</v>
      </c>
      <c r="S59" s="17">
        <f t="shared" si="25"/>
        <v>0</v>
      </c>
      <c r="T59" s="17">
        <f t="shared" si="25"/>
        <v>-7</v>
      </c>
      <c r="U59" s="17">
        <f t="shared" si="25"/>
        <v>0</v>
      </c>
      <c r="V59" s="17">
        <f t="shared" si="25"/>
        <v>0</v>
      </c>
      <c r="W59" s="17">
        <f t="shared" si="25"/>
        <v>0</v>
      </c>
      <c r="X59" s="17">
        <f t="shared" si="25"/>
        <v>-6</v>
      </c>
      <c r="Y59" s="17">
        <f t="shared" si="25"/>
        <v>-1</v>
      </c>
      <c r="Z59" s="17">
        <f t="shared" si="25"/>
        <v>0</v>
      </c>
      <c r="AA59" s="17">
        <f t="shared" si="25"/>
        <v>0</v>
      </c>
      <c r="AB59" s="17">
        <f t="shared" si="25"/>
        <v>-6</v>
      </c>
      <c r="AC59" s="17">
        <f t="shared" si="25"/>
        <v>0</v>
      </c>
      <c r="AD59" s="17">
        <f t="shared" si="25"/>
        <v>0</v>
      </c>
      <c r="AE59" s="17">
        <f t="shared" si="25"/>
        <v>0</v>
      </c>
      <c r="AF59" s="17">
        <f t="shared" si="25"/>
        <v>0</v>
      </c>
      <c r="AG59" s="17">
        <f t="shared" si="25"/>
        <v>-7</v>
      </c>
    </row>
    <row r="60" spans="2:33" x14ac:dyDescent="0.25">
      <c r="B60" s="1" t="s">
        <v>1</v>
      </c>
      <c r="C60" s="1" cm="1">
        <f t="array" ref="C60">SUM(SMALL(D60:AG60,{1,2,3,4,5}))</f>
        <v>-38</v>
      </c>
      <c r="D60" s="17">
        <f t="shared" ref="D60:AG60" si="26">IF(COUNTIF($E6:$N6,D$56),D$55,0)</f>
        <v>-8</v>
      </c>
      <c r="E60" s="17">
        <f t="shared" si="26"/>
        <v>0</v>
      </c>
      <c r="F60" s="17">
        <f t="shared" si="26"/>
        <v>0</v>
      </c>
      <c r="G60" s="17">
        <f t="shared" si="26"/>
        <v>-1</v>
      </c>
      <c r="H60" s="17">
        <f t="shared" si="26"/>
        <v>0</v>
      </c>
      <c r="I60" s="17">
        <f t="shared" si="26"/>
        <v>0</v>
      </c>
      <c r="J60" s="17">
        <f t="shared" si="26"/>
        <v>0</v>
      </c>
      <c r="K60" s="17">
        <f t="shared" si="26"/>
        <v>0</v>
      </c>
      <c r="L60" s="17">
        <f t="shared" si="26"/>
        <v>-10</v>
      </c>
      <c r="M60" s="17">
        <f t="shared" si="26"/>
        <v>0</v>
      </c>
      <c r="N60" s="17">
        <f t="shared" si="26"/>
        <v>-6</v>
      </c>
      <c r="O60" s="17">
        <f t="shared" si="26"/>
        <v>0</v>
      </c>
      <c r="P60" s="17">
        <f t="shared" si="26"/>
        <v>0</v>
      </c>
      <c r="Q60" s="17">
        <f t="shared" si="26"/>
        <v>-6</v>
      </c>
      <c r="R60" s="17">
        <f t="shared" si="26"/>
        <v>0</v>
      </c>
      <c r="S60" s="17">
        <f t="shared" si="26"/>
        <v>0</v>
      </c>
      <c r="T60" s="17">
        <f t="shared" si="26"/>
        <v>-7</v>
      </c>
      <c r="U60" s="17">
        <f t="shared" si="26"/>
        <v>0</v>
      </c>
      <c r="V60" s="17">
        <f t="shared" si="26"/>
        <v>0</v>
      </c>
      <c r="W60" s="17">
        <f t="shared" si="26"/>
        <v>0</v>
      </c>
      <c r="X60" s="17">
        <f t="shared" si="26"/>
        <v>-6</v>
      </c>
      <c r="Y60" s="17">
        <f t="shared" si="26"/>
        <v>-1</v>
      </c>
      <c r="Z60" s="17">
        <f t="shared" si="26"/>
        <v>0</v>
      </c>
      <c r="AA60" s="17">
        <f t="shared" si="26"/>
        <v>0</v>
      </c>
      <c r="AB60" s="17">
        <f t="shared" si="26"/>
        <v>-6</v>
      </c>
      <c r="AC60" s="17">
        <f t="shared" si="26"/>
        <v>0</v>
      </c>
      <c r="AD60" s="17">
        <f t="shared" si="26"/>
        <v>0</v>
      </c>
      <c r="AE60" s="17">
        <f t="shared" si="26"/>
        <v>0</v>
      </c>
      <c r="AF60" s="17">
        <f t="shared" si="26"/>
        <v>0</v>
      </c>
      <c r="AG60" s="17">
        <f t="shared" si="26"/>
        <v>-7</v>
      </c>
    </row>
    <row r="61" spans="2:33" x14ac:dyDescent="0.25">
      <c r="B61" s="1" t="s">
        <v>30</v>
      </c>
      <c r="C61" s="1" cm="1">
        <f t="array" ref="C61">SUM(SMALL(D61:AG61,{1,2,3,4,5}))</f>
        <v>-47</v>
      </c>
      <c r="D61" s="17">
        <f t="shared" ref="D61:AG61" si="27">IF(COUNTIF($E7:$N7,D$56),D$55,0)</f>
        <v>-8</v>
      </c>
      <c r="E61" s="17">
        <f t="shared" si="27"/>
        <v>0</v>
      </c>
      <c r="F61" s="17">
        <f t="shared" si="27"/>
        <v>0</v>
      </c>
      <c r="G61" s="17">
        <f t="shared" si="27"/>
        <v>0</v>
      </c>
      <c r="H61" s="17">
        <f t="shared" si="27"/>
        <v>-13</v>
      </c>
      <c r="I61" s="17">
        <f t="shared" si="27"/>
        <v>0</v>
      </c>
      <c r="J61" s="17">
        <f t="shared" si="27"/>
        <v>-13</v>
      </c>
      <c r="K61" s="17">
        <f t="shared" si="27"/>
        <v>0</v>
      </c>
      <c r="L61" s="17">
        <f t="shared" si="27"/>
        <v>0</v>
      </c>
      <c r="M61" s="17">
        <f t="shared" si="27"/>
        <v>0</v>
      </c>
      <c r="N61" s="17">
        <f t="shared" si="27"/>
        <v>-6</v>
      </c>
      <c r="O61" s="17">
        <f t="shared" si="27"/>
        <v>0</v>
      </c>
      <c r="P61" s="17">
        <f t="shared" si="27"/>
        <v>0</v>
      </c>
      <c r="Q61" s="17">
        <f t="shared" si="27"/>
        <v>-6</v>
      </c>
      <c r="R61" s="17">
        <f t="shared" si="27"/>
        <v>0</v>
      </c>
      <c r="S61" s="17">
        <f t="shared" si="27"/>
        <v>0</v>
      </c>
      <c r="T61" s="17">
        <f t="shared" si="27"/>
        <v>0</v>
      </c>
      <c r="U61" s="17">
        <f t="shared" si="27"/>
        <v>-2</v>
      </c>
      <c r="V61" s="17">
        <f t="shared" si="27"/>
        <v>0</v>
      </c>
      <c r="W61" s="17">
        <f t="shared" si="27"/>
        <v>0</v>
      </c>
      <c r="X61" s="17">
        <f t="shared" si="27"/>
        <v>-6</v>
      </c>
      <c r="Y61" s="17">
        <f t="shared" si="27"/>
        <v>0</v>
      </c>
      <c r="Z61" s="17">
        <f t="shared" si="27"/>
        <v>0</v>
      </c>
      <c r="AA61" s="17">
        <f t="shared" si="27"/>
        <v>-7</v>
      </c>
      <c r="AB61" s="17">
        <f t="shared" si="27"/>
        <v>-6</v>
      </c>
      <c r="AC61" s="17">
        <f t="shared" si="27"/>
        <v>0</v>
      </c>
      <c r="AD61" s="17">
        <f t="shared" si="27"/>
        <v>0</v>
      </c>
      <c r="AE61" s="17">
        <f t="shared" si="27"/>
        <v>-5</v>
      </c>
      <c r="AF61" s="17">
        <f t="shared" si="27"/>
        <v>0</v>
      </c>
      <c r="AG61" s="17">
        <f t="shared" si="27"/>
        <v>0</v>
      </c>
    </row>
    <row r="62" spans="2:33" x14ac:dyDescent="0.25">
      <c r="B62" s="1" t="s">
        <v>42</v>
      </c>
      <c r="C62" s="1" cm="1">
        <f t="array" ref="C62">SUM(SMALL(D62:AG62,{1,2,3,4,5}))</f>
        <v>-51</v>
      </c>
      <c r="D62" s="17">
        <f t="shared" ref="D62:AG62" si="28">IF(COUNTIF($E8:$N8,D$56),D$55,0)</f>
        <v>-8</v>
      </c>
      <c r="E62" s="17">
        <f t="shared" si="28"/>
        <v>0</v>
      </c>
      <c r="F62" s="17">
        <f t="shared" si="28"/>
        <v>0</v>
      </c>
      <c r="G62" s="17">
        <f t="shared" si="28"/>
        <v>0</v>
      </c>
      <c r="H62" s="17">
        <f t="shared" si="28"/>
        <v>-13</v>
      </c>
      <c r="I62" s="17">
        <f t="shared" si="28"/>
        <v>0</v>
      </c>
      <c r="J62" s="17">
        <f t="shared" si="28"/>
        <v>-13</v>
      </c>
      <c r="K62" s="17">
        <f t="shared" si="28"/>
        <v>0</v>
      </c>
      <c r="L62" s="17">
        <f t="shared" si="28"/>
        <v>0</v>
      </c>
      <c r="M62" s="17">
        <f t="shared" si="28"/>
        <v>0</v>
      </c>
      <c r="N62" s="17">
        <f t="shared" si="28"/>
        <v>0</v>
      </c>
      <c r="O62" s="17">
        <f t="shared" si="28"/>
        <v>-7</v>
      </c>
      <c r="P62" s="17">
        <f t="shared" si="28"/>
        <v>0</v>
      </c>
      <c r="Q62" s="17">
        <f t="shared" si="28"/>
        <v>-6</v>
      </c>
      <c r="R62" s="17">
        <f t="shared" si="28"/>
        <v>0</v>
      </c>
      <c r="S62" s="17">
        <f t="shared" si="28"/>
        <v>0</v>
      </c>
      <c r="T62" s="17">
        <f t="shared" si="28"/>
        <v>-7</v>
      </c>
      <c r="U62" s="17">
        <f t="shared" si="28"/>
        <v>0</v>
      </c>
      <c r="V62" s="17">
        <f t="shared" si="28"/>
        <v>0</v>
      </c>
      <c r="W62" s="17">
        <f t="shared" si="28"/>
        <v>-10</v>
      </c>
      <c r="X62" s="17">
        <f t="shared" si="28"/>
        <v>0</v>
      </c>
      <c r="Y62" s="17">
        <f t="shared" si="28"/>
        <v>-1</v>
      </c>
      <c r="Z62" s="17">
        <f t="shared" si="28"/>
        <v>0</v>
      </c>
      <c r="AA62" s="17">
        <f t="shared" si="28"/>
        <v>0</v>
      </c>
      <c r="AB62" s="17">
        <f t="shared" si="28"/>
        <v>0</v>
      </c>
      <c r="AC62" s="17">
        <f t="shared" si="28"/>
        <v>-6</v>
      </c>
      <c r="AD62" s="17">
        <f t="shared" si="28"/>
        <v>0</v>
      </c>
      <c r="AE62" s="17">
        <f t="shared" si="28"/>
        <v>0</v>
      </c>
      <c r="AF62" s="17">
        <f t="shared" si="28"/>
        <v>-7</v>
      </c>
      <c r="AG62" s="17">
        <f t="shared" si="28"/>
        <v>0</v>
      </c>
    </row>
    <row r="63" spans="2:33" x14ac:dyDescent="0.25">
      <c r="B63" s="1" t="s">
        <v>2</v>
      </c>
      <c r="C63" s="1" cm="1">
        <f t="array" ref="C63">SUM(SMALL(D63:AG63,{1,2,3,4,5}))</f>
        <v>-40</v>
      </c>
      <c r="D63" s="17">
        <f t="shared" ref="D63:AG63" si="29">IF(COUNTIF($E9:$N9,D$56),D$55,0)</f>
        <v>-8</v>
      </c>
      <c r="E63" s="17">
        <f t="shared" si="29"/>
        <v>0</v>
      </c>
      <c r="F63" s="17">
        <f t="shared" si="29"/>
        <v>0</v>
      </c>
      <c r="G63" s="17">
        <f t="shared" si="29"/>
        <v>-1</v>
      </c>
      <c r="H63" s="17">
        <f t="shared" si="29"/>
        <v>0</v>
      </c>
      <c r="I63" s="17">
        <f t="shared" si="29"/>
        <v>0</v>
      </c>
      <c r="J63" s="17">
        <f t="shared" si="29"/>
        <v>-13</v>
      </c>
      <c r="K63" s="17">
        <f t="shared" si="29"/>
        <v>0</v>
      </c>
      <c r="L63" s="17">
        <f t="shared" si="29"/>
        <v>0</v>
      </c>
      <c r="M63" s="17">
        <f t="shared" si="29"/>
        <v>0</v>
      </c>
      <c r="N63" s="17">
        <f t="shared" si="29"/>
        <v>0</v>
      </c>
      <c r="O63" s="17">
        <f t="shared" si="29"/>
        <v>-7</v>
      </c>
      <c r="P63" s="17">
        <f t="shared" si="29"/>
        <v>0</v>
      </c>
      <c r="Q63" s="17">
        <f t="shared" si="29"/>
        <v>-6</v>
      </c>
      <c r="R63" s="17">
        <f t="shared" si="29"/>
        <v>0</v>
      </c>
      <c r="S63" s="17">
        <f t="shared" si="29"/>
        <v>-6</v>
      </c>
      <c r="T63" s="17">
        <f t="shared" si="29"/>
        <v>0</v>
      </c>
      <c r="U63" s="17">
        <f t="shared" si="29"/>
        <v>0</v>
      </c>
      <c r="V63" s="17">
        <f t="shared" si="29"/>
        <v>0</v>
      </c>
      <c r="W63" s="17">
        <f t="shared" si="29"/>
        <v>0</v>
      </c>
      <c r="X63" s="17">
        <f t="shared" si="29"/>
        <v>-6</v>
      </c>
      <c r="Y63" s="17">
        <f t="shared" si="29"/>
        <v>-1</v>
      </c>
      <c r="Z63" s="17">
        <f t="shared" si="29"/>
        <v>0</v>
      </c>
      <c r="AA63" s="17">
        <f t="shared" si="29"/>
        <v>0</v>
      </c>
      <c r="AB63" s="17">
        <f t="shared" si="29"/>
        <v>0</v>
      </c>
      <c r="AC63" s="17">
        <f t="shared" si="29"/>
        <v>-6</v>
      </c>
      <c r="AD63" s="17">
        <f t="shared" si="29"/>
        <v>0</v>
      </c>
      <c r="AE63" s="17">
        <f t="shared" si="29"/>
        <v>-5</v>
      </c>
      <c r="AF63" s="17">
        <f t="shared" si="29"/>
        <v>0</v>
      </c>
      <c r="AG63" s="17">
        <f t="shared" si="29"/>
        <v>0</v>
      </c>
    </row>
    <row r="64" spans="2:33" x14ac:dyDescent="0.25">
      <c r="B64" s="1" t="s">
        <v>31</v>
      </c>
      <c r="C64" s="1" cm="1">
        <f t="array" ref="C64">SUM(SMALL(D64:AG64,{1,2,3,4,5}))</f>
        <v>-36</v>
      </c>
      <c r="D64" s="17">
        <f t="shared" ref="D64:AG64" si="30">IF(COUNTIF($E10:$N10,D$56),D$55,0)</f>
        <v>-8</v>
      </c>
      <c r="E64" s="17">
        <f t="shared" si="30"/>
        <v>0</v>
      </c>
      <c r="F64" s="17">
        <f t="shared" si="30"/>
        <v>0</v>
      </c>
      <c r="G64" s="17">
        <f t="shared" si="30"/>
        <v>-1</v>
      </c>
      <c r="H64" s="17">
        <f t="shared" si="30"/>
        <v>0</v>
      </c>
      <c r="I64" s="17">
        <f t="shared" si="30"/>
        <v>0</v>
      </c>
      <c r="J64" s="17">
        <f t="shared" si="30"/>
        <v>0</v>
      </c>
      <c r="K64" s="17">
        <f t="shared" si="30"/>
        <v>-1</v>
      </c>
      <c r="L64" s="17">
        <f t="shared" si="30"/>
        <v>0</v>
      </c>
      <c r="M64" s="17">
        <f t="shared" si="30"/>
        <v>-5</v>
      </c>
      <c r="N64" s="17">
        <f t="shared" si="30"/>
        <v>0</v>
      </c>
      <c r="O64" s="17">
        <f t="shared" si="30"/>
        <v>0</v>
      </c>
      <c r="P64" s="17">
        <f t="shared" si="30"/>
        <v>0</v>
      </c>
      <c r="Q64" s="17">
        <f t="shared" si="30"/>
        <v>-6</v>
      </c>
      <c r="R64" s="17">
        <f t="shared" si="30"/>
        <v>0</v>
      </c>
      <c r="S64" s="17">
        <f t="shared" si="30"/>
        <v>-6</v>
      </c>
      <c r="T64" s="17">
        <f t="shared" si="30"/>
        <v>0</v>
      </c>
      <c r="U64" s="17">
        <f t="shared" si="30"/>
        <v>0</v>
      </c>
      <c r="V64" s="17">
        <f t="shared" si="30"/>
        <v>0</v>
      </c>
      <c r="W64" s="17">
        <f t="shared" si="30"/>
        <v>-10</v>
      </c>
      <c r="X64" s="17">
        <f t="shared" si="30"/>
        <v>0</v>
      </c>
      <c r="Y64" s="17">
        <f t="shared" si="30"/>
        <v>-1</v>
      </c>
      <c r="Z64" s="17">
        <f t="shared" si="30"/>
        <v>0</v>
      </c>
      <c r="AA64" s="17">
        <f t="shared" si="30"/>
        <v>0</v>
      </c>
      <c r="AB64" s="17">
        <f t="shared" si="30"/>
        <v>-6</v>
      </c>
      <c r="AC64" s="17">
        <f t="shared" si="30"/>
        <v>0</v>
      </c>
      <c r="AD64" s="17">
        <f t="shared" si="30"/>
        <v>0</v>
      </c>
      <c r="AE64" s="17">
        <f t="shared" si="30"/>
        <v>-5</v>
      </c>
      <c r="AF64" s="17">
        <f t="shared" si="30"/>
        <v>0</v>
      </c>
      <c r="AG64" s="17">
        <f t="shared" si="30"/>
        <v>0</v>
      </c>
    </row>
    <row r="65" spans="2:33" x14ac:dyDescent="0.25">
      <c r="B65" s="1" t="s">
        <v>43</v>
      </c>
      <c r="C65" s="1" cm="1">
        <f t="array" ref="C65">SUM(SMALL(D65:AG65,{1,2,3,4,5}))</f>
        <v>-41</v>
      </c>
      <c r="D65" s="17">
        <f t="shared" ref="D65:AG65" si="31">IF(COUNTIF($E11:$N11,D$56),D$55,0)</f>
        <v>-8</v>
      </c>
      <c r="E65" s="17">
        <f t="shared" si="31"/>
        <v>0</v>
      </c>
      <c r="F65" s="17">
        <f t="shared" si="31"/>
        <v>0</v>
      </c>
      <c r="G65" s="17">
        <f t="shared" si="31"/>
        <v>0</v>
      </c>
      <c r="H65" s="17">
        <f t="shared" si="31"/>
        <v>0</v>
      </c>
      <c r="I65" s="17">
        <f t="shared" si="31"/>
        <v>-7</v>
      </c>
      <c r="J65" s="17">
        <f t="shared" si="31"/>
        <v>-13</v>
      </c>
      <c r="K65" s="17">
        <f t="shared" si="31"/>
        <v>0</v>
      </c>
      <c r="L65" s="17">
        <f t="shared" si="31"/>
        <v>0</v>
      </c>
      <c r="M65" s="17">
        <f t="shared" si="31"/>
        <v>0</v>
      </c>
      <c r="N65" s="17">
        <f t="shared" si="31"/>
        <v>-6</v>
      </c>
      <c r="O65" s="17">
        <f t="shared" si="31"/>
        <v>0</v>
      </c>
      <c r="P65" s="17">
        <f t="shared" si="31"/>
        <v>0</v>
      </c>
      <c r="Q65" s="17">
        <f t="shared" si="31"/>
        <v>0</v>
      </c>
      <c r="R65" s="17">
        <f t="shared" si="31"/>
        <v>-2</v>
      </c>
      <c r="S65" s="17">
        <f t="shared" si="31"/>
        <v>0</v>
      </c>
      <c r="T65" s="17">
        <f t="shared" si="31"/>
        <v>-7</v>
      </c>
      <c r="U65" s="17">
        <f t="shared" si="31"/>
        <v>0</v>
      </c>
      <c r="V65" s="17">
        <f t="shared" si="31"/>
        <v>-3</v>
      </c>
      <c r="W65" s="17">
        <f t="shared" si="31"/>
        <v>0</v>
      </c>
      <c r="X65" s="17">
        <f t="shared" si="31"/>
        <v>0</v>
      </c>
      <c r="Y65" s="17">
        <f t="shared" si="31"/>
        <v>0</v>
      </c>
      <c r="Z65" s="17">
        <f t="shared" si="31"/>
        <v>-2</v>
      </c>
      <c r="AA65" s="17">
        <f t="shared" si="31"/>
        <v>0</v>
      </c>
      <c r="AB65" s="17">
        <f t="shared" si="31"/>
        <v>-6</v>
      </c>
      <c r="AC65" s="17">
        <f t="shared" si="31"/>
        <v>0</v>
      </c>
      <c r="AD65" s="17">
        <f t="shared" si="31"/>
        <v>0</v>
      </c>
      <c r="AE65" s="17">
        <f t="shared" si="31"/>
        <v>-5</v>
      </c>
      <c r="AF65" s="17">
        <f t="shared" si="31"/>
        <v>0</v>
      </c>
      <c r="AG65" s="17">
        <f t="shared" si="31"/>
        <v>0</v>
      </c>
    </row>
    <row r="66" spans="2:33" x14ac:dyDescent="0.25">
      <c r="B66" s="1" t="s">
        <v>3</v>
      </c>
      <c r="C66" s="1" cm="1">
        <f t="array" ref="C66">SUM(SMALL(D66:AG66,{1,2,3,4,5}))</f>
        <v>-55</v>
      </c>
      <c r="D66" s="17">
        <f t="shared" ref="D66:AG66" si="32">IF(COUNTIF($E12:$N12,D$56),D$55,0)</f>
        <v>-8</v>
      </c>
      <c r="E66" s="17">
        <f t="shared" si="32"/>
        <v>0</v>
      </c>
      <c r="F66" s="17">
        <f t="shared" si="32"/>
        <v>0</v>
      </c>
      <c r="G66" s="17">
        <f t="shared" si="32"/>
        <v>0</v>
      </c>
      <c r="H66" s="17">
        <f t="shared" si="32"/>
        <v>-13</v>
      </c>
      <c r="I66" s="17">
        <f t="shared" si="32"/>
        <v>0</v>
      </c>
      <c r="J66" s="17">
        <f t="shared" si="32"/>
        <v>-13</v>
      </c>
      <c r="K66" s="17">
        <f t="shared" si="32"/>
        <v>0</v>
      </c>
      <c r="L66" s="17">
        <f t="shared" si="32"/>
        <v>0</v>
      </c>
      <c r="M66" s="17">
        <f t="shared" si="32"/>
        <v>0</v>
      </c>
      <c r="N66" s="17">
        <f t="shared" si="32"/>
        <v>-6</v>
      </c>
      <c r="O66" s="17">
        <f t="shared" si="32"/>
        <v>0</v>
      </c>
      <c r="P66" s="17">
        <f t="shared" si="32"/>
        <v>-11</v>
      </c>
      <c r="Q66" s="17">
        <f t="shared" si="32"/>
        <v>0</v>
      </c>
      <c r="R66" s="17">
        <f t="shared" si="32"/>
        <v>0</v>
      </c>
      <c r="S66" s="17">
        <f t="shared" si="32"/>
        <v>-6</v>
      </c>
      <c r="T66" s="17">
        <f t="shared" si="32"/>
        <v>0</v>
      </c>
      <c r="U66" s="17">
        <f t="shared" si="32"/>
        <v>0</v>
      </c>
      <c r="V66" s="17">
        <f t="shared" si="32"/>
        <v>0</v>
      </c>
      <c r="W66" s="17">
        <f t="shared" si="32"/>
        <v>-10</v>
      </c>
      <c r="X66" s="17">
        <f t="shared" si="32"/>
        <v>0</v>
      </c>
      <c r="Y66" s="17">
        <f t="shared" si="32"/>
        <v>-1</v>
      </c>
      <c r="Z66" s="17">
        <f t="shared" si="32"/>
        <v>0</v>
      </c>
      <c r="AA66" s="17">
        <f t="shared" si="32"/>
        <v>0</v>
      </c>
      <c r="AB66" s="17">
        <f t="shared" si="32"/>
        <v>0</v>
      </c>
      <c r="AC66" s="17">
        <f t="shared" si="32"/>
        <v>-6</v>
      </c>
      <c r="AD66" s="17">
        <f t="shared" si="32"/>
        <v>0</v>
      </c>
      <c r="AE66" s="17">
        <f t="shared" si="32"/>
        <v>0</v>
      </c>
      <c r="AF66" s="17">
        <f t="shared" si="32"/>
        <v>0</v>
      </c>
      <c r="AG66" s="17">
        <f t="shared" si="32"/>
        <v>-7</v>
      </c>
    </row>
    <row r="67" spans="2:33" x14ac:dyDescent="0.25">
      <c r="B67" s="1" t="s">
        <v>32</v>
      </c>
      <c r="C67" s="1" cm="1">
        <f t="array" ref="C67">SUM(SMALL(D67:AG67,{1,2,3,4,5}))</f>
        <v>-51</v>
      </c>
      <c r="D67" s="17">
        <f t="shared" ref="D67:AG67" si="33">IF(COUNTIF($E13:$N13,D$56),D$55,0)</f>
        <v>0</v>
      </c>
      <c r="E67" s="17">
        <f t="shared" si="33"/>
        <v>-7</v>
      </c>
      <c r="F67" s="17">
        <f t="shared" si="33"/>
        <v>0</v>
      </c>
      <c r="G67" s="17">
        <f t="shared" si="33"/>
        <v>0</v>
      </c>
      <c r="H67" s="17">
        <f t="shared" si="33"/>
        <v>-13</v>
      </c>
      <c r="I67" s="17">
        <f t="shared" si="33"/>
        <v>0</v>
      </c>
      <c r="J67" s="17">
        <f t="shared" si="33"/>
        <v>0</v>
      </c>
      <c r="K67" s="17">
        <f t="shared" si="33"/>
        <v>0</v>
      </c>
      <c r="L67" s="17">
        <f t="shared" si="33"/>
        <v>-10</v>
      </c>
      <c r="M67" s="17">
        <f t="shared" si="33"/>
        <v>0</v>
      </c>
      <c r="N67" s="17">
        <f t="shared" si="33"/>
        <v>0</v>
      </c>
      <c r="O67" s="17">
        <f t="shared" si="33"/>
        <v>-7</v>
      </c>
      <c r="P67" s="17">
        <f t="shared" si="33"/>
        <v>-11</v>
      </c>
      <c r="Q67" s="17">
        <f t="shared" si="33"/>
        <v>0</v>
      </c>
      <c r="R67" s="17">
        <f t="shared" si="33"/>
        <v>0</v>
      </c>
      <c r="S67" s="17">
        <f t="shared" si="33"/>
        <v>-6</v>
      </c>
      <c r="T67" s="17">
        <f t="shared" si="33"/>
        <v>0</v>
      </c>
      <c r="U67" s="17">
        <f t="shared" si="33"/>
        <v>0</v>
      </c>
      <c r="V67" s="17">
        <f t="shared" si="33"/>
        <v>0</v>
      </c>
      <c r="W67" s="17">
        <f t="shared" si="33"/>
        <v>-10</v>
      </c>
      <c r="X67" s="17">
        <f t="shared" si="33"/>
        <v>0</v>
      </c>
      <c r="Y67" s="17">
        <f t="shared" si="33"/>
        <v>0</v>
      </c>
      <c r="Z67" s="17">
        <f t="shared" si="33"/>
        <v>0</v>
      </c>
      <c r="AA67" s="17">
        <f t="shared" si="33"/>
        <v>-7</v>
      </c>
      <c r="AB67" s="17">
        <f t="shared" si="33"/>
        <v>0</v>
      </c>
      <c r="AC67" s="17">
        <f t="shared" si="33"/>
        <v>-6</v>
      </c>
      <c r="AD67" s="17">
        <f t="shared" si="33"/>
        <v>0</v>
      </c>
      <c r="AE67" s="17">
        <f t="shared" si="33"/>
        <v>0</v>
      </c>
      <c r="AF67" s="17">
        <f t="shared" si="33"/>
        <v>-7</v>
      </c>
      <c r="AG67" s="17">
        <f t="shared" si="33"/>
        <v>0</v>
      </c>
    </row>
    <row r="68" spans="2:33" x14ac:dyDescent="0.25">
      <c r="B68" s="1" t="s">
        <v>44</v>
      </c>
      <c r="C68" s="1" cm="1">
        <f t="array" ref="C68">SUM(SMALL(D68:AG68,{1,2,3,4,5}))</f>
        <v>-45</v>
      </c>
      <c r="D68" s="17">
        <f t="shared" ref="D68:AG68" si="34">IF(COUNTIF($E14:$N14,D$56),D$55,0)</f>
        <v>-8</v>
      </c>
      <c r="E68" s="17">
        <f t="shared" si="34"/>
        <v>0</v>
      </c>
      <c r="F68" s="17">
        <f t="shared" si="34"/>
        <v>0</v>
      </c>
      <c r="G68" s="17">
        <f t="shared" si="34"/>
        <v>0</v>
      </c>
      <c r="H68" s="17">
        <f t="shared" si="34"/>
        <v>-13</v>
      </c>
      <c r="I68" s="17">
        <f t="shared" si="34"/>
        <v>0</v>
      </c>
      <c r="J68" s="17">
        <f t="shared" si="34"/>
        <v>0</v>
      </c>
      <c r="K68" s="17">
        <f t="shared" si="34"/>
        <v>-1</v>
      </c>
      <c r="L68" s="17">
        <f t="shared" si="34"/>
        <v>0</v>
      </c>
      <c r="M68" s="17">
        <f t="shared" si="34"/>
        <v>0</v>
      </c>
      <c r="N68" s="17">
        <f t="shared" si="34"/>
        <v>-6</v>
      </c>
      <c r="O68" s="17">
        <f t="shared" si="34"/>
        <v>0</v>
      </c>
      <c r="P68" s="17">
        <f t="shared" si="34"/>
        <v>-11</v>
      </c>
      <c r="Q68" s="17">
        <f t="shared" si="34"/>
        <v>0</v>
      </c>
      <c r="R68" s="17">
        <f t="shared" si="34"/>
        <v>0</v>
      </c>
      <c r="S68" s="17">
        <f t="shared" si="34"/>
        <v>0</v>
      </c>
      <c r="T68" s="17">
        <f t="shared" si="34"/>
        <v>0</v>
      </c>
      <c r="U68" s="17">
        <f t="shared" si="34"/>
        <v>-2</v>
      </c>
      <c r="V68" s="17">
        <f t="shared" si="34"/>
        <v>0</v>
      </c>
      <c r="W68" s="17">
        <f t="shared" si="34"/>
        <v>0</v>
      </c>
      <c r="X68" s="17">
        <f t="shared" si="34"/>
        <v>-6</v>
      </c>
      <c r="Y68" s="17">
        <f t="shared" si="34"/>
        <v>0</v>
      </c>
      <c r="Z68" s="17">
        <f t="shared" si="34"/>
        <v>0</v>
      </c>
      <c r="AA68" s="17">
        <f t="shared" si="34"/>
        <v>-7</v>
      </c>
      <c r="AB68" s="17">
        <f t="shared" si="34"/>
        <v>-6</v>
      </c>
      <c r="AC68" s="17">
        <f t="shared" si="34"/>
        <v>0</v>
      </c>
      <c r="AD68" s="17">
        <f t="shared" si="34"/>
        <v>0</v>
      </c>
      <c r="AE68" s="17">
        <f t="shared" si="34"/>
        <v>-5</v>
      </c>
      <c r="AF68" s="17">
        <f t="shared" si="34"/>
        <v>0</v>
      </c>
      <c r="AG68" s="17">
        <f t="shared" si="34"/>
        <v>0</v>
      </c>
    </row>
    <row r="69" spans="2:33" x14ac:dyDescent="0.25">
      <c r="B69" s="1" t="s">
        <v>4</v>
      </c>
      <c r="C69" s="1" cm="1">
        <f t="array" ref="C69">SUM(SMALL(D69:AG69,{1,2,3,4,5}))</f>
        <v>-42</v>
      </c>
      <c r="D69" s="17">
        <f t="shared" ref="D69:AG69" si="35">IF(COUNTIF($E15:$N15,D$56),D$55,0)</f>
        <v>-8</v>
      </c>
      <c r="E69" s="17">
        <f t="shared" si="35"/>
        <v>0</v>
      </c>
      <c r="F69" s="17">
        <f t="shared" si="35"/>
        <v>0</v>
      </c>
      <c r="G69" s="17">
        <f t="shared" si="35"/>
        <v>-1</v>
      </c>
      <c r="H69" s="17">
        <f t="shared" si="35"/>
        <v>0</v>
      </c>
      <c r="I69" s="17">
        <f t="shared" si="35"/>
        <v>0</v>
      </c>
      <c r="J69" s="17">
        <f t="shared" si="35"/>
        <v>0</v>
      </c>
      <c r="K69" s="17">
        <f t="shared" si="35"/>
        <v>0</v>
      </c>
      <c r="L69" s="17">
        <f t="shared" si="35"/>
        <v>-10</v>
      </c>
      <c r="M69" s="17">
        <f t="shared" si="35"/>
        <v>-5</v>
      </c>
      <c r="N69" s="17">
        <f t="shared" si="35"/>
        <v>0</v>
      </c>
      <c r="O69" s="17">
        <f t="shared" si="35"/>
        <v>0</v>
      </c>
      <c r="P69" s="17">
        <f t="shared" si="35"/>
        <v>0</v>
      </c>
      <c r="Q69" s="17">
        <f t="shared" si="35"/>
        <v>-6</v>
      </c>
      <c r="R69" s="17">
        <f t="shared" si="35"/>
        <v>0</v>
      </c>
      <c r="S69" s="17">
        <f t="shared" si="35"/>
        <v>0</v>
      </c>
      <c r="T69" s="17">
        <f t="shared" si="35"/>
        <v>-7</v>
      </c>
      <c r="U69" s="17">
        <f t="shared" si="35"/>
        <v>0</v>
      </c>
      <c r="V69" s="17">
        <f t="shared" si="35"/>
        <v>0</v>
      </c>
      <c r="W69" s="17">
        <f t="shared" si="35"/>
        <v>-10</v>
      </c>
      <c r="X69" s="17">
        <f t="shared" si="35"/>
        <v>0</v>
      </c>
      <c r="Y69" s="17">
        <f t="shared" si="35"/>
        <v>-1</v>
      </c>
      <c r="Z69" s="17">
        <f t="shared" si="35"/>
        <v>0</v>
      </c>
      <c r="AA69" s="17">
        <f t="shared" si="35"/>
        <v>0</v>
      </c>
      <c r="AB69" s="17">
        <f t="shared" si="35"/>
        <v>0</v>
      </c>
      <c r="AC69" s="17">
        <f t="shared" si="35"/>
        <v>-6</v>
      </c>
      <c r="AD69" s="17">
        <f t="shared" si="35"/>
        <v>0</v>
      </c>
      <c r="AE69" s="17">
        <f t="shared" si="35"/>
        <v>0</v>
      </c>
      <c r="AF69" s="17">
        <f t="shared" si="35"/>
        <v>-7</v>
      </c>
      <c r="AG69" s="17">
        <f t="shared" si="35"/>
        <v>0</v>
      </c>
    </row>
    <row r="70" spans="2:33" x14ac:dyDescent="0.25">
      <c r="B70" s="1" t="s">
        <v>33</v>
      </c>
      <c r="C70" s="1" cm="1">
        <f t="array" ref="C70">SUM(SMALL(D70:AG70,{1,2,3,4,5}))</f>
        <v>-45</v>
      </c>
      <c r="D70" s="17">
        <f t="shared" ref="D70:AG70" si="36">IF(COUNTIF($E16:$N16,D$56),D$55,0)</f>
        <v>-8</v>
      </c>
      <c r="E70" s="17">
        <f t="shared" si="36"/>
        <v>0</v>
      </c>
      <c r="F70" s="17">
        <f t="shared" si="36"/>
        <v>0</v>
      </c>
      <c r="G70" s="17">
        <f t="shared" si="36"/>
        <v>0</v>
      </c>
      <c r="H70" s="17">
        <f t="shared" si="36"/>
        <v>-13</v>
      </c>
      <c r="I70" s="17">
        <f t="shared" si="36"/>
        <v>0</v>
      </c>
      <c r="J70" s="17">
        <f t="shared" si="36"/>
        <v>0</v>
      </c>
      <c r="K70" s="17">
        <f t="shared" si="36"/>
        <v>0</v>
      </c>
      <c r="L70" s="17">
        <f t="shared" si="36"/>
        <v>-10</v>
      </c>
      <c r="M70" s="17">
        <f t="shared" si="36"/>
        <v>-5</v>
      </c>
      <c r="N70" s="17">
        <f t="shared" si="36"/>
        <v>0</v>
      </c>
      <c r="O70" s="17">
        <f t="shared" si="36"/>
        <v>0</v>
      </c>
      <c r="P70" s="17">
        <f t="shared" si="36"/>
        <v>0</v>
      </c>
      <c r="Q70" s="17">
        <f t="shared" si="36"/>
        <v>-6</v>
      </c>
      <c r="R70" s="17">
        <f t="shared" si="36"/>
        <v>0</v>
      </c>
      <c r="S70" s="17">
        <f t="shared" si="36"/>
        <v>0</v>
      </c>
      <c r="T70" s="17">
        <f t="shared" si="36"/>
        <v>-7</v>
      </c>
      <c r="U70" s="17">
        <f t="shared" si="36"/>
        <v>0</v>
      </c>
      <c r="V70" s="17">
        <f t="shared" si="36"/>
        <v>0</v>
      </c>
      <c r="W70" s="17">
        <f t="shared" si="36"/>
        <v>0</v>
      </c>
      <c r="X70" s="17">
        <f t="shared" si="36"/>
        <v>-6</v>
      </c>
      <c r="Y70" s="17">
        <f t="shared" si="36"/>
        <v>-1</v>
      </c>
      <c r="Z70" s="17">
        <f t="shared" si="36"/>
        <v>0</v>
      </c>
      <c r="AA70" s="17">
        <f t="shared" si="36"/>
        <v>0</v>
      </c>
      <c r="AB70" s="17">
        <f t="shared" si="36"/>
        <v>0</v>
      </c>
      <c r="AC70" s="17">
        <f t="shared" si="36"/>
        <v>-6</v>
      </c>
      <c r="AD70" s="17">
        <f t="shared" si="36"/>
        <v>0</v>
      </c>
      <c r="AE70" s="17">
        <f t="shared" si="36"/>
        <v>0</v>
      </c>
      <c r="AF70" s="17">
        <f t="shared" si="36"/>
        <v>0</v>
      </c>
      <c r="AG70" s="17">
        <f t="shared" si="36"/>
        <v>-7</v>
      </c>
    </row>
    <row r="71" spans="2:33" x14ac:dyDescent="0.25">
      <c r="B71" s="1" t="s">
        <v>45</v>
      </c>
      <c r="C71" s="1" cm="1">
        <f t="array" ref="C71">SUM(SMALL(D71:AG71,{1,2,3,4,5}))</f>
        <v>-51</v>
      </c>
      <c r="D71" s="17">
        <f t="shared" ref="D71:AG71" si="37">IF(COUNTIF($E17:$N17,D$56),D$55,0)</f>
        <v>-8</v>
      </c>
      <c r="E71" s="17">
        <f t="shared" si="37"/>
        <v>0</v>
      </c>
      <c r="F71" s="17">
        <f t="shared" si="37"/>
        <v>0</v>
      </c>
      <c r="G71" s="17">
        <f t="shared" si="37"/>
        <v>0</v>
      </c>
      <c r="H71" s="17">
        <f t="shared" si="37"/>
        <v>-13</v>
      </c>
      <c r="I71" s="17">
        <f t="shared" si="37"/>
        <v>0</v>
      </c>
      <c r="J71" s="17">
        <f t="shared" si="37"/>
        <v>-13</v>
      </c>
      <c r="K71" s="17">
        <f t="shared" si="37"/>
        <v>0</v>
      </c>
      <c r="L71" s="17">
        <f t="shared" si="37"/>
        <v>0</v>
      </c>
      <c r="M71" s="17">
        <f t="shared" si="37"/>
        <v>-5</v>
      </c>
      <c r="N71" s="17">
        <f t="shared" si="37"/>
        <v>0</v>
      </c>
      <c r="O71" s="17">
        <f t="shared" si="37"/>
        <v>0</v>
      </c>
      <c r="P71" s="17">
        <f t="shared" si="37"/>
        <v>0</v>
      </c>
      <c r="Q71" s="17">
        <f t="shared" si="37"/>
        <v>-6</v>
      </c>
      <c r="R71" s="17">
        <f t="shared" si="37"/>
        <v>0</v>
      </c>
      <c r="S71" s="17">
        <f t="shared" si="37"/>
        <v>0</v>
      </c>
      <c r="T71" s="17">
        <f t="shared" si="37"/>
        <v>-7</v>
      </c>
      <c r="U71" s="17">
        <f t="shared" si="37"/>
        <v>0</v>
      </c>
      <c r="V71" s="17">
        <f t="shared" si="37"/>
        <v>0</v>
      </c>
      <c r="W71" s="17">
        <f t="shared" si="37"/>
        <v>-10</v>
      </c>
      <c r="X71" s="17">
        <f t="shared" si="37"/>
        <v>0</v>
      </c>
      <c r="Y71" s="17">
        <f t="shared" si="37"/>
        <v>-1</v>
      </c>
      <c r="Z71" s="17">
        <f t="shared" si="37"/>
        <v>0</v>
      </c>
      <c r="AA71" s="17">
        <f t="shared" si="37"/>
        <v>0</v>
      </c>
      <c r="AB71" s="17">
        <f t="shared" si="37"/>
        <v>0</v>
      </c>
      <c r="AC71" s="17">
        <f t="shared" si="37"/>
        <v>-6</v>
      </c>
      <c r="AD71" s="17">
        <f t="shared" si="37"/>
        <v>0</v>
      </c>
      <c r="AE71" s="17">
        <f t="shared" si="37"/>
        <v>0</v>
      </c>
      <c r="AF71" s="17">
        <f t="shared" si="37"/>
        <v>0</v>
      </c>
      <c r="AG71" s="17">
        <f t="shared" si="37"/>
        <v>-7</v>
      </c>
    </row>
    <row r="72" spans="2:33" x14ac:dyDescent="0.25">
      <c r="B72" s="1" t="s">
        <v>5</v>
      </c>
      <c r="C72" s="1" cm="1">
        <f t="array" ref="C72">SUM(SMALL(D72:AG72,{1,2,3,4,5}))</f>
        <v>-38</v>
      </c>
      <c r="D72" s="17">
        <f t="shared" ref="D72:AG72" si="38">IF(COUNTIF($E18:$N18,D$56),D$55,0)</f>
        <v>-8</v>
      </c>
      <c r="E72" s="17">
        <f t="shared" si="38"/>
        <v>0</v>
      </c>
      <c r="F72" s="17">
        <f t="shared" si="38"/>
        <v>0</v>
      </c>
      <c r="G72" s="17">
        <f t="shared" si="38"/>
        <v>-1</v>
      </c>
      <c r="H72" s="17">
        <f t="shared" si="38"/>
        <v>0</v>
      </c>
      <c r="I72" s="17">
        <f t="shared" si="38"/>
        <v>0</v>
      </c>
      <c r="J72" s="17">
        <f t="shared" si="38"/>
        <v>0</v>
      </c>
      <c r="K72" s="17">
        <f t="shared" si="38"/>
        <v>0</v>
      </c>
      <c r="L72" s="17">
        <f t="shared" si="38"/>
        <v>-10</v>
      </c>
      <c r="M72" s="17">
        <f t="shared" si="38"/>
        <v>0</v>
      </c>
      <c r="N72" s="17">
        <f t="shared" si="38"/>
        <v>-6</v>
      </c>
      <c r="O72" s="17">
        <f t="shared" si="38"/>
        <v>0</v>
      </c>
      <c r="P72" s="17">
        <f t="shared" si="38"/>
        <v>0</v>
      </c>
      <c r="Q72" s="17">
        <f t="shared" si="38"/>
        <v>-6</v>
      </c>
      <c r="R72" s="17">
        <f t="shared" si="38"/>
        <v>0</v>
      </c>
      <c r="S72" s="17">
        <f t="shared" si="38"/>
        <v>0</v>
      </c>
      <c r="T72" s="17">
        <f t="shared" si="38"/>
        <v>-7</v>
      </c>
      <c r="U72" s="17">
        <f t="shared" si="38"/>
        <v>0</v>
      </c>
      <c r="V72" s="17">
        <f t="shared" si="38"/>
        <v>0</v>
      </c>
      <c r="W72" s="17">
        <f t="shared" si="38"/>
        <v>0</v>
      </c>
      <c r="X72" s="17">
        <f t="shared" si="38"/>
        <v>-6</v>
      </c>
      <c r="Y72" s="17">
        <f t="shared" si="38"/>
        <v>0</v>
      </c>
      <c r="Z72" s="17">
        <f t="shared" si="38"/>
        <v>-2</v>
      </c>
      <c r="AA72" s="17">
        <f t="shared" si="38"/>
        <v>0</v>
      </c>
      <c r="AB72" s="17">
        <f t="shared" si="38"/>
        <v>0</v>
      </c>
      <c r="AC72" s="17">
        <f t="shared" si="38"/>
        <v>-6</v>
      </c>
      <c r="AD72" s="17">
        <f t="shared" si="38"/>
        <v>0</v>
      </c>
      <c r="AE72" s="17">
        <f t="shared" si="38"/>
        <v>0</v>
      </c>
      <c r="AF72" s="17">
        <f t="shared" si="38"/>
        <v>-7</v>
      </c>
      <c r="AG72" s="17">
        <f t="shared" si="38"/>
        <v>0</v>
      </c>
    </row>
    <row r="73" spans="2:33" x14ac:dyDescent="0.25">
      <c r="B73" s="1" t="s">
        <v>34</v>
      </c>
      <c r="C73" s="1" cm="1">
        <f t="array" ref="C73">SUM(SMALL(D73:AG73,{1,2,3,4,5}))</f>
        <v>-51</v>
      </c>
      <c r="D73" s="17">
        <f t="shared" ref="D73:AG73" si="39">IF(COUNTIF($E19:$N19,D$56),D$55,0)</f>
        <v>-8</v>
      </c>
      <c r="E73" s="17">
        <f t="shared" si="39"/>
        <v>0</v>
      </c>
      <c r="F73" s="17">
        <f t="shared" si="39"/>
        <v>0</v>
      </c>
      <c r="G73" s="17">
        <f t="shared" si="39"/>
        <v>0</v>
      </c>
      <c r="H73" s="17">
        <f t="shared" si="39"/>
        <v>-13</v>
      </c>
      <c r="I73" s="17">
        <f t="shared" si="39"/>
        <v>0</v>
      </c>
      <c r="J73" s="17">
        <f t="shared" si="39"/>
        <v>-13</v>
      </c>
      <c r="K73" s="17">
        <f t="shared" si="39"/>
        <v>0</v>
      </c>
      <c r="L73" s="17">
        <f t="shared" si="39"/>
        <v>0</v>
      </c>
      <c r="M73" s="17">
        <f t="shared" si="39"/>
        <v>0</v>
      </c>
      <c r="N73" s="17">
        <f t="shared" si="39"/>
        <v>0</v>
      </c>
      <c r="O73" s="17">
        <f t="shared" si="39"/>
        <v>-7</v>
      </c>
      <c r="P73" s="17">
        <f t="shared" si="39"/>
        <v>0</v>
      </c>
      <c r="Q73" s="17">
        <f t="shared" si="39"/>
        <v>-6</v>
      </c>
      <c r="R73" s="17">
        <f t="shared" si="39"/>
        <v>0</v>
      </c>
      <c r="S73" s="17">
        <f t="shared" si="39"/>
        <v>0</v>
      </c>
      <c r="T73" s="17">
        <f t="shared" si="39"/>
        <v>-7</v>
      </c>
      <c r="U73" s="17">
        <f t="shared" si="39"/>
        <v>0</v>
      </c>
      <c r="V73" s="17">
        <f t="shared" si="39"/>
        <v>0</v>
      </c>
      <c r="W73" s="17">
        <f t="shared" si="39"/>
        <v>-10</v>
      </c>
      <c r="X73" s="17">
        <f t="shared" si="39"/>
        <v>0</v>
      </c>
      <c r="Y73" s="17">
        <f t="shared" si="39"/>
        <v>-1</v>
      </c>
      <c r="Z73" s="17">
        <f t="shared" si="39"/>
        <v>0</v>
      </c>
      <c r="AA73" s="17">
        <f t="shared" si="39"/>
        <v>0</v>
      </c>
      <c r="AB73" s="17">
        <f t="shared" si="39"/>
        <v>0</v>
      </c>
      <c r="AC73" s="17">
        <f t="shared" si="39"/>
        <v>-6</v>
      </c>
      <c r="AD73" s="17">
        <f t="shared" si="39"/>
        <v>0</v>
      </c>
      <c r="AE73" s="17">
        <f t="shared" si="39"/>
        <v>0</v>
      </c>
      <c r="AF73" s="17">
        <f t="shared" si="39"/>
        <v>-7</v>
      </c>
      <c r="AG73" s="17">
        <f t="shared" si="39"/>
        <v>0</v>
      </c>
    </row>
    <row r="74" spans="2:33" x14ac:dyDescent="0.25">
      <c r="B74" s="1" t="s">
        <v>46</v>
      </c>
      <c r="C74" s="1" cm="1">
        <f t="array" ref="C74">SUM(SMALL(D74:AG74,{1,2,3,4,5}))</f>
        <v>-42</v>
      </c>
      <c r="D74" s="17">
        <f t="shared" ref="D74:AG74" si="40">IF(COUNTIF($E20:$N20,D$56),D$55,0)</f>
        <v>-8</v>
      </c>
      <c r="E74" s="17">
        <f t="shared" si="40"/>
        <v>0</v>
      </c>
      <c r="F74" s="17">
        <f t="shared" si="40"/>
        <v>0</v>
      </c>
      <c r="G74" s="17">
        <f t="shared" si="40"/>
        <v>0</v>
      </c>
      <c r="H74" s="17">
        <f t="shared" si="40"/>
        <v>0</v>
      </c>
      <c r="I74" s="17">
        <f t="shared" si="40"/>
        <v>-7</v>
      </c>
      <c r="J74" s="17">
        <f t="shared" si="40"/>
        <v>-13</v>
      </c>
      <c r="K74" s="17">
        <f t="shared" si="40"/>
        <v>0</v>
      </c>
      <c r="L74" s="17">
        <f t="shared" si="40"/>
        <v>0</v>
      </c>
      <c r="M74" s="17">
        <f t="shared" si="40"/>
        <v>-5</v>
      </c>
      <c r="N74" s="17">
        <f t="shared" si="40"/>
        <v>0</v>
      </c>
      <c r="O74" s="17">
        <f t="shared" si="40"/>
        <v>0</v>
      </c>
      <c r="P74" s="17">
        <f t="shared" si="40"/>
        <v>0</v>
      </c>
      <c r="Q74" s="17">
        <f t="shared" si="40"/>
        <v>-6</v>
      </c>
      <c r="R74" s="17">
        <f t="shared" si="40"/>
        <v>0</v>
      </c>
      <c r="S74" s="17">
        <f t="shared" si="40"/>
        <v>0</v>
      </c>
      <c r="T74" s="17">
        <f t="shared" si="40"/>
        <v>-7</v>
      </c>
      <c r="U74" s="17">
        <f t="shared" si="40"/>
        <v>0</v>
      </c>
      <c r="V74" s="17">
        <f t="shared" si="40"/>
        <v>0</v>
      </c>
      <c r="W74" s="17">
        <f t="shared" si="40"/>
        <v>0</v>
      </c>
      <c r="X74" s="17">
        <f t="shared" si="40"/>
        <v>-6</v>
      </c>
      <c r="Y74" s="17">
        <f t="shared" si="40"/>
        <v>-1</v>
      </c>
      <c r="Z74" s="17">
        <f t="shared" si="40"/>
        <v>0</v>
      </c>
      <c r="AA74" s="17">
        <f t="shared" si="40"/>
        <v>0</v>
      </c>
      <c r="AB74" s="17">
        <f t="shared" si="40"/>
        <v>-6</v>
      </c>
      <c r="AC74" s="17">
        <f t="shared" si="40"/>
        <v>0</v>
      </c>
      <c r="AD74" s="17">
        <f t="shared" si="40"/>
        <v>0</v>
      </c>
      <c r="AE74" s="17">
        <f t="shared" si="40"/>
        <v>0</v>
      </c>
      <c r="AF74" s="17">
        <f t="shared" si="40"/>
        <v>0</v>
      </c>
      <c r="AG74" s="17">
        <f t="shared" si="40"/>
        <v>-7</v>
      </c>
    </row>
    <row r="75" spans="2:33" x14ac:dyDescent="0.25">
      <c r="B75" s="1" t="s">
        <v>6</v>
      </c>
      <c r="C75" s="1" cm="1">
        <f t="array" ref="C75">SUM(SMALL(D75:AG75,{1,2,3,4,5}))</f>
        <v>-48</v>
      </c>
      <c r="D75" s="17">
        <f t="shared" ref="D75:AG75" si="41">IF(COUNTIF($E21:$N21,D$56),D$55,0)</f>
        <v>-8</v>
      </c>
      <c r="E75" s="17">
        <f t="shared" si="41"/>
        <v>0</v>
      </c>
      <c r="F75" s="17">
        <f t="shared" si="41"/>
        <v>0</v>
      </c>
      <c r="G75" s="17">
        <f t="shared" si="41"/>
        <v>0</v>
      </c>
      <c r="H75" s="17">
        <f t="shared" si="41"/>
        <v>-13</v>
      </c>
      <c r="I75" s="17">
        <f t="shared" si="41"/>
        <v>0</v>
      </c>
      <c r="J75" s="17">
        <f t="shared" si="41"/>
        <v>0</v>
      </c>
      <c r="K75" s="17">
        <f t="shared" si="41"/>
        <v>0</v>
      </c>
      <c r="L75" s="17">
        <f t="shared" si="41"/>
        <v>-10</v>
      </c>
      <c r="M75" s="17">
        <f t="shared" si="41"/>
        <v>-5</v>
      </c>
      <c r="N75" s="17">
        <f t="shared" si="41"/>
        <v>0</v>
      </c>
      <c r="O75" s="17">
        <f t="shared" si="41"/>
        <v>0</v>
      </c>
      <c r="P75" s="17">
        <f t="shared" si="41"/>
        <v>0</v>
      </c>
      <c r="Q75" s="17">
        <f t="shared" si="41"/>
        <v>-6</v>
      </c>
      <c r="R75" s="17">
        <f t="shared" si="41"/>
        <v>0</v>
      </c>
      <c r="S75" s="17">
        <f t="shared" si="41"/>
        <v>0</v>
      </c>
      <c r="T75" s="17">
        <f t="shared" si="41"/>
        <v>-7</v>
      </c>
      <c r="U75" s="17">
        <f t="shared" si="41"/>
        <v>0</v>
      </c>
      <c r="V75" s="17">
        <f t="shared" si="41"/>
        <v>0</v>
      </c>
      <c r="W75" s="17">
        <f t="shared" si="41"/>
        <v>-10</v>
      </c>
      <c r="X75" s="17">
        <f t="shared" si="41"/>
        <v>0</v>
      </c>
      <c r="Y75" s="17">
        <f t="shared" si="41"/>
        <v>-1</v>
      </c>
      <c r="Z75" s="17">
        <f t="shared" si="41"/>
        <v>0</v>
      </c>
      <c r="AA75" s="17">
        <f t="shared" si="41"/>
        <v>0</v>
      </c>
      <c r="AB75" s="17">
        <f t="shared" si="41"/>
        <v>0</v>
      </c>
      <c r="AC75" s="17">
        <f t="shared" si="41"/>
        <v>-6</v>
      </c>
      <c r="AD75" s="17">
        <f t="shared" si="41"/>
        <v>0</v>
      </c>
      <c r="AE75" s="17">
        <f t="shared" si="41"/>
        <v>0</v>
      </c>
      <c r="AF75" s="17">
        <f t="shared" si="41"/>
        <v>0</v>
      </c>
      <c r="AG75" s="17">
        <f t="shared" si="41"/>
        <v>-7</v>
      </c>
    </row>
    <row r="76" spans="2:33" x14ac:dyDescent="0.25">
      <c r="B76" s="1" t="s">
        <v>35</v>
      </c>
      <c r="C76" s="1" cm="1">
        <f t="array" ref="C76">SUM(SMALL(D76:AG76,{1,2,3,4,5}))</f>
        <v>-48</v>
      </c>
      <c r="D76" s="17">
        <f t="shared" ref="D76:AG76" si="42">IF(COUNTIF($E22:$N22,D$56),D$55,0)</f>
        <v>-8</v>
      </c>
      <c r="E76" s="17">
        <f t="shared" si="42"/>
        <v>0</v>
      </c>
      <c r="F76" s="17">
        <f t="shared" si="42"/>
        <v>0</v>
      </c>
      <c r="G76" s="17">
        <f t="shared" si="42"/>
        <v>0</v>
      </c>
      <c r="H76" s="17">
        <f t="shared" si="42"/>
        <v>-13</v>
      </c>
      <c r="I76" s="17">
        <f t="shared" si="42"/>
        <v>0</v>
      </c>
      <c r="J76" s="17">
        <f t="shared" si="42"/>
        <v>-13</v>
      </c>
      <c r="K76" s="17">
        <f t="shared" si="42"/>
        <v>0</v>
      </c>
      <c r="L76" s="17">
        <f t="shared" si="42"/>
        <v>0</v>
      </c>
      <c r="M76" s="17">
        <f t="shared" si="42"/>
        <v>-5</v>
      </c>
      <c r="N76" s="17">
        <f t="shared" si="42"/>
        <v>0</v>
      </c>
      <c r="O76" s="17">
        <f t="shared" si="42"/>
        <v>0</v>
      </c>
      <c r="P76" s="17">
        <f t="shared" si="42"/>
        <v>0</v>
      </c>
      <c r="Q76" s="17">
        <f t="shared" si="42"/>
        <v>-6</v>
      </c>
      <c r="R76" s="17">
        <f t="shared" si="42"/>
        <v>0</v>
      </c>
      <c r="S76" s="17">
        <f t="shared" si="42"/>
        <v>0</v>
      </c>
      <c r="T76" s="17">
        <f t="shared" si="42"/>
        <v>-7</v>
      </c>
      <c r="U76" s="17">
        <f t="shared" si="42"/>
        <v>0</v>
      </c>
      <c r="V76" s="17">
        <f t="shared" si="42"/>
        <v>0</v>
      </c>
      <c r="W76" s="17">
        <f t="shared" si="42"/>
        <v>0</v>
      </c>
      <c r="X76" s="17">
        <f t="shared" si="42"/>
        <v>-6</v>
      </c>
      <c r="Y76" s="17">
        <f t="shared" si="42"/>
        <v>-1</v>
      </c>
      <c r="Z76" s="17">
        <f t="shared" si="42"/>
        <v>0</v>
      </c>
      <c r="AA76" s="17">
        <f t="shared" si="42"/>
        <v>0</v>
      </c>
      <c r="AB76" s="17">
        <f t="shared" si="42"/>
        <v>0</v>
      </c>
      <c r="AC76" s="17">
        <f t="shared" si="42"/>
        <v>-6</v>
      </c>
      <c r="AD76" s="17">
        <f t="shared" si="42"/>
        <v>0</v>
      </c>
      <c r="AE76" s="17">
        <f t="shared" si="42"/>
        <v>0</v>
      </c>
      <c r="AF76" s="17">
        <f t="shared" si="42"/>
        <v>0</v>
      </c>
      <c r="AG76" s="17">
        <f t="shared" si="42"/>
        <v>-7</v>
      </c>
    </row>
    <row r="77" spans="2:33" x14ac:dyDescent="0.25">
      <c r="B77" s="1" t="s">
        <v>47</v>
      </c>
      <c r="C77" s="1" cm="1">
        <f t="array" ref="C77">SUM(SMALL(D77:AG77,{1,2,3,4,5}))</f>
        <v>-48</v>
      </c>
      <c r="D77" s="17">
        <f t="shared" ref="D77:AG77" si="43">IF(COUNTIF($E23:$N23,D$56),D$55,0)</f>
        <v>-8</v>
      </c>
      <c r="E77" s="17">
        <f t="shared" si="43"/>
        <v>0</v>
      </c>
      <c r="F77" s="17">
        <f t="shared" si="43"/>
        <v>0</v>
      </c>
      <c r="G77" s="17">
        <f t="shared" si="43"/>
        <v>0</v>
      </c>
      <c r="H77" s="17">
        <f t="shared" si="43"/>
        <v>-13</v>
      </c>
      <c r="I77" s="17">
        <f t="shared" si="43"/>
        <v>0</v>
      </c>
      <c r="J77" s="17">
        <f t="shared" si="43"/>
        <v>-13</v>
      </c>
      <c r="K77" s="17">
        <f t="shared" si="43"/>
        <v>0</v>
      </c>
      <c r="L77" s="17">
        <f t="shared" si="43"/>
        <v>0</v>
      </c>
      <c r="M77" s="17">
        <f t="shared" si="43"/>
        <v>0</v>
      </c>
      <c r="N77" s="17">
        <f t="shared" si="43"/>
        <v>0</v>
      </c>
      <c r="O77" s="17">
        <f t="shared" si="43"/>
        <v>-7</v>
      </c>
      <c r="P77" s="17">
        <f t="shared" si="43"/>
        <v>0</v>
      </c>
      <c r="Q77" s="17">
        <f t="shared" si="43"/>
        <v>0</v>
      </c>
      <c r="R77" s="17">
        <f t="shared" si="43"/>
        <v>-2</v>
      </c>
      <c r="S77" s="17">
        <f t="shared" si="43"/>
        <v>0</v>
      </c>
      <c r="T77" s="17">
        <f t="shared" si="43"/>
        <v>-7</v>
      </c>
      <c r="U77" s="17">
        <f t="shared" si="43"/>
        <v>0</v>
      </c>
      <c r="V77" s="17">
        <f t="shared" si="43"/>
        <v>-3</v>
      </c>
      <c r="W77" s="17">
        <f t="shared" si="43"/>
        <v>0</v>
      </c>
      <c r="X77" s="17">
        <f t="shared" si="43"/>
        <v>0</v>
      </c>
      <c r="Y77" s="17">
        <f t="shared" si="43"/>
        <v>0</v>
      </c>
      <c r="Z77" s="17">
        <f t="shared" si="43"/>
        <v>0</v>
      </c>
      <c r="AA77" s="17">
        <f t="shared" si="43"/>
        <v>-7</v>
      </c>
      <c r="AB77" s="17">
        <f t="shared" si="43"/>
        <v>0</v>
      </c>
      <c r="AC77" s="17">
        <f t="shared" si="43"/>
        <v>-6</v>
      </c>
      <c r="AD77" s="17">
        <f t="shared" si="43"/>
        <v>0</v>
      </c>
      <c r="AE77" s="17">
        <f t="shared" si="43"/>
        <v>-5</v>
      </c>
      <c r="AF77" s="17">
        <f t="shared" si="43"/>
        <v>0</v>
      </c>
      <c r="AG77" s="17">
        <f t="shared" si="43"/>
        <v>0</v>
      </c>
    </row>
    <row r="78" spans="2:33" x14ac:dyDescent="0.25">
      <c r="B78" s="1" t="s">
        <v>7</v>
      </c>
      <c r="C78" s="1" cm="1">
        <f t="array" ref="C78">SUM(SMALL(D78:AG78,{1,2,3,4,5}))</f>
        <v>-52</v>
      </c>
      <c r="D78" s="17">
        <f t="shared" ref="D78:AG78" si="44">IF(COUNTIF($E24:$N24,D$56),D$55,0)</f>
        <v>-8</v>
      </c>
      <c r="E78" s="17">
        <f t="shared" si="44"/>
        <v>0</v>
      </c>
      <c r="F78" s="17">
        <f t="shared" si="44"/>
        <v>0</v>
      </c>
      <c r="G78" s="17">
        <f t="shared" si="44"/>
        <v>0</v>
      </c>
      <c r="H78" s="17">
        <f t="shared" si="44"/>
        <v>-13</v>
      </c>
      <c r="I78" s="17">
        <f t="shared" si="44"/>
        <v>0</v>
      </c>
      <c r="J78" s="17">
        <f t="shared" si="44"/>
        <v>-13</v>
      </c>
      <c r="K78" s="17">
        <f t="shared" si="44"/>
        <v>0</v>
      </c>
      <c r="L78" s="17">
        <f t="shared" si="44"/>
        <v>0</v>
      </c>
      <c r="M78" s="17">
        <f t="shared" si="44"/>
        <v>-5</v>
      </c>
      <c r="N78" s="17">
        <f t="shared" si="44"/>
        <v>0</v>
      </c>
      <c r="O78" s="17">
        <f t="shared" si="44"/>
        <v>0</v>
      </c>
      <c r="P78" s="17">
        <f t="shared" si="44"/>
        <v>-11</v>
      </c>
      <c r="Q78" s="17">
        <f t="shared" si="44"/>
        <v>0</v>
      </c>
      <c r="R78" s="17">
        <f t="shared" si="44"/>
        <v>0</v>
      </c>
      <c r="S78" s="17">
        <f t="shared" si="44"/>
        <v>0</v>
      </c>
      <c r="T78" s="17">
        <f t="shared" si="44"/>
        <v>-7</v>
      </c>
      <c r="U78" s="17">
        <f t="shared" si="44"/>
        <v>0</v>
      </c>
      <c r="V78" s="17">
        <f t="shared" si="44"/>
        <v>0</v>
      </c>
      <c r="W78" s="17">
        <f t="shared" si="44"/>
        <v>0</v>
      </c>
      <c r="X78" s="17">
        <f t="shared" si="44"/>
        <v>-6</v>
      </c>
      <c r="Y78" s="17">
        <f t="shared" si="44"/>
        <v>-1</v>
      </c>
      <c r="Z78" s="17">
        <f t="shared" si="44"/>
        <v>0</v>
      </c>
      <c r="AA78" s="17">
        <f t="shared" si="44"/>
        <v>0</v>
      </c>
      <c r="AB78" s="17">
        <f t="shared" si="44"/>
        <v>0</v>
      </c>
      <c r="AC78" s="17">
        <f t="shared" si="44"/>
        <v>-6</v>
      </c>
      <c r="AD78" s="17">
        <f t="shared" si="44"/>
        <v>0</v>
      </c>
      <c r="AE78" s="17">
        <f t="shared" si="44"/>
        <v>-5</v>
      </c>
      <c r="AF78" s="17">
        <f t="shared" si="44"/>
        <v>0</v>
      </c>
      <c r="AG78" s="17">
        <f t="shared" si="44"/>
        <v>0</v>
      </c>
    </row>
  </sheetData>
  <conditionalFormatting sqref="C30:C5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7:C7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8:AG28">
    <cfRule type="cellIs" dxfId="1" priority="3" operator="between">
      <formula>1</formula>
      <formula>5</formula>
    </cfRule>
  </conditionalFormatting>
  <conditionalFormatting sqref="D55:AG55">
    <cfRule type="cellIs" dxfId="0" priority="1" operator="between">
      <formula>1</formula>
      <formula>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9C430-7654-4AAE-BC01-959FD623C69C}">
  <dimension ref="B2:Y122"/>
  <sheetViews>
    <sheetView workbookViewId="0">
      <selection sqref="A1:XFD1048576"/>
    </sheetView>
  </sheetViews>
  <sheetFormatPr defaultRowHeight="15" x14ac:dyDescent="0.25"/>
  <cols>
    <col min="1" max="1" width="2.7109375" customWidth="1"/>
    <col min="2" max="2" width="3.85546875" customWidth="1"/>
    <col min="3" max="3" width="15.42578125" customWidth="1"/>
    <col min="4" max="4" width="4.140625" customWidth="1"/>
    <col min="5" max="5" width="2.28515625" customWidth="1"/>
    <col min="6" max="6" width="15.7109375" customWidth="1"/>
    <col min="7" max="7" width="5.28515625" customWidth="1"/>
    <col min="8" max="8" width="2.7109375" customWidth="1"/>
    <col min="9" max="9" width="15.42578125" customWidth="1"/>
    <col min="10" max="10" width="4.140625" customWidth="1"/>
    <col min="11" max="11" width="2.5703125" customWidth="1"/>
    <col min="12" max="12" width="15.42578125" customWidth="1"/>
    <col min="13" max="13" width="4.7109375" customWidth="1"/>
    <col min="14" max="14" width="2.140625" customWidth="1"/>
    <col min="15" max="15" width="15.28515625" customWidth="1"/>
    <col min="16" max="16" width="4.28515625" customWidth="1"/>
    <col min="17" max="17" width="2.28515625" customWidth="1"/>
    <col min="18" max="18" width="15.42578125" customWidth="1"/>
    <col min="19" max="19" width="5.28515625" customWidth="1"/>
    <col min="20" max="20" width="2.85546875" customWidth="1"/>
    <col min="21" max="21" width="15.28515625" customWidth="1"/>
    <col min="22" max="22" width="5.28515625" customWidth="1"/>
    <col min="23" max="23" width="2.85546875" customWidth="1"/>
    <col min="24" max="24" width="15.28515625" bestFit="1" customWidth="1"/>
    <col min="25" max="25" width="7.140625" customWidth="1"/>
  </cols>
  <sheetData>
    <row r="2" spans="2:23" x14ac:dyDescent="0.25">
      <c r="B2" s="18"/>
      <c r="C2" s="31" t="s">
        <v>64</v>
      </c>
      <c r="D2" s="31"/>
      <c r="E2" s="19"/>
      <c r="F2" s="31" t="s">
        <v>65</v>
      </c>
      <c r="G2" s="31"/>
      <c r="H2" s="19"/>
      <c r="I2" s="31" t="s">
        <v>66</v>
      </c>
      <c r="J2" s="31"/>
      <c r="K2" s="19"/>
      <c r="L2" s="31" t="s">
        <v>67</v>
      </c>
      <c r="M2" s="31"/>
      <c r="N2" s="19"/>
      <c r="O2" s="31" t="s">
        <v>68</v>
      </c>
      <c r="P2" s="31"/>
      <c r="Q2" s="19"/>
      <c r="R2" s="31" t="s">
        <v>69</v>
      </c>
      <c r="S2" s="31"/>
      <c r="T2" s="19"/>
      <c r="U2" s="31" t="s">
        <v>70</v>
      </c>
      <c r="V2" s="32"/>
      <c r="W2" s="20"/>
    </row>
    <row r="3" spans="2:23" x14ac:dyDescent="0.25">
      <c r="B3" s="28" t="s">
        <v>71</v>
      </c>
      <c r="C3" t="s">
        <v>3</v>
      </c>
      <c r="D3">
        <v>-71</v>
      </c>
      <c r="E3" s="10"/>
      <c r="F3" s="1" t="s">
        <v>3</v>
      </c>
      <c r="G3">
        <v>-71</v>
      </c>
      <c r="H3" s="10"/>
      <c r="I3" s="1" t="s">
        <v>3</v>
      </c>
      <c r="J3">
        <v>-70</v>
      </c>
      <c r="K3" s="10"/>
      <c r="L3" t="s">
        <v>3</v>
      </c>
      <c r="M3">
        <v>-72</v>
      </c>
      <c r="N3" s="10"/>
      <c r="O3" t="s">
        <v>3</v>
      </c>
      <c r="P3">
        <v>-76</v>
      </c>
      <c r="Q3" s="10"/>
      <c r="R3" t="s">
        <v>3</v>
      </c>
      <c r="S3">
        <v>-76</v>
      </c>
      <c r="T3" s="10"/>
      <c r="U3" t="s">
        <v>3</v>
      </c>
      <c r="V3">
        <v>-76</v>
      </c>
      <c r="W3" s="10"/>
    </row>
    <row r="4" spans="2:23" x14ac:dyDescent="0.25">
      <c r="B4" s="29"/>
      <c r="C4" t="s">
        <v>34</v>
      </c>
      <c r="D4">
        <v>-67</v>
      </c>
      <c r="E4" s="10"/>
      <c r="F4" s="1" t="s">
        <v>34</v>
      </c>
      <c r="G4">
        <v>-67</v>
      </c>
      <c r="H4" s="10"/>
      <c r="I4" t="s">
        <v>34</v>
      </c>
      <c r="J4">
        <v>-66</v>
      </c>
      <c r="K4" s="10"/>
      <c r="L4" s="1" t="s">
        <v>32</v>
      </c>
      <c r="M4">
        <v>-69</v>
      </c>
      <c r="N4" s="10"/>
      <c r="O4" t="s">
        <v>34</v>
      </c>
      <c r="P4">
        <v>-74</v>
      </c>
      <c r="Q4" s="10"/>
      <c r="R4" t="s">
        <v>34</v>
      </c>
      <c r="S4">
        <v>-76</v>
      </c>
      <c r="T4" s="10"/>
      <c r="U4" t="s">
        <v>34</v>
      </c>
      <c r="V4">
        <v>-75</v>
      </c>
      <c r="W4" s="10"/>
    </row>
    <row r="5" spans="2:23" x14ac:dyDescent="0.25">
      <c r="B5" s="29"/>
      <c r="C5" t="s">
        <v>42</v>
      </c>
      <c r="D5">
        <v>-67</v>
      </c>
      <c r="E5" s="10"/>
      <c r="F5" t="s">
        <v>42</v>
      </c>
      <c r="G5">
        <v>-67</v>
      </c>
      <c r="H5" s="10"/>
      <c r="I5" t="s">
        <v>42</v>
      </c>
      <c r="J5">
        <v>-66</v>
      </c>
      <c r="K5" s="10"/>
      <c r="L5" t="s">
        <v>34</v>
      </c>
      <c r="M5">
        <v>-68</v>
      </c>
      <c r="N5" s="10"/>
      <c r="O5" s="1" t="s">
        <v>42</v>
      </c>
      <c r="P5">
        <v>-74</v>
      </c>
      <c r="Q5" s="10"/>
      <c r="R5" t="s">
        <v>42</v>
      </c>
      <c r="S5">
        <v>-76</v>
      </c>
      <c r="T5" s="10"/>
      <c r="U5" t="s">
        <v>42</v>
      </c>
      <c r="V5">
        <v>-75</v>
      </c>
      <c r="W5" s="10"/>
    </row>
    <row r="6" spans="2:23" x14ac:dyDescent="0.25">
      <c r="B6" s="29"/>
      <c r="C6" t="s">
        <v>45</v>
      </c>
      <c r="D6">
        <v>-67</v>
      </c>
      <c r="E6" s="10"/>
      <c r="F6" t="s">
        <v>45</v>
      </c>
      <c r="G6">
        <v>-67</v>
      </c>
      <c r="H6" s="10"/>
      <c r="I6" t="s">
        <v>45</v>
      </c>
      <c r="J6">
        <v>-66</v>
      </c>
      <c r="K6" s="10"/>
      <c r="L6" t="s">
        <v>42</v>
      </c>
      <c r="M6">
        <v>-68</v>
      </c>
      <c r="N6" s="10"/>
      <c r="O6" t="s">
        <v>45</v>
      </c>
      <c r="P6">
        <v>-74</v>
      </c>
      <c r="Q6" s="10"/>
      <c r="R6" s="1" t="s">
        <v>45</v>
      </c>
      <c r="S6">
        <v>-75</v>
      </c>
      <c r="T6" s="10"/>
      <c r="U6" t="s">
        <v>45</v>
      </c>
      <c r="V6">
        <v>-75</v>
      </c>
      <c r="W6" s="10"/>
    </row>
    <row r="7" spans="2:23" x14ac:dyDescent="0.25">
      <c r="B7" s="29"/>
      <c r="C7" t="s">
        <v>32</v>
      </c>
      <c r="D7">
        <v>-64</v>
      </c>
      <c r="E7" s="10"/>
      <c r="F7" t="s">
        <v>32</v>
      </c>
      <c r="G7">
        <v>-64</v>
      </c>
      <c r="H7" s="10"/>
      <c r="I7" t="s">
        <v>32</v>
      </c>
      <c r="J7">
        <v>-64</v>
      </c>
      <c r="K7" s="10"/>
      <c r="L7" t="s">
        <v>45</v>
      </c>
      <c r="M7">
        <v>-68</v>
      </c>
      <c r="N7" s="10"/>
      <c r="O7" t="s">
        <v>7</v>
      </c>
      <c r="P7">
        <v>-73</v>
      </c>
      <c r="Q7" s="10"/>
      <c r="R7" t="s">
        <v>47</v>
      </c>
      <c r="S7">
        <v>-74</v>
      </c>
      <c r="T7" s="10"/>
      <c r="U7" s="1" t="s">
        <v>7</v>
      </c>
      <c r="V7">
        <v>-74</v>
      </c>
      <c r="W7" s="10"/>
    </row>
    <row r="8" spans="2:23" x14ac:dyDescent="0.25">
      <c r="B8" s="29"/>
      <c r="C8" t="s">
        <v>0</v>
      </c>
      <c r="D8">
        <v>-61</v>
      </c>
      <c r="E8" s="10"/>
      <c r="F8" t="s">
        <v>0</v>
      </c>
      <c r="G8">
        <v>-61</v>
      </c>
      <c r="H8" s="10"/>
      <c r="I8" t="s">
        <v>0</v>
      </c>
      <c r="J8">
        <v>-62</v>
      </c>
      <c r="K8" s="10"/>
      <c r="L8" t="s">
        <v>7</v>
      </c>
      <c r="M8">
        <v>-66</v>
      </c>
      <c r="N8" s="10"/>
      <c r="O8" t="s">
        <v>32</v>
      </c>
      <c r="P8">
        <v>-72</v>
      </c>
      <c r="Q8" s="10"/>
      <c r="R8" t="s">
        <v>32</v>
      </c>
      <c r="S8">
        <v>-73</v>
      </c>
      <c r="T8" s="10"/>
      <c r="U8" t="s">
        <v>47</v>
      </c>
      <c r="V8">
        <v>-74</v>
      </c>
      <c r="W8" s="10"/>
    </row>
    <row r="9" spans="2:23" x14ac:dyDescent="0.25">
      <c r="B9" s="29"/>
      <c r="C9" t="s">
        <v>6</v>
      </c>
      <c r="D9">
        <v>-61</v>
      </c>
      <c r="E9" s="10"/>
      <c r="F9" t="s">
        <v>6</v>
      </c>
      <c r="G9">
        <v>-61</v>
      </c>
      <c r="H9" s="10"/>
      <c r="I9" t="s">
        <v>6</v>
      </c>
      <c r="J9">
        <v>-62</v>
      </c>
      <c r="K9" s="10"/>
      <c r="L9" t="s">
        <v>0</v>
      </c>
      <c r="M9">
        <v>-65</v>
      </c>
      <c r="N9" s="10"/>
      <c r="O9" t="s">
        <v>47</v>
      </c>
      <c r="P9">
        <v>-72</v>
      </c>
      <c r="Q9" s="10"/>
      <c r="R9" t="s">
        <v>6</v>
      </c>
      <c r="S9">
        <v>-72</v>
      </c>
      <c r="T9" s="10"/>
      <c r="U9" t="s">
        <v>32</v>
      </c>
      <c r="V9">
        <v>-73</v>
      </c>
      <c r="W9" s="10"/>
    </row>
    <row r="10" spans="2:23" x14ac:dyDescent="0.25">
      <c r="B10" s="29"/>
      <c r="C10" t="s">
        <v>7</v>
      </c>
      <c r="D10">
        <v>-61</v>
      </c>
      <c r="E10" s="10"/>
      <c r="F10" t="s">
        <v>7</v>
      </c>
      <c r="G10">
        <v>-61</v>
      </c>
      <c r="H10" s="10"/>
      <c r="I10" t="s">
        <v>7</v>
      </c>
      <c r="J10">
        <v>-61</v>
      </c>
      <c r="K10" s="10"/>
      <c r="L10" t="s">
        <v>6</v>
      </c>
      <c r="M10">
        <v>-65</v>
      </c>
      <c r="N10" s="10"/>
      <c r="O10" t="s">
        <v>0</v>
      </c>
      <c r="P10">
        <v>-70</v>
      </c>
      <c r="Q10" s="10"/>
      <c r="R10" t="s">
        <v>7</v>
      </c>
      <c r="S10">
        <v>-72</v>
      </c>
      <c r="T10" s="10"/>
      <c r="U10" t="s">
        <v>6</v>
      </c>
      <c r="V10">
        <v>-71</v>
      </c>
      <c r="W10" s="10"/>
    </row>
    <row r="11" spans="2:23" x14ac:dyDescent="0.25">
      <c r="B11" s="29"/>
      <c r="C11" t="s">
        <v>47</v>
      </c>
      <c r="D11">
        <v>-60</v>
      </c>
      <c r="E11" s="10"/>
      <c r="F11" t="s">
        <v>47</v>
      </c>
      <c r="G11">
        <v>-60</v>
      </c>
      <c r="H11" s="10"/>
      <c r="I11" t="s">
        <v>35</v>
      </c>
      <c r="J11">
        <v>-60</v>
      </c>
      <c r="K11" s="10"/>
      <c r="L11" t="s">
        <v>35</v>
      </c>
      <c r="M11">
        <v>-65</v>
      </c>
      <c r="N11" s="10"/>
      <c r="O11" t="s">
        <v>6</v>
      </c>
      <c r="P11">
        <v>-70</v>
      </c>
      <c r="Q11" s="10"/>
      <c r="R11" t="s">
        <v>0</v>
      </c>
      <c r="S11">
        <v>-71</v>
      </c>
      <c r="T11" s="10"/>
      <c r="U11" t="s">
        <v>35</v>
      </c>
      <c r="V11">
        <v>-71</v>
      </c>
      <c r="W11" s="10"/>
    </row>
    <row r="12" spans="2:23" x14ac:dyDescent="0.25">
      <c r="B12" s="29"/>
      <c r="C12" t="s">
        <v>30</v>
      </c>
      <c r="D12">
        <v>-59</v>
      </c>
      <c r="E12" s="10"/>
      <c r="F12" t="s">
        <v>30</v>
      </c>
      <c r="G12">
        <v>-59</v>
      </c>
      <c r="H12" s="10"/>
      <c r="I12" t="s">
        <v>30</v>
      </c>
      <c r="J12">
        <v>-59</v>
      </c>
      <c r="K12" s="10"/>
      <c r="L12" t="s">
        <v>47</v>
      </c>
      <c r="M12">
        <v>-64</v>
      </c>
      <c r="N12" s="10"/>
      <c r="O12" t="s">
        <v>35</v>
      </c>
      <c r="P12">
        <v>-70</v>
      </c>
      <c r="Q12" s="10"/>
      <c r="R12" t="s">
        <v>35</v>
      </c>
      <c r="S12">
        <v>-70</v>
      </c>
      <c r="T12" s="10"/>
      <c r="U12" t="s">
        <v>0</v>
      </c>
      <c r="V12">
        <v>-70</v>
      </c>
      <c r="W12" s="10"/>
    </row>
    <row r="13" spans="2:23" x14ac:dyDescent="0.25">
      <c r="B13" s="29"/>
      <c r="C13" t="s">
        <v>35</v>
      </c>
      <c r="D13">
        <v>-59</v>
      </c>
      <c r="E13" s="10"/>
      <c r="F13" t="s">
        <v>35</v>
      </c>
      <c r="G13">
        <v>-59</v>
      </c>
      <c r="H13" s="10"/>
      <c r="I13" t="s">
        <v>31</v>
      </c>
      <c r="J13">
        <v>-58</v>
      </c>
      <c r="K13" s="10"/>
      <c r="L13" t="s">
        <v>30</v>
      </c>
      <c r="M13">
        <v>-62</v>
      </c>
      <c r="N13" s="10"/>
      <c r="O13" t="s">
        <v>30</v>
      </c>
      <c r="P13">
        <v>-67</v>
      </c>
      <c r="Q13" s="10"/>
      <c r="R13" t="s">
        <v>30</v>
      </c>
      <c r="S13">
        <v>-67</v>
      </c>
      <c r="T13" s="10"/>
      <c r="U13" t="s">
        <v>43</v>
      </c>
      <c r="V13">
        <v>-68</v>
      </c>
      <c r="W13" s="10"/>
    </row>
    <row r="14" spans="2:23" x14ac:dyDescent="0.25">
      <c r="B14" s="29"/>
      <c r="C14" t="s">
        <v>31</v>
      </c>
      <c r="D14">
        <v>-55</v>
      </c>
      <c r="E14" s="10"/>
      <c r="F14" t="s">
        <v>31</v>
      </c>
      <c r="G14">
        <v>-56</v>
      </c>
      <c r="H14" s="10"/>
      <c r="I14" t="s">
        <v>47</v>
      </c>
      <c r="J14">
        <v>-58</v>
      </c>
      <c r="K14" s="10"/>
      <c r="L14" t="s">
        <v>33</v>
      </c>
      <c r="M14">
        <v>-62</v>
      </c>
      <c r="N14" s="10"/>
      <c r="O14" t="s">
        <v>33</v>
      </c>
      <c r="P14">
        <v>-66</v>
      </c>
      <c r="Q14" s="10"/>
      <c r="R14" t="s">
        <v>33</v>
      </c>
      <c r="S14">
        <v>-66</v>
      </c>
      <c r="T14" s="10"/>
      <c r="U14" t="s">
        <v>30</v>
      </c>
      <c r="V14">
        <v>-67</v>
      </c>
      <c r="W14" s="10"/>
    </row>
    <row r="15" spans="2:23" x14ac:dyDescent="0.25">
      <c r="B15" s="29"/>
      <c r="C15" t="s">
        <v>44</v>
      </c>
      <c r="D15">
        <v>-55</v>
      </c>
      <c r="E15" s="10"/>
      <c r="F15" t="s">
        <v>2</v>
      </c>
      <c r="G15">
        <v>-55</v>
      </c>
      <c r="H15" s="10"/>
      <c r="I15" t="s">
        <v>2</v>
      </c>
      <c r="J15">
        <v>-56</v>
      </c>
      <c r="K15" s="10"/>
      <c r="L15" t="s">
        <v>2</v>
      </c>
      <c r="M15">
        <v>-61</v>
      </c>
      <c r="N15" s="10"/>
      <c r="O15" t="s">
        <v>41</v>
      </c>
      <c r="P15">
        <v>-66</v>
      </c>
      <c r="Q15" s="10"/>
      <c r="R15" t="s">
        <v>41</v>
      </c>
      <c r="S15">
        <v>-66</v>
      </c>
      <c r="T15" s="10"/>
      <c r="U15" t="s">
        <v>2</v>
      </c>
      <c r="V15">
        <v>-66</v>
      </c>
      <c r="W15" s="10"/>
    </row>
    <row r="16" spans="2:23" x14ac:dyDescent="0.25">
      <c r="B16" s="29"/>
      <c r="C16" t="s">
        <v>2</v>
      </c>
      <c r="D16">
        <v>-53</v>
      </c>
      <c r="E16" s="10"/>
      <c r="F16" t="s">
        <v>44</v>
      </c>
      <c r="G16">
        <v>-55</v>
      </c>
      <c r="H16" s="10"/>
      <c r="I16" t="s">
        <v>33</v>
      </c>
      <c r="J16">
        <v>-56</v>
      </c>
      <c r="K16" s="10"/>
      <c r="L16" t="s">
        <v>4</v>
      </c>
      <c r="M16">
        <v>-60</v>
      </c>
      <c r="N16" s="10"/>
      <c r="O16" t="s">
        <v>44</v>
      </c>
      <c r="P16">
        <v>-66</v>
      </c>
      <c r="Q16" s="10"/>
      <c r="R16" t="s">
        <v>44</v>
      </c>
      <c r="S16">
        <v>-66</v>
      </c>
      <c r="T16" s="10"/>
      <c r="U16" t="s">
        <v>33</v>
      </c>
      <c r="V16">
        <v>-66</v>
      </c>
      <c r="W16" s="10"/>
    </row>
    <row r="17" spans="2:23" x14ac:dyDescent="0.25">
      <c r="B17" s="29"/>
      <c r="C17" t="s">
        <v>4</v>
      </c>
      <c r="D17">
        <v>-53</v>
      </c>
      <c r="E17" s="10"/>
      <c r="F17" t="s">
        <v>4</v>
      </c>
      <c r="G17">
        <v>-53</v>
      </c>
      <c r="H17" s="10"/>
      <c r="I17" t="s">
        <v>4</v>
      </c>
      <c r="J17">
        <v>-55</v>
      </c>
      <c r="K17" s="10"/>
      <c r="L17" t="s">
        <v>31</v>
      </c>
      <c r="M17">
        <v>-60</v>
      </c>
      <c r="N17" s="10"/>
      <c r="O17" t="s">
        <v>2</v>
      </c>
      <c r="P17">
        <v>-65</v>
      </c>
      <c r="Q17" s="10"/>
      <c r="R17" t="s">
        <v>4</v>
      </c>
      <c r="S17">
        <v>-65</v>
      </c>
      <c r="T17" s="10"/>
      <c r="U17" t="s">
        <v>41</v>
      </c>
      <c r="V17">
        <v>-66</v>
      </c>
      <c r="W17" s="10"/>
    </row>
    <row r="18" spans="2:23" x14ac:dyDescent="0.25">
      <c r="B18" s="29"/>
      <c r="C18" t="s">
        <v>33</v>
      </c>
      <c r="D18">
        <v>-53</v>
      </c>
      <c r="E18" s="10"/>
      <c r="F18" t="s">
        <v>33</v>
      </c>
      <c r="G18">
        <v>-53</v>
      </c>
      <c r="H18" s="10"/>
      <c r="I18" t="s">
        <v>41</v>
      </c>
      <c r="J18">
        <v>-55</v>
      </c>
      <c r="K18" s="10"/>
      <c r="L18" t="s">
        <v>41</v>
      </c>
      <c r="M18">
        <v>-60</v>
      </c>
      <c r="N18" s="10"/>
      <c r="O18" t="s">
        <v>43</v>
      </c>
      <c r="P18">
        <v>-64</v>
      </c>
      <c r="Q18" s="10"/>
      <c r="R18" t="s">
        <v>43</v>
      </c>
      <c r="S18">
        <v>-65</v>
      </c>
      <c r="T18" s="10"/>
      <c r="U18" t="s">
        <v>44</v>
      </c>
      <c r="V18">
        <v>-66</v>
      </c>
      <c r="W18" s="10"/>
    </row>
    <row r="19" spans="2:23" x14ac:dyDescent="0.25">
      <c r="B19" s="29"/>
      <c r="C19" t="s">
        <v>41</v>
      </c>
      <c r="D19">
        <v>-53</v>
      </c>
      <c r="E19" s="10"/>
      <c r="F19" t="s">
        <v>41</v>
      </c>
      <c r="G19">
        <v>-53</v>
      </c>
      <c r="H19" s="10"/>
      <c r="I19" t="s">
        <v>44</v>
      </c>
      <c r="J19">
        <v>-55</v>
      </c>
      <c r="K19" s="10"/>
      <c r="L19" t="s">
        <v>44</v>
      </c>
      <c r="M19">
        <v>-59</v>
      </c>
      <c r="N19" s="10"/>
      <c r="O19" t="s">
        <v>4</v>
      </c>
      <c r="P19">
        <v>-63</v>
      </c>
      <c r="Q19" s="10"/>
      <c r="R19" t="s">
        <v>2</v>
      </c>
      <c r="S19">
        <v>-64</v>
      </c>
      <c r="T19" s="10"/>
      <c r="U19" t="s">
        <v>4</v>
      </c>
      <c r="V19">
        <v>-65</v>
      </c>
      <c r="W19" s="10"/>
    </row>
    <row r="20" spans="2:23" x14ac:dyDescent="0.25">
      <c r="B20" s="29"/>
      <c r="C20" t="s">
        <v>43</v>
      </c>
      <c r="D20">
        <v>-52</v>
      </c>
      <c r="E20" s="10"/>
      <c r="F20" t="s">
        <v>43</v>
      </c>
      <c r="G20">
        <v>-52</v>
      </c>
      <c r="H20" s="10"/>
      <c r="I20" t="s">
        <v>46</v>
      </c>
      <c r="J20">
        <v>-53</v>
      </c>
      <c r="K20" s="10"/>
      <c r="L20" t="s">
        <v>46</v>
      </c>
      <c r="M20">
        <v>-59</v>
      </c>
      <c r="N20" s="10"/>
      <c r="O20" t="s">
        <v>31</v>
      </c>
      <c r="P20">
        <v>-63</v>
      </c>
      <c r="Q20" s="10"/>
      <c r="R20" t="s">
        <v>46</v>
      </c>
      <c r="S20">
        <v>-62</v>
      </c>
      <c r="T20" s="10"/>
      <c r="U20" t="s">
        <v>46</v>
      </c>
      <c r="V20">
        <v>-65</v>
      </c>
      <c r="W20" s="10"/>
    </row>
    <row r="21" spans="2:23" x14ac:dyDescent="0.25">
      <c r="B21" s="29"/>
      <c r="C21" t="s">
        <v>46</v>
      </c>
      <c r="D21">
        <v>-52</v>
      </c>
      <c r="E21" s="10"/>
      <c r="F21" t="s">
        <v>46</v>
      </c>
      <c r="G21">
        <v>-52</v>
      </c>
      <c r="H21" s="10"/>
      <c r="I21" t="s">
        <v>43</v>
      </c>
      <c r="J21">
        <v>-51</v>
      </c>
      <c r="K21" s="10"/>
      <c r="L21" t="s">
        <v>43</v>
      </c>
      <c r="M21">
        <v>-58</v>
      </c>
      <c r="N21" s="10"/>
      <c r="O21" t="s">
        <v>46</v>
      </c>
      <c r="P21">
        <v>-63</v>
      </c>
      <c r="Q21" s="10"/>
      <c r="R21" t="s">
        <v>31</v>
      </c>
      <c r="S21">
        <v>-61</v>
      </c>
      <c r="T21" s="10"/>
      <c r="U21" t="s">
        <v>29</v>
      </c>
      <c r="V21">
        <v>-61</v>
      </c>
      <c r="W21" s="10"/>
    </row>
    <row r="22" spans="2:23" x14ac:dyDescent="0.25">
      <c r="B22" s="29"/>
      <c r="C22" t="s">
        <v>1</v>
      </c>
      <c r="D22">
        <v>-45</v>
      </c>
      <c r="E22" s="10"/>
      <c r="F22" t="s">
        <v>1</v>
      </c>
      <c r="G22">
        <v>-45</v>
      </c>
      <c r="H22" s="10"/>
      <c r="I22" t="s">
        <v>1</v>
      </c>
      <c r="J22">
        <v>-49</v>
      </c>
      <c r="K22" s="10"/>
      <c r="L22" t="s">
        <v>1</v>
      </c>
      <c r="M22">
        <v>-56</v>
      </c>
      <c r="N22" s="10"/>
      <c r="O22" t="s">
        <v>1</v>
      </c>
      <c r="P22">
        <v>-57</v>
      </c>
      <c r="Q22" s="10"/>
      <c r="R22" t="s">
        <v>29</v>
      </c>
      <c r="S22">
        <v>-59</v>
      </c>
      <c r="T22" s="10"/>
      <c r="U22" t="s">
        <v>31</v>
      </c>
      <c r="V22">
        <v>-61</v>
      </c>
      <c r="W22" s="10"/>
    </row>
    <row r="23" spans="2:23" x14ac:dyDescent="0.25">
      <c r="B23" s="29"/>
      <c r="C23" s="21" t="s">
        <v>29</v>
      </c>
      <c r="D23">
        <v>-45</v>
      </c>
      <c r="E23" s="10"/>
      <c r="F23" t="s">
        <v>29</v>
      </c>
      <c r="G23">
        <v>-45</v>
      </c>
      <c r="H23" s="10"/>
      <c r="I23" t="s">
        <v>5</v>
      </c>
      <c r="J23">
        <v>-47</v>
      </c>
      <c r="K23" s="10"/>
      <c r="L23" t="s">
        <v>5</v>
      </c>
      <c r="M23">
        <v>-55</v>
      </c>
      <c r="N23" s="10"/>
      <c r="O23" t="s">
        <v>29</v>
      </c>
      <c r="P23">
        <v>-56</v>
      </c>
      <c r="Q23" s="10"/>
      <c r="R23" t="s">
        <v>1</v>
      </c>
      <c r="S23">
        <v>-57</v>
      </c>
      <c r="T23" s="10"/>
      <c r="U23" t="s">
        <v>1</v>
      </c>
      <c r="V23">
        <v>-58</v>
      </c>
      <c r="W23" s="10"/>
    </row>
    <row r="24" spans="2:23" x14ac:dyDescent="0.25">
      <c r="B24" s="30"/>
      <c r="C24" s="22" t="s">
        <v>5</v>
      </c>
      <c r="D24" s="23">
        <v>-44</v>
      </c>
      <c r="E24" s="24"/>
      <c r="F24" s="23" t="s">
        <v>5</v>
      </c>
      <c r="G24" s="23">
        <v>-44</v>
      </c>
      <c r="H24" s="24"/>
      <c r="I24" s="23" t="s">
        <v>29</v>
      </c>
      <c r="J24" s="23">
        <v>-45</v>
      </c>
      <c r="K24" s="24"/>
      <c r="L24" s="23" t="s">
        <v>29</v>
      </c>
      <c r="M24" s="23">
        <v>-52</v>
      </c>
      <c r="N24" s="24"/>
      <c r="O24" s="23" t="s">
        <v>5</v>
      </c>
      <c r="P24" s="23">
        <v>-55</v>
      </c>
      <c r="Q24" s="24"/>
      <c r="R24" s="23" t="s">
        <v>5</v>
      </c>
      <c r="S24" s="23">
        <v>-57</v>
      </c>
      <c r="T24" s="24"/>
      <c r="U24" s="23" t="s">
        <v>5</v>
      </c>
      <c r="V24" s="23">
        <v>-58</v>
      </c>
      <c r="W24" s="24"/>
    </row>
    <row r="25" spans="2:23" x14ac:dyDescent="0.25">
      <c r="B25" s="25"/>
      <c r="C25" s="1"/>
    </row>
    <row r="26" spans="2:23" x14ac:dyDescent="0.25">
      <c r="B26" s="18"/>
      <c r="C26" s="31" t="s">
        <v>65</v>
      </c>
      <c r="D26" s="31"/>
      <c r="E26" s="19"/>
      <c r="F26" s="31" t="s">
        <v>66</v>
      </c>
      <c r="G26" s="31"/>
      <c r="H26" s="19"/>
      <c r="I26" s="31" t="s">
        <v>67</v>
      </c>
      <c r="J26" s="31"/>
      <c r="K26" s="19"/>
      <c r="L26" s="31" t="s">
        <v>68</v>
      </c>
      <c r="M26" s="31"/>
      <c r="N26" s="19"/>
      <c r="O26" s="31" t="s">
        <v>69</v>
      </c>
      <c r="P26" s="31"/>
      <c r="Q26" s="19"/>
      <c r="R26" s="31" t="s">
        <v>70</v>
      </c>
      <c r="S26" s="31"/>
      <c r="T26" s="19"/>
      <c r="U26" s="31" t="s">
        <v>72</v>
      </c>
      <c r="V26" s="32"/>
      <c r="W26" s="20"/>
    </row>
    <row r="27" spans="2:23" x14ac:dyDescent="0.25">
      <c r="B27" s="28" t="s">
        <v>73</v>
      </c>
      <c r="C27" t="s">
        <v>3</v>
      </c>
      <c r="D27">
        <v>-55</v>
      </c>
      <c r="E27" s="10"/>
      <c r="F27" s="1" t="s">
        <v>3</v>
      </c>
      <c r="G27">
        <v>-55</v>
      </c>
      <c r="H27" s="10"/>
      <c r="I27" s="1" t="s">
        <v>3</v>
      </c>
      <c r="J27">
        <v>-55</v>
      </c>
      <c r="K27" s="10"/>
      <c r="L27" t="s">
        <v>3</v>
      </c>
      <c r="M27">
        <v>-56</v>
      </c>
      <c r="N27" s="10"/>
      <c r="O27" t="s">
        <v>3</v>
      </c>
      <c r="P27">
        <v>-64</v>
      </c>
      <c r="Q27" s="10"/>
      <c r="R27" t="s">
        <v>3</v>
      </c>
      <c r="S27">
        <v>-66</v>
      </c>
      <c r="T27" s="10"/>
      <c r="U27" t="s">
        <v>3</v>
      </c>
      <c r="V27">
        <v>-70</v>
      </c>
      <c r="W27" s="10"/>
    </row>
    <row r="28" spans="2:23" x14ac:dyDescent="0.25">
      <c r="B28" s="29"/>
      <c r="C28" t="s">
        <v>7</v>
      </c>
      <c r="D28">
        <v>-52</v>
      </c>
      <c r="E28" s="10"/>
      <c r="F28" s="1" t="s">
        <v>7</v>
      </c>
      <c r="G28">
        <v>-52</v>
      </c>
      <c r="H28" s="10"/>
      <c r="I28" t="s">
        <v>32</v>
      </c>
      <c r="J28">
        <v>-52</v>
      </c>
      <c r="K28" s="10"/>
      <c r="L28" s="1" t="s">
        <v>32</v>
      </c>
      <c r="M28">
        <v>-54</v>
      </c>
      <c r="N28" s="10"/>
      <c r="O28" t="s">
        <v>34</v>
      </c>
      <c r="P28">
        <v>-62</v>
      </c>
      <c r="Q28" s="10"/>
      <c r="R28" t="s">
        <v>32</v>
      </c>
      <c r="S28">
        <v>-64</v>
      </c>
      <c r="T28" s="10"/>
      <c r="U28" t="s">
        <v>34</v>
      </c>
      <c r="V28">
        <v>-66</v>
      </c>
      <c r="W28" s="10"/>
    </row>
    <row r="29" spans="2:23" x14ac:dyDescent="0.25">
      <c r="B29" s="29"/>
      <c r="C29" t="s">
        <v>32</v>
      </c>
      <c r="D29">
        <v>-51</v>
      </c>
      <c r="E29" s="10"/>
      <c r="F29" t="s">
        <v>32</v>
      </c>
      <c r="G29">
        <v>-51</v>
      </c>
      <c r="H29" s="10"/>
      <c r="I29" t="s">
        <v>7</v>
      </c>
      <c r="J29">
        <v>-51</v>
      </c>
      <c r="K29" s="10"/>
      <c r="L29" t="s">
        <v>45</v>
      </c>
      <c r="M29">
        <v>-54</v>
      </c>
      <c r="N29" s="10"/>
      <c r="O29" s="1" t="s">
        <v>42</v>
      </c>
      <c r="P29">
        <v>-62</v>
      </c>
      <c r="Q29" s="10"/>
      <c r="R29" t="s">
        <v>34</v>
      </c>
      <c r="S29">
        <v>-61</v>
      </c>
      <c r="T29" s="10"/>
      <c r="U29" t="s">
        <v>42</v>
      </c>
      <c r="V29">
        <v>-66</v>
      </c>
      <c r="W29" s="10"/>
    </row>
    <row r="30" spans="2:23" x14ac:dyDescent="0.25">
      <c r="B30" s="29"/>
      <c r="C30" t="s">
        <v>34</v>
      </c>
      <c r="D30">
        <v>-51</v>
      </c>
      <c r="E30" s="10"/>
      <c r="F30" t="s">
        <v>34</v>
      </c>
      <c r="G30">
        <v>-51</v>
      </c>
      <c r="H30" s="10"/>
      <c r="I30" t="s">
        <v>45</v>
      </c>
      <c r="J30">
        <v>-51</v>
      </c>
      <c r="K30" s="10"/>
      <c r="L30" t="s">
        <v>34</v>
      </c>
      <c r="M30">
        <v>-53</v>
      </c>
      <c r="N30" s="10"/>
      <c r="O30" t="s">
        <v>45</v>
      </c>
      <c r="P30">
        <v>-62</v>
      </c>
      <c r="Q30" s="10"/>
      <c r="R30" s="1" t="s">
        <v>42</v>
      </c>
      <c r="S30">
        <v>-61</v>
      </c>
      <c r="T30" s="10"/>
      <c r="U30" t="s">
        <v>45</v>
      </c>
      <c r="V30">
        <v>-66</v>
      </c>
      <c r="W30" s="10"/>
    </row>
    <row r="31" spans="2:23" x14ac:dyDescent="0.25">
      <c r="B31" s="29"/>
      <c r="C31" t="s">
        <v>42</v>
      </c>
      <c r="D31">
        <v>-51</v>
      </c>
      <c r="E31" s="10"/>
      <c r="F31" t="s">
        <v>42</v>
      </c>
      <c r="G31">
        <v>-51</v>
      </c>
      <c r="H31" s="10"/>
      <c r="I31" t="s">
        <v>34</v>
      </c>
      <c r="J31">
        <v>-50</v>
      </c>
      <c r="K31" s="10"/>
      <c r="L31" t="s">
        <v>42</v>
      </c>
      <c r="M31">
        <v>-53</v>
      </c>
      <c r="N31" s="10"/>
      <c r="O31" t="s">
        <v>7</v>
      </c>
      <c r="P31">
        <v>-60</v>
      </c>
      <c r="Q31" s="10"/>
      <c r="R31" t="s">
        <v>45</v>
      </c>
      <c r="S31">
        <v>-61</v>
      </c>
      <c r="T31" s="10"/>
      <c r="U31" s="1" t="s">
        <v>32</v>
      </c>
      <c r="V31">
        <v>-64</v>
      </c>
      <c r="W31" s="10"/>
    </row>
    <row r="32" spans="2:23" x14ac:dyDescent="0.25">
      <c r="B32" s="29"/>
      <c r="C32" t="s">
        <v>45</v>
      </c>
      <c r="D32">
        <v>-51</v>
      </c>
      <c r="E32" s="10"/>
      <c r="F32" t="s">
        <v>45</v>
      </c>
      <c r="G32">
        <v>-51</v>
      </c>
      <c r="H32" s="10"/>
      <c r="I32" t="s">
        <v>42</v>
      </c>
      <c r="J32">
        <v>-50</v>
      </c>
      <c r="K32" s="10"/>
      <c r="L32" t="s">
        <v>0</v>
      </c>
      <c r="M32">
        <v>-52</v>
      </c>
      <c r="N32" s="10"/>
      <c r="O32" t="s">
        <v>32</v>
      </c>
      <c r="P32">
        <v>-59</v>
      </c>
      <c r="Q32" s="10"/>
      <c r="R32" t="s">
        <v>0</v>
      </c>
      <c r="S32">
        <v>-59</v>
      </c>
      <c r="T32" s="10"/>
      <c r="U32" t="s">
        <v>0</v>
      </c>
      <c r="V32">
        <v>-61</v>
      </c>
      <c r="W32" s="10"/>
    </row>
    <row r="33" spans="2:23" x14ac:dyDescent="0.25">
      <c r="B33" s="29"/>
      <c r="C33" t="s">
        <v>0</v>
      </c>
      <c r="D33">
        <v>-48</v>
      </c>
      <c r="E33" s="10"/>
      <c r="F33" t="s">
        <v>0</v>
      </c>
      <c r="G33">
        <v>-48</v>
      </c>
      <c r="H33" s="10"/>
      <c r="I33" t="s">
        <v>0</v>
      </c>
      <c r="J33">
        <v>-48</v>
      </c>
      <c r="K33" s="10"/>
      <c r="L33" t="s">
        <v>6</v>
      </c>
      <c r="M33">
        <v>-52</v>
      </c>
      <c r="N33" s="10"/>
      <c r="O33" t="s">
        <v>47</v>
      </c>
      <c r="P33">
        <v>-59</v>
      </c>
      <c r="Q33" s="10"/>
      <c r="R33" t="s">
        <v>6</v>
      </c>
      <c r="S33">
        <v>-59</v>
      </c>
      <c r="T33" s="10"/>
      <c r="U33" t="s">
        <v>6</v>
      </c>
      <c r="V33">
        <v>-61</v>
      </c>
      <c r="W33" s="10"/>
    </row>
    <row r="34" spans="2:23" x14ac:dyDescent="0.25">
      <c r="B34" s="29"/>
      <c r="C34" t="s">
        <v>6</v>
      </c>
      <c r="D34">
        <v>-48</v>
      </c>
      <c r="E34" s="10"/>
      <c r="F34" t="s">
        <v>6</v>
      </c>
      <c r="G34">
        <v>-48</v>
      </c>
      <c r="H34" s="10"/>
      <c r="I34" t="s">
        <v>6</v>
      </c>
      <c r="J34">
        <v>-48</v>
      </c>
      <c r="K34" s="10"/>
      <c r="L34" t="s">
        <v>30</v>
      </c>
      <c r="M34">
        <v>-51</v>
      </c>
      <c r="N34" s="10"/>
      <c r="O34" t="s">
        <v>0</v>
      </c>
      <c r="P34">
        <v>-58</v>
      </c>
      <c r="Q34" s="10"/>
      <c r="R34" t="s">
        <v>7</v>
      </c>
      <c r="S34">
        <v>-59</v>
      </c>
      <c r="T34" s="10"/>
      <c r="U34" t="s">
        <v>7</v>
      </c>
      <c r="V34">
        <v>-60</v>
      </c>
      <c r="W34" s="10"/>
    </row>
    <row r="35" spans="2:23" x14ac:dyDescent="0.25">
      <c r="B35" s="29"/>
      <c r="C35" t="s">
        <v>35</v>
      </c>
      <c r="D35">
        <v>-48</v>
      </c>
      <c r="E35" s="10"/>
      <c r="F35" t="s">
        <v>35</v>
      </c>
      <c r="G35">
        <v>-48</v>
      </c>
      <c r="H35" s="10"/>
      <c r="I35" t="s">
        <v>35</v>
      </c>
      <c r="J35">
        <v>-48</v>
      </c>
      <c r="K35" s="10"/>
      <c r="L35" t="s">
        <v>7</v>
      </c>
      <c r="M35">
        <v>-50</v>
      </c>
      <c r="N35" s="10"/>
      <c r="O35" t="s">
        <v>6</v>
      </c>
      <c r="P35">
        <v>-58</v>
      </c>
      <c r="Q35" s="10"/>
      <c r="R35" t="s">
        <v>30</v>
      </c>
      <c r="S35">
        <v>-57</v>
      </c>
      <c r="T35" s="10"/>
      <c r="U35" t="s">
        <v>47</v>
      </c>
      <c r="V35">
        <v>-59</v>
      </c>
      <c r="W35" s="10"/>
    </row>
    <row r="36" spans="2:23" x14ac:dyDescent="0.25">
      <c r="B36" s="29"/>
      <c r="C36" t="s">
        <v>47</v>
      </c>
      <c r="D36">
        <v>-48</v>
      </c>
      <c r="E36" s="10"/>
      <c r="F36" t="s">
        <v>47</v>
      </c>
      <c r="G36">
        <v>-48</v>
      </c>
      <c r="H36" s="10"/>
      <c r="I36" t="s">
        <v>30</v>
      </c>
      <c r="J36">
        <v>-47</v>
      </c>
      <c r="K36" s="10"/>
      <c r="L36" t="s">
        <v>35</v>
      </c>
      <c r="M36">
        <v>-50</v>
      </c>
      <c r="N36" s="10"/>
      <c r="O36" t="s">
        <v>30</v>
      </c>
      <c r="P36">
        <v>-58</v>
      </c>
      <c r="Q36" s="10"/>
      <c r="R36" t="s">
        <v>47</v>
      </c>
      <c r="S36">
        <v>-57</v>
      </c>
      <c r="T36" s="10"/>
      <c r="U36" t="s">
        <v>30</v>
      </c>
      <c r="V36">
        <v>-58</v>
      </c>
      <c r="W36" s="10"/>
    </row>
    <row r="37" spans="2:23" x14ac:dyDescent="0.25">
      <c r="B37" s="29"/>
      <c r="C37" t="s">
        <v>30</v>
      </c>
      <c r="D37">
        <v>-47</v>
      </c>
      <c r="E37" s="10"/>
      <c r="F37" t="s">
        <v>30</v>
      </c>
      <c r="G37">
        <v>-47</v>
      </c>
      <c r="H37" s="10"/>
      <c r="I37" t="s">
        <v>47</v>
      </c>
      <c r="J37">
        <v>-47</v>
      </c>
      <c r="K37" s="10"/>
      <c r="L37" t="s">
        <v>47</v>
      </c>
      <c r="M37">
        <v>-50</v>
      </c>
      <c r="N37" s="10"/>
      <c r="O37" t="s">
        <v>35</v>
      </c>
      <c r="P37">
        <v>-58</v>
      </c>
      <c r="Q37" s="10"/>
      <c r="R37" t="s">
        <v>35</v>
      </c>
      <c r="S37">
        <v>-55</v>
      </c>
      <c r="T37" s="10"/>
      <c r="U37" t="s">
        <v>35</v>
      </c>
      <c r="V37">
        <v>-58</v>
      </c>
      <c r="W37" s="10"/>
    </row>
    <row r="38" spans="2:23" x14ac:dyDescent="0.25">
      <c r="B38" s="29"/>
      <c r="C38" t="s">
        <v>33</v>
      </c>
      <c r="D38">
        <v>-45</v>
      </c>
      <c r="E38" s="10"/>
      <c r="F38" t="s">
        <v>33</v>
      </c>
      <c r="G38">
        <v>-45</v>
      </c>
      <c r="H38" s="10"/>
      <c r="I38" t="s">
        <v>33</v>
      </c>
      <c r="J38">
        <v>-45</v>
      </c>
      <c r="K38" s="10"/>
      <c r="L38" t="s">
        <v>44</v>
      </c>
      <c r="M38">
        <v>-49</v>
      </c>
      <c r="N38" s="10"/>
      <c r="O38" t="s">
        <v>44</v>
      </c>
      <c r="P38">
        <v>-55</v>
      </c>
      <c r="Q38" s="10"/>
      <c r="R38" t="s">
        <v>44</v>
      </c>
      <c r="S38">
        <v>-55</v>
      </c>
      <c r="T38" s="10"/>
      <c r="U38" t="s">
        <v>31</v>
      </c>
      <c r="V38">
        <v>-55</v>
      </c>
      <c r="W38" s="10"/>
    </row>
    <row r="39" spans="2:23" x14ac:dyDescent="0.25">
      <c r="B39" s="29"/>
      <c r="C39" t="s">
        <v>44</v>
      </c>
      <c r="D39">
        <v>-45</v>
      </c>
      <c r="E39" s="10"/>
      <c r="F39" t="s">
        <v>44</v>
      </c>
      <c r="G39">
        <v>-45</v>
      </c>
      <c r="H39" s="10"/>
      <c r="I39" t="s">
        <v>44</v>
      </c>
      <c r="J39">
        <v>-45</v>
      </c>
      <c r="K39" s="10"/>
      <c r="L39" t="s">
        <v>33</v>
      </c>
      <c r="M39">
        <v>-48</v>
      </c>
      <c r="N39" s="10"/>
      <c r="O39" t="s">
        <v>33</v>
      </c>
      <c r="P39">
        <v>-54</v>
      </c>
      <c r="Q39" s="10"/>
      <c r="R39" t="s">
        <v>33</v>
      </c>
      <c r="S39">
        <v>-53</v>
      </c>
      <c r="T39" s="10"/>
      <c r="U39" t="s">
        <v>44</v>
      </c>
      <c r="V39">
        <v>-55</v>
      </c>
      <c r="W39" s="10"/>
    </row>
    <row r="40" spans="2:23" x14ac:dyDescent="0.25">
      <c r="B40" s="29"/>
      <c r="C40" t="s">
        <v>4</v>
      </c>
      <c r="D40">
        <v>-42</v>
      </c>
      <c r="E40" s="10"/>
      <c r="F40" t="s">
        <v>4</v>
      </c>
      <c r="G40">
        <v>-42</v>
      </c>
      <c r="H40" s="10"/>
      <c r="I40" t="s">
        <v>46</v>
      </c>
      <c r="J40">
        <v>-43</v>
      </c>
      <c r="K40" s="10"/>
      <c r="L40" t="s">
        <v>4</v>
      </c>
      <c r="M40">
        <v>-47</v>
      </c>
      <c r="N40" s="10"/>
      <c r="O40" t="s">
        <v>41</v>
      </c>
      <c r="P40">
        <v>-52</v>
      </c>
      <c r="Q40" s="10"/>
      <c r="R40" t="s">
        <v>2</v>
      </c>
      <c r="S40">
        <v>-51</v>
      </c>
      <c r="T40" s="10"/>
      <c r="U40" t="s">
        <v>4</v>
      </c>
      <c r="V40">
        <v>-53</v>
      </c>
      <c r="W40" s="10"/>
    </row>
    <row r="41" spans="2:23" x14ac:dyDescent="0.25">
      <c r="B41" s="29"/>
      <c r="C41" t="s">
        <v>46</v>
      </c>
      <c r="D41">
        <v>-42</v>
      </c>
      <c r="E41" s="10"/>
      <c r="F41" t="s">
        <v>46</v>
      </c>
      <c r="G41">
        <v>-42</v>
      </c>
      <c r="H41" s="10"/>
      <c r="I41" t="s">
        <v>41</v>
      </c>
      <c r="J41">
        <v>-42</v>
      </c>
      <c r="K41" s="10"/>
      <c r="L41" t="s">
        <v>31</v>
      </c>
      <c r="M41">
        <v>-47</v>
      </c>
      <c r="N41" s="10"/>
      <c r="O41" t="s">
        <v>46</v>
      </c>
      <c r="P41">
        <v>-52</v>
      </c>
      <c r="Q41" s="10"/>
      <c r="R41" t="s">
        <v>31</v>
      </c>
      <c r="S41">
        <v>-51</v>
      </c>
      <c r="T41" s="10"/>
      <c r="U41" t="s">
        <v>33</v>
      </c>
      <c r="V41">
        <v>-53</v>
      </c>
      <c r="W41" s="10"/>
    </row>
    <row r="42" spans="2:23" x14ac:dyDescent="0.25">
      <c r="B42" s="29"/>
      <c r="C42" t="s">
        <v>41</v>
      </c>
      <c r="D42">
        <v>-41</v>
      </c>
      <c r="E42" s="10"/>
      <c r="F42" t="s">
        <v>41</v>
      </c>
      <c r="G42">
        <v>-41</v>
      </c>
      <c r="H42" s="10"/>
      <c r="I42" t="s">
        <v>43</v>
      </c>
      <c r="J42">
        <v>-42</v>
      </c>
      <c r="K42" s="10"/>
      <c r="L42" t="s">
        <v>46</v>
      </c>
      <c r="M42">
        <v>-47</v>
      </c>
      <c r="N42" s="10"/>
      <c r="O42" t="s">
        <v>43</v>
      </c>
      <c r="P42">
        <v>-51</v>
      </c>
      <c r="Q42" s="10"/>
      <c r="R42" t="s">
        <v>4</v>
      </c>
      <c r="S42">
        <v>-50</v>
      </c>
      <c r="T42" s="10"/>
      <c r="U42" t="s">
        <v>41</v>
      </c>
      <c r="V42">
        <v>-53</v>
      </c>
      <c r="W42" s="10"/>
    </row>
    <row r="43" spans="2:23" x14ac:dyDescent="0.25">
      <c r="B43" s="29"/>
      <c r="C43" t="s">
        <v>43</v>
      </c>
      <c r="D43">
        <v>-41</v>
      </c>
      <c r="E43" s="10"/>
      <c r="F43" t="s">
        <v>43</v>
      </c>
      <c r="G43">
        <v>-41</v>
      </c>
      <c r="H43" s="10"/>
      <c r="I43" t="s">
        <v>2</v>
      </c>
      <c r="J43">
        <v>-41</v>
      </c>
      <c r="K43" s="10"/>
      <c r="L43" t="s">
        <v>2</v>
      </c>
      <c r="M43">
        <v>-46</v>
      </c>
      <c r="N43" s="10"/>
      <c r="O43" t="s">
        <v>2</v>
      </c>
      <c r="P43">
        <v>-49</v>
      </c>
      <c r="Q43" s="10"/>
      <c r="R43" t="s">
        <v>41</v>
      </c>
      <c r="S43">
        <v>-50</v>
      </c>
      <c r="T43" s="10"/>
      <c r="U43" t="s">
        <v>2</v>
      </c>
      <c r="V43">
        <v>-52</v>
      </c>
      <c r="W43" s="10"/>
    </row>
    <row r="44" spans="2:23" x14ac:dyDescent="0.25">
      <c r="B44" s="29"/>
      <c r="C44" t="s">
        <v>2</v>
      </c>
      <c r="D44">
        <v>-40</v>
      </c>
      <c r="E44" s="10"/>
      <c r="F44" t="s">
        <v>2</v>
      </c>
      <c r="G44">
        <v>-40</v>
      </c>
      <c r="H44" s="10"/>
      <c r="I44" t="s">
        <v>4</v>
      </c>
      <c r="J44">
        <v>-41</v>
      </c>
      <c r="K44" s="10"/>
      <c r="L44" t="s">
        <v>41</v>
      </c>
      <c r="M44">
        <v>-46</v>
      </c>
      <c r="N44" s="10"/>
      <c r="O44" t="s">
        <v>4</v>
      </c>
      <c r="P44">
        <v>-48</v>
      </c>
      <c r="Q44" s="10"/>
      <c r="R44" t="s">
        <v>43</v>
      </c>
      <c r="S44">
        <v>-49</v>
      </c>
      <c r="T44" s="10"/>
      <c r="U44" t="s">
        <v>43</v>
      </c>
      <c r="V44">
        <v>-51</v>
      </c>
      <c r="W44" s="10"/>
    </row>
    <row r="45" spans="2:23" x14ac:dyDescent="0.25">
      <c r="B45" s="29"/>
      <c r="C45" t="s">
        <v>1</v>
      </c>
      <c r="D45">
        <v>-38</v>
      </c>
      <c r="E45" s="10"/>
      <c r="F45" t="s">
        <v>1</v>
      </c>
      <c r="G45">
        <v>-38</v>
      </c>
      <c r="H45" s="10"/>
      <c r="I45" t="s">
        <v>1</v>
      </c>
      <c r="J45">
        <v>-39</v>
      </c>
      <c r="K45" s="10"/>
      <c r="L45" t="s">
        <v>43</v>
      </c>
      <c r="M45">
        <v>-45</v>
      </c>
      <c r="N45" s="10"/>
      <c r="O45" t="s">
        <v>1</v>
      </c>
      <c r="P45">
        <v>-46</v>
      </c>
      <c r="Q45" s="10"/>
      <c r="R45" t="s">
        <v>46</v>
      </c>
      <c r="S45">
        <v>-49</v>
      </c>
      <c r="T45" s="10"/>
      <c r="U45" t="s">
        <v>46</v>
      </c>
      <c r="V45">
        <v>-51</v>
      </c>
      <c r="W45" s="10"/>
    </row>
    <row r="46" spans="2:23" x14ac:dyDescent="0.25">
      <c r="B46" s="29"/>
      <c r="C46" t="s">
        <v>5</v>
      </c>
      <c r="D46">
        <v>-38</v>
      </c>
      <c r="E46" s="10"/>
      <c r="F46" t="s">
        <v>5</v>
      </c>
      <c r="G46">
        <v>-38</v>
      </c>
      <c r="H46" s="10"/>
      <c r="I46" t="s">
        <v>31</v>
      </c>
      <c r="J46">
        <v>-39</v>
      </c>
      <c r="K46" s="10"/>
      <c r="L46" t="s">
        <v>1</v>
      </c>
      <c r="M46">
        <v>-44</v>
      </c>
      <c r="N46" s="10"/>
      <c r="O46" t="s">
        <v>31</v>
      </c>
      <c r="P46">
        <v>-46</v>
      </c>
      <c r="Q46" s="10"/>
      <c r="R46" t="s">
        <v>1</v>
      </c>
      <c r="S46">
        <v>-45</v>
      </c>
      <c r="T46" s="10"/>
      <c r="U46" t="s">
        <v>1</v>
      </c>
      <c r="V46">
        <v>-45</v>
      </c>
      <c r="W46" s="10"/>
    </row>
    <row r="47" spans="2:23" x14ac:dyDescent="0.25">
      <c r="B47" s="29"/>
      <c r="C47" s="21" t="s">
        <v>31</v>
      </c>
      <c r="D47">
        <v>-36</v>
      </c>
      <c r="E47" s="10"/>
      <c r="F47" t="s">
        <v>31</v>
      </c>
      <c r="G47">
        <v>-36</v>
      </c>
      <c r="H47" s="10"/>
      <c r="I47" t="s">
        <v>5</v>
      </c>
      <c r="J47">
        <v>-38</v>
      </c>
      <c r="K47" s="10"/>
      <c r="L47" t="s">
        <v>5</v>
      </c>
      <c r="M47">
        <v>-42</v>
      </c>
      <c r="N47" s="10"/>
      <c r="O47" t="s">
        <v>5</v>
      </c>
      <c r="P47">
        <v>-42</v>
      </c>
      <c r="Q47" s="10"/>
      <c r="R47" t="s">
        <v>5</v>
      </c>
      <c r="S47">
        <v>-44</v>
      </c>
      <c r="T47" s="10"/>
      <c r="U47" t="s">
        <v>29</v>
      </c>
      <c r="V47">
        <v>-45</v>
      </c>
      <c r="W47" s="10"/>
    </row>
    <row r="48" spans="2:23" x14ac:dyDescent="0.25">
      <c r="B48" s="30"/>
      <c r="C48" s="22" t="s">
        <v>29</v>
      </c>
      <c r="D48" s="23">
        <v>-35</v>
      </c>
      <c r="E48" s="24"/>
      <c r="F48" s="23" t="s">
        <v>29</v>
      </c>
      <c r="G48" s="23">
        <v>-35</v>
      </c>
      <c r="H48" s="24"/>
      <c r="I48" s="23" t="s">
        <v>29</v>
      </c>
      <c r="J48" s="23">
        <v>-36</v>
      </c>
      <c r="K48" s="24"/>
      <c r="L48" s="23" t="s">
        <v>29</v>
      </c>
      <c r="M48" s="23">
        <v>-41</v>
      </c>
      <c r="N48" s="24"/>
      <c r="O48" s="23" t="s">
        <v>29</v>
      </c>
      <c r="P48" s="23">
        <v>-42</v>
      </c>
      <c r="Q48" s="24"/>
      <c r="R48" s="23" t="s">
        <v>29</v>
      </c>
      <c r="S48" s="23">
        <v>-42</v>
      </c>
      <c r="T48" s="24"/>
      <c r="U48" s="23" t="s">
        <v>5</v>
      </c>
      <c r="V48" s="23">
        <v>-44</v>
      </c>
      <c r="W48" s="24"/>
    </row>
    <row r="49" spans="2:23" x14ac:dyDescent="0.25">
      <c r="B49" s="25"/>
      <c r="C49" s="1"/>
    </row>
    <row r="50" spans="2:23" x14ac:dyDescent="0.25">
      <c r="B50" s="18"/>
      <c r="C50" s="31" t="s">
        <v>74</v>
      </c>
      <c r="D50" s="31"/>
      <c r="E50" s="19"/>
      <c r="F50" s="31" t="s">
        <v>75</v>
      </c>
      <c r="G50" s="31"/>
      <c r="H50" s="19"/>
      <c r="I50" s="31" t="s">
        <v>76</v>
      </c>
      <c r="J50" s="31"/>
      <c r="K50" s="19"/>
      <c r="L50" s="31" t="s">
        <v>64</v>
      </c>
      <c r="M50" s="31"/>
      <c r="N50" s="19"/>
      <c r="O50" s="31" t="s">
        <v>65</v>
      </c>
      <c r="P50" s="31"/>
      <c r="Q50" s="19"/>
      <c r="R50" s="31" t="s">
        <v>66</v>
      </c>
      <c r="S50" s="31"/>
      <c r="T50" s="19"/>
      <c r="U50" s="31" t="s">
        <v>67</v>
      </c>
      <c r="V50" s="32"/>
      <c r="W50" s="20"/>
    </row>
    <row r="51" spans="2:23" x14ac:dyDescent="0.25">
      <c r="B51" s="28" t="s">
        <v>77</v>
      </c>
      <c r="C51" t="s">
        <v>34</v>
      </c>
      <c r="D51">
        <v>-34</v>
      </c>
      <c r="E51" s="10"/>
      <c r="F51" t="s">
        <v>34</v>
      </c>
      <c r="G51">
        <v>-34</v>
      </c>
      <c r="H51" s="10"/>
      <c r="I51" s="1" t="s">
        <v>7</v>
      </c>
      <c r="J51">
        <v>-37</v>
      </c>
      <c r="K51" s="10"/>
      <c r="L51" t="s">
        <v>7</v>
      </c>
      <c r="M51">
        <v>-38</v>
      </c>
      <c r="N51" s="10"/>
      <c r="O51" t="s">
        <v>3</v>
      </c>
      <c r="P51">
        <v>-47</v>
      </c>
      <c r="Q51" s="10"/>
      <c r="R51" t="s">
        <v>3</v>
      </c>
      <c r="S51">
        <v>-49</v>
      </c>
      <c r="T51" s="10"/>
      <c r="U51" t="s">
        <v>3</v>
      </c>
      <c r="V51">
        <v>-55</v>
      </c>
      <c r="W51" s="10"/>
    </row>
    <row r="52" spans="2:23" x14ac:dyDescent="0.25">
      <c r="B52" s="29"/>
      <c r="C52" t="s">
        <v>42</v>
      </c>
      <c r="D52">
        <v>-34</v>
      </c>
      <c r="E52" s="10"/>
      <c r="F52" s="1" t="s">
        <v>42</v>
      </c>
      <c r="G52">
        <v>-34</v>
      </c>
      <c r="H52" s="10"/>
      <c r="I52" t="s">
        <v>30</v>
      </c>
      <c r="J52">
        <v>-37</v>
      </c>
      <c r="K52" s="10"/>
      <c r="L52" s="1" t="s">
        <v>30</v>
      </c>
      <c r="M52">
        <v>-38</v>
      </c>
      <c r="N52" s="10"/>
      <c r="O52" t="s">
        <v>7</v>
      </c>
      <c r="P52">
        <v>-47</v>
      </c>
      <c r="Q52" s="10"/>
      <c r="R52" t="s">
        <v>7</v>
      </c>
      <c r="S52">
        <v>-49</v>
      </c>
      <c r="T52" s="10"/>
      <c r="U52" t="s">
        <v>7</v>
      </c>
      <c r="V52">
        <v>-52</v>
      </c>
      <c r="W52" s="10"/>
    </row>
    <row r="53" spans="2:23" x14ac:dyDescent="0.25">
      <c r="B53" s="29"/>
      <c r="C53" t="s">
        <v>2</v>
      </c>
      <c r="D53">
        <v>-32</v>
      </c>
      <c r="E53" s="10"/>
      <c r="F53" t="s">
        <v>2</v>
      </c>
      <c r="G53">
        <v>-32</v>
      </c>
      <c r="H53" s="10"/>
      <c r="I53" t="s">
        <v>35</v>
      </c>
      <c r="J53">
        <v>-37</v>
      </c>
      <c r="K53" s="10"/>
      <c r="L53" t="s">
        <v>34</v>
      </c>
      <c r="M53">
        <v>-38</v>
      </c>
      <c r="N53" s="10"/>
      <c r="O53" s="1" t="s">
        <v>35</v>
      </c>
      <c r="P53">
        <v>-45</v>
      </c>
      <c r="Q53" s="10"/>
      <c r="R53" t="s">
        <v>32</v>
      </c>
      <c r="S53">
        <v>-46</v>
      </c>
      <c r="T53" s="10"/>
      <c r="U53" t="s">
        <v>32</v>
      </c>
      <c r="V53">
        <v>-51</v>
      </c>
      <c r="W53" s="10"/>
    </row>
    <row r="54" spans="2:23" x14ac:dyDescent="0.25">
      <c r="B54" s="29"/>
      <c r="C54" t="s">
        <v>3</v>
      </c>
      <c r="D54">
        <v>-32</v>
      </c>
      <c r="E54" s="10"/>
      <c r="F54" t="s">
        <v>3</v>
      </c>
      <c r="G54">
        <v>-32</v>
      </c>
      <c r="H54" s="10"/>
      <c r="I54" t="s">
        <v>2</v>
      </c>
      <c r="J54">
        <v>-36</v>
      </c>
      <c r="K54" s="10"/>
      <c r="L54" t="s">
        <v>35</v>
      </c>
      <c r="M54">
        <v>-38</v>
      </c>
      <c r="N54" s="10"/>
      <c r="O54" t="s">
        <v>30</v>
      </c>
      <c r="P54">
        <v>-44</v>
      </c>
      <c r="Q54" s="10"/>
      <c r="R54" s="1" t="s">
        <v>34</v>
      </c>
      <c r="S54">
        <v>-45</v>
      </c>
      <c r="T54" s="10"/>
      <c r="U54" t="s">
        <v>34</v>
      </c>
      <c r="V54">
        <v>-51</v>
      </c>
      <c r="W54" s="10"/>
    </row>
    <row r="55" spans="2:23" x14ac:dyDescent="0.25">
      <c r="B55" s="29"/>
      <c r="C55" t="s">
        <v>30</v>
      </c>
      <c r="D55">
        <v>-32</v>
      </c>
      <c r="E55" s="10"/>
      <c r="F55" t="s">
        <v>7</v>
      </c>
      <c r="G55">
        <v>-32</v>
      </c>
      <c r="H55" s="10"/>
      <c r="I55" t="s">
        <v>34</v>
      </c>
      <c r="J55">
        <v>-36</v>
      </c>
      <c r="K55" s="10"/>
      <c r="L55" t="s">
        <v>42</v>
      </c>
      <c r="M55">
        <v>-38</v>
      </c>
      <c r="N55" s="10"/>
      <c r="O55" t="s">
        <v>44</v>
      </c>
      <c r="P55">
        <v>-44</v>
      </c>
      <c r="Q55" s="10"/>
      <c r="R55" t="s">
        <v>35</v>
      </c>
      <c r="S55">
        <v>-45</v>
      </c>
      <c r="T55" s="10"/>
      <c r="U55" s="1" t="s">
        <v>42</v>
      </c>
      <c r="V55">
        <v>-51</v>
      </c>
      <c r="W55" s="10"/>
    </row>
    <row r="56" spans="2:23" x14ac:dyDescent="0.25">
      <c r="B56" s="29"/>
      <c r="C56" t="s">
        <v>35</v>
      </c>
      <c r="D56">
        <v>-32</v>
      </c>
      <c r="E56" s="10"/>
      <c r="F56" t="s">
        <v>30</v>
      </c>
      <c r="G56">
        <v>-32</v>
      </c>
      <c r="H56" s="10"/>
      <c r="I56" t="s">
        <v>42</v>
      </c>
      <c r="J56">
        <v>-36</v>
      </c>
      <c r="K56" s="10"/>
      <c r="L56" t="s">
        <v>2</v>
      </c>
      <c r="M56">
        <v>-37</v>
      </c>
      <c r="N56" s="10"/>
      <c r="O56" t="s">
        <v>32</v>
      </c>
      <c r="P56">
        <v>-43</v>
      </c>
      <c r="Q56" s="10"/>
      <c r="R56" t="s">
        <v>42</v>
      </c>
      <c r="S56">
        <v>-45</v>
      </c>
      <c r="T56" s="10"/>
      <c r="U56" t="s">
        <v>45</v>
      </c>
      <c r="V56">
        <v>-51</v>
      </c>
      <c r="W56" s="10"/>
    </row>
    <row r="57" spans="2:23" x14ac:dyDescent="0.25">
      <c r="B57" s="29"/>
      <c r="C57" t="s">
        <v>45</v>
      </c>
      <c r="D57">
        <v>-32</v>
      </c>
      <c r="E57" s="10"/>
      <c r="F57" t="s">
        <v>35</v>
      </c>
      <c r="G57">
        <v>-32</v>
      </c>
      <c r="H57" s="10"/>
      <c r="I57" t="s">
        <v>3</v>
      </c>
      <c r="J57">
        <v>-35</v>
      </c>
      <c r="K57" s="10"/>
      <c r="L57" t="s">
        <v>3</v>
      </c>
      <c r="M57">
        <v>-37</v>
      </c>
      <c r="N57" s="10"/>
      <c r="O57" t="s">
        <v>33</v>
      </c>
      <c r="P57">
        <v>-43</v>
      </c>
      <c r="Q57" s="10"/>
      <c r="R57" t="s">
        <v>45</v>
      </c>
      <c r="S57">
        <v>-45</v>
      </c>
      <c r="T57" s="10"/>
      <c r="U57" t="s">
        <v>0</v>
      </c>
      <c r="V57">
        <v>-48</v>
      </c>
      <c r="W57" s="10"/>
    </row>
    <row r="58" spans="2:23" x14ac:dyDescent="0.25">
      <c r="B58" s="29"/>
      <c r="C58" t="s">
        <v>7</v>
      </c>
      <c r="D58">
        <v>-31</v>
      </c>
      <c r="E58" s="10"/>
      <c r="F58" t="s">
        <v>45</v>
      </c>
      <c r="G58">
        <v>-32</v>
      </c>
      <c r="H58" s="10"/>
      <c r="I58" t="s">
        <v>33</v>
      </c>
      <c r="J58">
        <v>-34</v>
      </c>
      <c r="K58" s="10"/>
      <c r="L58" t="s">
        <v>47</v>
      </c>
      <c r="M58">
        <v>-37</v>
      </c>
      <c r="N58" s="10"/>
      <c r="O58" t="s">
        <v>34</v>
      </c>
      <c r="P58">
        <v>-43</v>
      </c>
      <c r="Q58" s="10"/>
      <c r="R58" t="s">
        <v>47</v>
      </c>
      <c r="S58">
        <v>-45</v>
      </c>
      <c r="T58" s="10"/>
      <c r="U58" t="s">
        <v>6</v>
      </c>
      <c r="V58">
        <v>-48</v>
      </c>
      <c r="W58" s="10"/>
    </row>
    <row r="59" spans="2:23" x14ac:dyDescent="0.25">
      <c r="B59" s="29"/>
      <c r="C59" t="s">
        <v>47</v>
      </c>
      <c r="D59">
        <v>-31</v>
      </c>
      <c r="E59" s="10"/>
      <c r="F59" t="s">
        <v>47</v>
      </c>
      <c r="G59">
        <v>-31</v>
      </c>
      <c r="H59" s="10"/>
      <c r="I59" t="s">
        <v>45</v>
      </c>
      <c r="J59">
        <v>-34</v>
      </c>
      <c r="K59" s="10"/>
      <c r="L59" t="s">
        <v>33</v>
      </c>
      <c r="M59">
        <v>-36</v>
      </c>
      <c r="N59" s="10"/>
      <c r="O59" t="s">
        <v>42</v>
      </c>
      <c r="P59">
        <v>-43</v>
      </c>
      <c r="Q59" s="10"/>
      <c r="R59" t="s">
        <v>30</v>
      </c>
      <c r="S59">
        <v>-44</v>
      </c>
      <c r="T59" s="10"/>
      <c r="U59" t="s">
        <v>35</v>
      </c>
      <c r="V59">
        <v>-48</v>
      </c>
      <c r="W59" s="10"/>
    </row>
    <row r="60" spans="2:23" x14ac:dyDescent="0.25">
      <c r="B60" s="29"/>
      <c r="C60" t="s">
        <v>46</v>
      </c>
      <c r="D60">
        <v>-30</v>
      </c>
      <c r="E60" s="10"/>
      <c r="F60" t="s">
        <v>46</v>
      </c>
      <c r="G60">
        <v>-30</v>
      </c>
      <c r="H60" s="10"/>
      <c r="I60" t="s">
        <v>46</v>
      </c>
      <c r="J60">
        <v>-34</v>
      </c>
      <c r="K60" s="10"/>
      <c r="L60" t="s">
        <v>45</v>
      </c>
      <c r="M60">
        <v>-36</v>
      </c>
      <c r="N60" s="10"/>
      <c r="O60" t="s">
        <v>47</v>
      </c>
      <c r="P60">
        <v>-43</v>
      </c>
      <c r="Q60" s="10"/>
      <c r="R60" t="s">
        <v>44</v>
      </c>
      <c r="S60">
        <v>-44</v>
      </c>
      <c r="T60" s="10"/>
      <c r="U60" t="s">
        <v>47</v>
      </c>
      <c r="V60">
        <v>-48</v>
      </c>
      <c r="W60" s="10"/>
    </row>
    <row r="61" spans="2:23" x14ac:dyDescent="0.25">
      <c r="B61" s="29"/>
      <c r="C61" t="s">
        <v>0</v>
      </c>
      <c r="D61">
        <v>-29</v>
      </c>
      <c r="E61" s="10"/>
      <c r="F61" t="s">
        <v>0</v>
      </c>
      <c r="G61">
        <v>-29</v>
      </c>
      <c r="H61" s="10"/>
      <c r="I61" t="s">
        <v>47</v>
      </c>
      <c r="J61">
        <v>-34</v>
      </c>
      <c r="K61" s="10"/>
      <c r="L61" t="s">
        <v>32</v>
      </c>
      <c r="M61">
        <v>-35</v>
      </c>
      <c r="N61" s="10"/>
      <c r="O61" t="s">
        <v>45</v>
      </c>
      <c r="P61">
        <v>-42</v>
      </c>
      <c r="Q61" s="10"/>
      <c r="R61" t="s">
        <v>0</v>
      </c>
      <c r="S61">
        <v>-42</v>
      </c>
      <c r="T61" s="10"/>
      <c r="U61" t="s">
        <v>30</v>
      </c>
      <c r="V61">
        <v>-47</v>
      </c>
      <c r="W61" s="10"/>
    </row>
    <row r="62" spans="2:23" x14ac:dyDescent="0.25">
      <c r="B62" s="29"/>
      <c r="C62" t="s">
        <v>6</v>
      </c>
      <c r="D62">
        <v>-29</v>
      </c>
      <c r="E62" s="10"/>
      <c r="F62" t="s">
        <v>6</v>
      </c>
      <c r="G62">
        <v>-29</v>
      </c>
      <c r="H62" s="10"/>
      <c r="I62" t="s">
        <v>0</v>
      </c>
      <c r="J62">
        <v>-31</v>
      </c>
      <c r="K62" s="10"/>
      <c r="L62" t="s">
        <v>44</v>
      </c>
      <c r="M62">
        <v>-35</v>
      </c>
      <c r="N62" s="10"/>
      <c r="O62" t="s">
        <v>41</v>
      </c>
      <c r="P62">
        <v>-41</v>
      </c>
      <c r="Q62" s="10"/>
      <c r="R62" t="s">
        <v>6</v>
      </c>
      <c r="S62">
        <v>-42</v>
      </c>
      <c r="T62" s="10"/>
      <c r="U62" t="s">
        <v>33</v>
      </c>
      <c r="V62">
        <v>-45</v>
      </c>
      <c r="W62" s="10"/>
    </row>
    <row r="63" spans="2:23" x14ac:dyDescent="0.25">
      <c r="B63" s="29"/>
      <c r="C63" t="s">
        <v>33</v>
      </c>
      <c r="D63">
        <v>-29</v>
      </c>
      <c r="E63" s="10"/>
      <c r="F63" t="s">
        <v>32</v>
      </c>
      <c r="G63">
        <v>-29</v>
      </c>
      <c r="H63" s="10"/>
      <c r="I63" t="s">
        <v>1</v>
      </c>
      <c r="J63">
        <v>-31</v>
      </c>
      <c r="K63" s="10"/>
      <c r="L63" t="s">
        <v>46</v>
      </c>
      <c r="M63">
        <v>-35</v>
      </c>
      <c r="N63" s="10"/>
      <c r="O63" t="s">
        <v>46</v>
      </c>
      <c r="P63">
        <v>-41</v>
      </c>
      <c r="Q63" s="10"/>
      <c r="R63" t="s">
        <v>33</v>
      </c>
      <c r="S63">
        <v>-42</v>
      </c>
      <c r="T63" s="10"/>
      <c r="U63" t="s">
        <v>44</v>
      </c>
      <c r="V63">
        <v>-45</v>
      </c>
      <c r="W63" s="10"/>
    </row>
    <row r="64" spans="2:23" x14ac:dyDescent="0.25">
      <c r="B64" s="29"/>
      <c r="C64" t="s">
        <v>32</v>
      </c>
      <c r="D64">
        <v>-28</v>
      </c>
      <c r="E64" s="10"/>
      <c r="F64" t="s">
        <v>33</v>
      </c>
      <c r="G64">
        <v>-29</v>
      </c>
      <c r="H64" s="10"/>
      <c r="I64" t="s">
        <v>5</v>
      </c>
      <c r="J64">
        <v>-31</v>
      </c>
      <c r="K64" s="10"/>
      <c r="L64" t="s">
        <v>0</v>
      </c>
      <c r="M64">
        <v>-34</v>
      </c>
      <c r="N64" s="10"/>
      <c r="O64" t="s">
        <v>0</v>
      </c>
      <c r="P64">
        <v>-40</v>
      </c>
      <c r="Q64" s="10"/>
      <c r="R64" t="s">
        <v>41</v>
      </c>
      <c r="S64">
        <v>-40</v>
      </c>
      <c r="T64" s="10"/>
      <c r="U64" t="s">
        <v>4</v>
      </c>
      <c r="V64">
        <v>-42</v>
      </c>
      <c r="W64" s="10"/>
    </row>
    <row r="65" spans="2:23" x14ac:dyDescent="0.25">
      <c r="B65" s="29"/>
      <c r="C65" t="s">
        <v>1</v>
      </c>
      <c r="D65">
        <v>-27</v>
      </c>
      <c r="E65" s="10"/>
      <c r="F65" t="s">
        <v>1</v>
      </c>
      <c r="G65">
        <v>-27</v>
      </c>
      <c r="H65" s="10"/>
      <c r="I65" t="s">
        <v>6</v>
      </c>
      <c r="J65">
        <v>-31</v>
      </c>
      <c r="K65" s="10"/>
      <c r="L65" t="s">
        <v>5</v>
      </c>
      <c r="M65">
        <v>-34</v>
      </c>
      <c r="N65" s="10"/>
      <c r="O65" t="s">
        <v>6</v>
      </c>
      <c r="P65">
        <v>-40</v>
      </c>
      <c r="Q65" s="10"/>
      <c r="R65" t="s">
        <v>46</v>
      </c>
      <c r="S65">
        <v>-39</v>
      </c>
      <c r="T65" s="10"/>
      <c r="U65" t="s">
        <v>46</v>
      </c>
      <c r="V65">
        <v>-42</v>
      </c>
      <c r="W65" s="10"/>
    </row>
    <row r="66" spans="2:23" x14ac:dyDescent="0.25">
      <c r="B66" s="29"/>
      <c r="C66" t="s">
        <v>41</v>
      </c>
      <c r="D66">
        <v>-27</v>
      </c>
      <c r="E66" s="10"/>
      <c r="F66" t="s">
        <v>41</v>
      </c>
      <c r="G66">
        <v>-27</v>
      </c>
      <c r="H66" s="10"/>
      <c r="I66" t="s">
        <v>32</v>
      </c>
      <c r="J66">
        <v>-31</v>
      </c>
      <c r="K66" s="10"/>
      <c r="L66" t="s">
        <v>6</v>
      </c>
      <c r="M66">
        <v>-34</v>
      </c>
      <c r="N66" s="10"/>
      <c r="O66" t="s">
        <v>2</v>
      </c>
      <c r="P66">
        <v>-39</v>
      </c>
      <c r="Q66" s="10"/>
      <c r="R66" t="s">
        <v>43</v>
      </c>
      <c r="S66">
        <v>-38</v>
      </c>
      <c r="T66" s="10"/>
      <c r="U66" t="s">
        <v>41</v>
      </c>
      <c r="V66">
        <v>-41</v>
      </c>
      <c r="W66" s="10"/>
    </row>
    <row r="67" spans="2:23" x14ac:dyDescent="0.25">
      <c r="B67" s="29"/>
      <c r="C67" t="s">
        <v>4</v>
      </c>
      <c r="D67">
        <v>-26</v>
      </c>
      <c r="E67" s="10"/>
      <c r="F67" t="s">
        <v>44</v>
      </c>
      <c r="G67">
        <v>-27</v>
      </c>
      <c r="H67" s="10"/>
      <c r="I67" t="s">
        <v>41</v>
      </c>
      <c r="J67">
        <v>-31</v>
      </c>
      <c r="K67" s="10"/>
      <c r="L67" t="s">
        <v>41</v>
      </c>
      <c r="M67">
        <v>-34</v>
      </c>
      <c r="N67" s="10"/>
      <c r="O67" t="s">
        <v>1</v>
      </c>
      <c r="P67">
        <v>-38</v>
      </c>
      <c r="Q67" s="10"/>
      <c r="R67" t="s">
        <v>2</v>
      </c>
      <c r="S67">
        <v>-37</v>
      </c>
      <c r="T67" s="10"/>
      <c r="U67" t="s">
        <v>43</v>
      </c>
      <c r="V67">
        <v>-41</v>
      </c>
      <c r="W67" s="10"/>
    </row>
    <row r="68" spans="2:23" x14ac:dyDescent="0.25">
      <c r="B68" s="29"/>
      <c r="C68" t="s">
        <v>5</v>
      </c>
      <c r="D68">
        <v>-26</v>
      </c>
      <c r="E68" s="10"/>
      <c r="F68" t="s">
        <v>4</v>
      </c>
      <c r="G68">
        <v>-26</v>
      </c>
      <c r="H68" s="10"/>
      <c r="I68" t="s">
        <v>44</v>
      </c>
      <c r="J68">
        <v>-31</v>
      </c>
      <c r="K68" s="10"/>
      <c r="L68" t="s">
        <v>1</v>
      </c>
      <c r="M68">
        <v>-33</v>
      </c>
      <c r="N68" s="10"/>
      <c r="O68" t="s">
        <v>5</v>
      </c>
      <c r="P68">
        <v>-37</v>
      </c>
      <c r="Q68" s="10"/>
      <c r="R68" t="s">
        <v>4</v>
      </c>
      <c r="S68">
        <v>-36</v>
      </c>
      <c r="T68" s="10"/>
      <c r="U68" t="s">
        <v>2</v>
      </c>
      <c r="V68">
        <v>-40</v>
      </c>
      <c r="W68" s="10"/>
    </row>
    <row r="69" spans="2:23" x14ac:dyDescent="0.25">
      <c r="B69" s="29"/>
      <c r="C69" t="s">
        <v>43</v>
      </c>
      <c r="D69">
        <v>-26</v>
      </c>
      <c r="E69" s="10"/>
      <c r="F69" t="s">
        <v>5</v>
      </c>
      <c r="G69">
        <v>-26</v>
      </c>
      <c r="H69" s="10"/>
      <c r="I69" t="s">
        <v>4</v>
      </c>
      <c r="J69">
        <v>-28</v>
      </c>
      <c r="K69" s="10"/>
      <c r="L69" t="s">
        <v>4</v>
      </c>
      <c r="M69">
        <v>-32</v>
      </c>
      <c r="N69" s="10"/>
      <c r="O69" t="s">
        <v>29</v>
      </c>
      <c r="P69">
        <v>-36</v>
      </c>
      <c r="Q69" s="10"/>
      <c r="R69" t="s">
        <v>1</v>
      </c>
      <c r="S69">
        <v>-35</v>
      </c>
      <c r="T69" s="10"/>
      <c r="U69" t="s">
        <v>1</v>
      </c>
      <c r="V69">
        <v>-38</v>
      </c>
      <c r="W69" s="10"/>
    </row>
    <row r="70" spans="2:23" x14ac:dyDescent="0.25">
      <c r="B70" s="29"/>
      <c r="C70" t="s">
        <v>44</v>
      </c>
      <c r="D70">
        <v>-25</v>
      </c>
      <c r="E70" s="10"/>
      <c r="F70" t="s">
        <v>43</v>
      </c>
      <c r="G70">
        <v>-25</v>
      </c>
      <c r="H70" s="10"/>
      <c r="I70" t="s">
        <v>29</v>
      </c>
      <c r="J70">
        <v>-28</v>
      </c>
      <c r="K70" s="10"/>
      <c r="L70" t="s">
        <v>29</v>
      </c>
      <c r="M70">
        <v>-32</v>
      </c>
      <c r="N70" s="10"/>
      <c r="O70" t="s">
        <v>43</v>
      </c>
      <c r="P70">
        <v>-36</v>
      </c>
      <c r="Q70" s="10"/>
      <c r="R70" t="s">
        <v>5</v>
      </c>
      <c r="S70">
        <v>-35</v>
      </c>
      <c r="T70" s="10"/>
      <c r="U70" t="s">
        <v>5</v>
      </c>
      <c r="V70">
        <v>-38</v>
      </c>
      <c r="W70" s="10"/>
    </row>
    <row r="71" spans="2:23" x14ac:dyDescent="0.25">
      <c r="B71" s="29"/>
      <c r="C71" s="21" t="s">
        <v>29</v>
      </c>
      <c r="D71">
        <v>-24</v>
      </c>
      <c r="E71" s="10"/>
      <c r="F71" t="s">
        <v>29</v>
      </c>
      <c r="G71">
        <v>-24</v>
      </c>
      <c r="H71" s="10"/>
      <c r="I71" t="s">
        <v>43</v>
      </c>
      <c r="J71">
        <v>-27</v>
      </c>
      <c r="K71" s="10"/>
      <c r="L71" t="s">
        <v>43</v>
      </c>
      <c r="M71">
        <v>-31</v>
      </c>
      <c r="N71" s="10"/>
      <c r="O71" t="s">
        <v>4</v>
      </c>
      <c r="P71">
        <v>-33</v>
      </c>
      <c r="Q71" s="10"/>
      <c r="R71" t="s">
        <v>29</v>
      </c>
      <c r="S71">
        <v>-34</v>
      </c>
      <c r="T71" s="10"/>
      <c r="U71" t="s">
        <v>31</v>
      </c>
      <c r="V71">
        <v>-36</v>
      </c>
      <c r="W71" s="10"/>
    </row>
    <row r="72" spans="2:23" x14ac:dyDescent="0.25">
      <c r="B72" s="30"/>
      <c r="C72" s="22" t="s">
        <v>31</v>
      </c>
      <c r="D72" s="23">
        <v>-22</v>
      </c>
      <c r="E72" s="24"/>
      <c r="F72" s="23" t="s">
        <v>31</v>
      </c>
      <c r="G72" s="23">
        <v>-22</v>
      </c>
      <c r="H72" s="24"/>
      <c r="I72" s="23" t="s">
        <v>31</v>
      </c>
      <c r="J72" s="23">
        <v>-25</v>
      </c>
      <c r="K72" s="24"/>
      <c r="L72" s="23" t="s">
        <v>31</v>
      </c>
      <c r="M72" s="23">
        <v>-30</v>
      </c>
      <c r="N72" s="24"/>
      <c r="O72" s="23" t="s">
        <v>31</v>
      </c>
      <c r="P72" s="23">
        <v>-29</v>
      </c>
      <c r="Q72" s="24"/>
      <c r="R72" s="23" t="s">
        <v>31</v>
      </c>
      <c r="S72" s="23">
        <v>-32</v>
      </c>
      <c r="T72" s="24"/>
      <c r="U72" s="23" t="s">
        <v>29</v>
      </c>
      <c r="V72" s="23">
        <v>-35</v>
      </c>
      <c r="W72" s="24"/>
    </row>
    <row r="74" spans="2:23" x14ac:dyDescent="0.25">
      <c r="B74" s="18"/>
      <c r="C74" s="31" t="s">
        <v>64</v>
      </c>
      <c r="D74" s="31"/>
      <c r="E74" s="19"/>
      <c r="F74" s="31" t="s">
        <v>65</v>
      </c>
      <c r="G74" s="31"/>
      <c r="H74" s="19"/>
      <c r="I74" s="31" t="s">
        <v>66</v>
      </c>
      <c r="J74" s="31"/>
      <c r="K74" s="19"/>
      <c r="L74" s="31" t="s">
        <v>67</v>
      </c>
      <c r="M74" s="31"/>
      <c r="N74" s="19"/>
      <c r="O74" s="31" t="s">
        <v>68</v>
      </c>
      <c r="P74" s="31"/>
      <c r="Q74" s="19"/>
      <c r="R74" s="31" t="s">
        <v>69</v>
      </c>
      <c r="S74" s="31"/>
      <c r="T74" s="19"/>
      <c r="U74" s="31" t="s">
        <v>70</v>
      </c>
      <c r="V74" s="32"/>
      <c r="W74" s="20"/>
    </row>
    <row r="75" spans="2:23" x14ac:dyDescent="0.25">
      <c r="B75" s="28" t="s">
        <v>78</v>
      </c>
      <c r="C75" s="26" t="s">
        <v>79</v>
      </c>
      <c r="E75" s="10"/>
      <c r="F75" t="s">
        <v>1</v>
      </c>
      <c r="G75">
        <v>-5</v>
      </c>
      <c r="H75" s="10"/>
      <c r="I75" s="1" t="s">
        <v>41</v>
      </c>
      <c r="J75">
        <v>-15</v>
      </c>
      <c r="K75" s="10"/>
      <c r="L75" t="s">
        <v>2</v>
      </c>
      <c r="M75">
        <v>-22</v>
      </c>
      <c r="N75" s="10"/>
      <c r="O75" t="s">
        <v>2</v>
      </c>
      <c r="P75">
        <v>-24</v>
      </c>
      <c r="Q75" s="10"/>
      <c r="R75" t="s">
        <v>34</v>
      </c>
      <c r="S75">
        <v>-27</v>
      </c>
      <c r="T75" s="10"/>
      <c r="U75" t="s">
        <v>34</v>
      </c>
      <c r="V75">
        <v>-34</v>
      </c>
      <c r="W75" s="10"/>
    </row>
    <row r="76" spans="2:23" x14ac:dyDescent="0.25">
      <c r="B76" s="29"/>
      <c r="E76" s="10"/>
      <c r="F76" s="1" t="s">
        <v>41</v>
      </c>
      <c r="G76">
        <v>-5</v>
      </c>
      <c r="H76" s="10"/>
      <c r="I76" t="s">
        <v>0</v>
      </c>
      <c r="J76">
        <v>-14</v>
      </c>
      <c r="K76" s="10"/>
      <c r="L76" s="1" t="s">
        <v>34</v>
      </c>
      <c r="M76">
        <v>-22</v>
      </c>
      <c r="N76" s="10"/>
      <c r="O76" t="s">
        <v>32</v>
      </c>
      <c r="P76">
        <v>-24</v>
      </c>
      <c r="Q76" s="10"/>
      <c r="R76" t="s">
        <v>42</v>
      </c>
      <c r="S76">
        <v>-27</v>
      </c>
      <c r="T76" s="10"/>
      <c r="U76" t="s">
        <v>42</v>
      </c>
      <c r="V76">
        <v>-34</v>
      </c>
      <c r="W76" s="10"/>
    </row>
    <row r="77" spans="2:23" x14ac:dyDescent="0.25">
      <c r="B77" s="29"/>
      <c r="E77" s="10"/>
      <c r="F77" t="s">
        <v>46</v>
      </c>
      <c r="G77">
        <v>-5</v>
      </c>
      <c r="H77" s="10"/>
      <c r="I77" t="s">
        <v>1</v>
      </c>
      <c r="J77">
        <v>-14</v>
      </c>
      <c r="K77" s="10"/>
      <c r="L77" t="s">
        <v>42</v>
      </c>
      <c r="M77">
        <v>-22</v>
      </c>
      <c r="N77" s="10"/>
      <c r="O77" s="1" t="s">
        <v>34</v>
      </c>
      <c r="P77">
        <v>-23</v>
      </c>
      <c r="Q77" s="10"/>
      <c r="R77" t="s">
        <v>2</v>
      </c>
      <c r="S77">
        <v>-26</v>
      </c>
      <c r="T77" s="10"/>
      <c r="U77" t="s">
        <v>2</v>
      </c>
      <c r="V77">
        <v>-32</v>
      </c>
      <c r="W77" s="10"/>
    </row>
    <row r="78" spans="2:23" x14ac:dyDescent="0.25">
      <c r="B78" s="29"/>
      <c r="E78" s="10"/>
      <c r="F78" t="s">
        <v>0</v>
      </c>
      <c r="G78">
        <v>-4</v>
      </c>
      <c r="H78" s="10"/>
      <c r="I78" t="s">
        <v>30</v>
      </c>
      <c r="J78">
        <v>-14</v>
      </c>
      <c r="K78" s="10"/>
      <c r="L78" t="s">
        <v>30</v>
      </c>
      <c r="M78">
        <v>-21</v>
      </c>
      <c r="N78" s="10"/>
      <c r="O78" t="s">
        <v>42</v>
      </c>
      <c r="P78">
        <v>-23</v>
      </c>
      <c r="Q78" s="10"/>
      <c r="R78" s="1" t="s">
        <v>3</v>
      </c>
      <c r="S78">
        <v>-26</v>
      </c>
      <c r="T78" s="10"/>
      <c r="U78" t="s">
        <v>3</v>
      </c>
      <c r="V78">
        <v>-32</v>
      </c>
      <c r="W78" s="10"/>
    </row>
    <row r="79" spans="2:23" x14ac:dyDescent="0.25">
      <c r="B79" s="29"/>
      <c r="E79" s="10"/>
      <c r="F79" t="s">
        <v>30</v>
      </c>
      <c r="G79">
        <v>-4</v>
      </c>
      <c r="H79" s="10"/>
      <c r="I79" t="s">
        <v>31</v>
      </c>
      <c r="J79">
        <v>-14</v>
      </c>
      <c r="K79" s="10"/>
      <c r="L79" t="s">
        <v>35</v>
      </c>
      <c r="M79">
        <v>-21</v>
      </c>
      <c r="N79" s="10"/>
      <c r="O79" t="s">
        <v>1</v>
      </c>
      <c r="P79">
        <v>-22</v>
      </c>
      <c r="Q79" s="10"/>
      <c r="R79" t="s">
        <v>30</v>
      </c>
      <c r="S79">
        <v>-26</v>
      </c>
      <c r="T79" s="10"/>
      <c r="U79" s="1" t="s">
        <v>30</v>
      </c>
      <c r="V79">
        <v>-32</v>
      </c>
      <c r="W79" s="10"/>
    </row>
    <row r="80" spans="2:23" x14ac:dyDescent="0.25">
      <c r="B80" s="29"/>
      <c r="E80" s="10"/>
      <c r="F80" t="s">
        <v>31</v>
      </c>
      <c r="G80">
        <v>-4</v>
      </c>
      <c r="H80" s="10"/>
      <c r="I80" t="s">
        <v>46</v>
      </c>
      <c r="J80">
        <v>-14</v>
      </c>
      <c r="K80" s="10"/>
      <c r="L80" t="s">
        <v>41</v>
      </c>
      <c r="M80">
        <v>-21</v>
      </c>
      <c r="N80" s="10"/>
      <c r="O80" t="s">
        <v>33</v>
      </c>
      <c r="P80">
        <v>-22</v>
      </c>
      <c r="Q80" s="10"/>
      <c r="R80" t="s">
        <v>35</v>
      </c>
      <c r="S80">
        <v>-26</v>
      </c>
      <c r="T80" s="10"/>
      <c r="U80" t="s">
        <v>35</v>
      </c>
      <c r="V80">
        <v>-32</v>
      </c>
      <c r="W80" s="10"/>
    </row>
    <row r="81" spans="2:23" x14ac:dyDescent="0.25">
      <c r="B81" s="29"/>
      <c r="E81" s="10"/>
      <c r="F81" t="s">
        <v>44</v>
      </c>
      <c r="G81">
        <v>-4</v>
      </c>
      <c r="H81" s="10"/>
      <c r="I81" t="s">
        <v>2</v>
      </c>
      <c r="J81">
        <v>-13</v>
      </c>
      <c r="K81" s="10"/>
      <c r="L81" t="s">
        <v>46</v>
      </c>
      <c r="M81">
        <v>-21</v>
      </c>
      <c r="N81" s="10"/>
      <c r="O81" t="s">
        <v>0</v>
      </c>
      <c r="P81">
        <v>-21</v>
      </c>
      <c r="Q81" s="10"/>
      <c r="R81" t="s">
        <v>45</v>
      </c>
      <c r="S81">
        <v>-26</v>
      </c>
      <c r="T81" s="10"/>
      <c r="U81" t="s">
        <v>45</v>
      </c>
      <c r="V81">
        <v>-32</v>
      </c>
      <c r="W81" s="10"/>
    </row>
    <row r="82" spans="2:23" x14ac:dyDescent="0.25">
      <c r="B82" s="29"/>
      <c r="E82" s="10"/>
      <c r="F82" t="s">
        <v>43</v>
      </c>
      <c r="G82">
        <v>-3</v>
      </c>
      <c r="H82" s="10"/>
      <c r="I82" t="s">
        <v>33</v>
      </c>
      <c r="J82">
        <v>-12</v>
      </c>
      <c r="K82" s="10"/>
      <c r="L82" t="s">
        <v>0</v>
      </c>
      <c r="M82">
        <v>-20</v>
      </c>
      <c r="N82" s="10"/>
      <c r="O82" t="s">
        <v>6</v>
      </c>
      <c r="P82">
        <v>-21</v>
      </c>
      <c r="Q82" s="10"/>
      <c r="R82" t="s">
        <v>7</v>
      </c>
      <c r="S82">
        <v>-25</v>
      </c>
      <c r="T82" s="10"/>
      <c r="U82" t="s">
        <v>7</v>
      </c>
      <c r="V82">
        <v>-31</v>
      </c>
      <c r="W82" s="10"/>
    </row>
    <row r="83" spans="2:23" x14ac:dyDescent="0.25">
      <c r="B83" s="29"/>
      <c r="E83" s="10"/>
      <c r="F83" t="s">
        <v>2</v>
      </c>
      <c r="G83">
        <v>-2</v>
      </c>
      <c r="H83" s="10"/>
      <c r="I83" t="s">
        <v>35</v>
      </c>
      <c r="J83">
        <v>-12</v>
      </c>
      <c r="K83" s="10"/>
      <c r="L83" t="s">
        <v>1</v>
      </c>
      <c r="M83">
        <v>-20</v>
      </c>
      <c r="N83" s="10"/>
      <c r="O83" t="s">
        <v>35</v>
      </c>
      <c r="P83">
        <v>-21</v>
      </c>
      <c r="Q83" s="10"/>
      <c r="R83" t="s">
        <v>46</v>
      </c>
      <c r="S83">
        <v>-25</v>
      </c>
      <c r="T83" s="10"/>
      <c r="U83" t="s">
        <v>47</v>
      </c>
      <c r="V83">
        <v>-31</v>
      </c>
      <c r="W83" s="10"/>
    </row>
    <row r="84" spans="2:23" x14ac:dyDescent="0.25">
      <c r="B84" s="29"/>
      <c r="E84" s="10"/>
      <c r="F84" t="s">
        <v>3</v>
      </c>
      <c r="G84">
        <v>-2</v>
      </c>
      <c r="H84" s="10"/>
      <c r="I84" t="s">
        <v>6</v>
      </c>
      <c r="J84">
        <v>-11</v>
      </c>
      <c r="K84" s="10"/>
      <c r="L84" t="s">
        <v>33</v>
      </c>
      <c r="M84">
        <v>-20</v>
      </c>
      <c r="N84" s="10"/>
      <c r="O84" t="s">
        <v>46</v>
      </c>
      <c r="P84">
        <v>-21</v>
      </c>
      <c r="Q84" s="10"/>
      <c r="R84" t="s">
        <v>0</v>
      </c>
      <c r="S84">
        <v>-24</v>
      </c>
      <c r="T84" s="10"/>
      <c r="U84" t="s">
        <v>46</v>
      </c>
      <c r="V84">
        <v>-30</v>
      </c>
      <c r="W84" s="10"/>
    </row>
    <row r="85" spans="2:23" x14ac:dyDescent="0.25">
      <c r="B85" s="29"/>
      <c r="E85" s="10"/>
      <c r="F85" t="s">
        <v>33</v>
      </c>
      <c r="G85">
        <v>-2</v>
      </c>
      <c r="H85" s="10"/>
      <c r="I85" t="s">
        <v>32</v>
      </c>
      <c r="J85">
        <v>-11</v>
      </c>
      <c r="K85" s="10"/>
      <c r="L85" t="s">
        <v>45</v>
      </c>
      <c r="M85">
        <v>-20</v>
      </c>
      <c r="N85" s="10"/>
      <c r="O85" t="s">
        <v>3</v>
      </c>
      <c r="P85">
        <v>-20</v>
      </c>
      <c r="Q85" s="10"/>
      <c r="R85" t="s">
        <v>6</v>
      </c>
      <c r="S85">
        <v>-24</v>
      </c>
      <c r="T85" s="10"/>
      <c r="U85" t="s">
        <v>0</v>
      </c>
      <c r="V85">
        <v>-29</v>
      </c>
      <c r="W85" s="10"/>
    </row>
    <row r="86" spans="2:23" x14ac:dyDescent="0.25">
      <c r="B86" s="29"/>
      <c r="E86" s="10"/>
      <c r="F86" t="s">
        <v>35</v>
      </c>
      <c r="G86">
        <v>-2</v>
      </c>
      <c r="H86" s="10"/>
      <c r="I86" t="s">
        <v>34</v>
      </c>
      <c r="J86">
        <v>-11</v>
      </c>
      <c r="K86" s="10"/>
      <c r="L86" t="s">
        <v>47</v>
      </c>
      <c r="M86">
        <v>-20</v>
      </c>
      <c r="N86" s="10"/>
      <c r="O86" t="s">
        <v>5</v>
      </c>
      <c r="P86">
        <v>-20</v>
      </c>
      <c r="Q86" s="10"/>
      <c r="R86" t="s">
        <v>32</v>
      </c>
      <c r="S86">
        <v>-24</v>
      </c>
      <c r="T86" s="10"/>
      <c r="U86" t="s">
        <v>6</v>
      </c>
      <c r="V86">
        <v>-29</v>
      </c>
      <c r="W86" s="10"/>
    </row>
    <row r="87" spans="2:23" x14ac:dyDescent="0.25">
      <c r="B87" s="29"/>
      <c r="E87" s="10"/>
      <c r="F87" t="s">
        <v>5</v>
      </c>
      <c r="G87">
        <v>-1</v>
      </c>
      <c r="H87" s="10"/>
      <c r="I87" t="s">
        <v>42</v>
      </c>
      <c r="J87">
        <v>-11</v>
      </c>
      <c r="K87" s="10"/>
      <c r="L87" t="s">
        <v>6</v>
      </c>
      <c r="M87">
        <v>-19</v>
      </c>
      <c r="N87" s="10"/>
      <c r="O87" t="s">
        <v>30</v>
      </c>
      <c r="P87">
        <v>-20</v>
      </c>
      <c r="Q87" s="10"/>
      <c r="R87" t="s">
        <v>33</v>
      </c>
      <c r="S87">
        <v>-24</v>
      </c>
      <c r="T87" s="10"/>
      <c r="U87" t="s">
        <v>33</v>
      </c>
      <c r="V87">
        <v>-29</v>
      </c>
      <c r="W87" s="10"/>
    </row>
    <row r="88" spans="2:23" x14ac:dyDescent="0.25">
      <c r="B88" s="29"/>
      <c r="E88" s="10"/>
      <c r="F88" t="s">
        <v>6</v>
      </c>
      <c r="G88">
        <v>-1</v>
      </c>
      <c r="H88" s="10"/>
      <c r="I88" t="s">
        <v>44</v>
      </c>
      <c r="J88">
        <v>-11</v>
      </c>
      <c r="K88" s="10"/>
      <c r="L88" t="s">
        <v>7</v>
      </c>
      <c r="M88">
        <v>-19</v>
      </c>
      <c r="N88" s="10"/>
      <c r="O88" t="s">
        <v>45</v>
      </c>
      <c r="P88">
        <v>-20</v>
      </c>
      <c r="Q88" s="10"/>
      <c r="R88" t="s">
        <v>47</v>
      </c>
      <c r="S88">
        <v>-24</v>
      </c>
      <c r="T88" s="10"/>
      <c r="U88" t="s">
        <v>32</v>
      </c>
      <c r="V88">
        <v>-28</v>
      </c>
      <c r="W88" s="10"/>
    </row>
    <row r="89" spans="2:23" x14ac:dyDescent="0.25">
      <c r="B89" s="29"/>
      <c r="E89" s="10"/>
      <c r="F89" t="s">
        <v>7</v>
      </c>
      <c r="G89">
        <v>-1</v>
      </c>
      <c r="H89" s="10"/>
      <c r="I89" t="s">
        <v>45</v>
      </c>
      <c r="J89">
        <v>-11</v>
      </c>
      <c r="K89" s="10"/>
      <c r="L89" t="s">
        <v>32</v>
      </c>
      <c r="M89">
        <v>-19</v>
      </c>
      <c r="N89" s="10"/>
      <c r="O89" t="s">
        <v>47</v>
      </c>
      <c r="P89">
        <v>-20</v>
      </c>
      <c r="Q89" s="10"/>
      <c r="R89" t="s">
        <v>1</v>
      </c>
      <c r="S89">
        <v>-23</v>
      </c>
      <c r="T89" s="10"/>
      <c r="U89" t="s">
        <v>1</v>
      </c>
      <c r="V89">
        <v>-27</v>
      </c>
      <c r="W89" s="10"/>
    </row>
    <row r="90" spans="2:23" x14ac:dyDescent="0.25">
      <c r="B90" s="29"/>
      <c r="E90" s="10"/>
      <c r="F90" t="s">
        <v>29</v>
      </c>
      <c r="G90">
        <v>-1</v>
      </c>
      <c r="H90" s="10"/>
      <c r="I90" t="s">
        <v>3</v>
      </c>
      <c r="J90">
        <v>-10</v>
      </c>
      <c r="K90" s="10"/>
      <c r="L90" t="s">
        <v>3</v>
      </c>
      <c r="M90">
        <v>-18</v>
      </c>
      <c r="N90" s="10"/>
      <c r="O90" t="s">
        <v>4</v>
      </c>
      <c r="P90">
        <v>-19</v>
      </c>
      <c r="Q90" s="10"/>
      <c r="R90" t="s">
        <v>41</v>
      </c>
      <c r="S90">
        <v>-23</v>
      </c>
      <c r="T90" s="10"/>
      <c r="U90" t="s">
        <v>41</v>
      </c>
      <c r="V90">
        <v>-27</v>
      </c>
      <c r="W90" s="10"/>
    </row>
    <row r="91" spans="2:23" x14ac:dyDescent="0.25">
      <c r="B91" s="29"/>
      <c r="E91" s="10"/>
      <c r="F91" t="s">
        <v>32</v>
      </c>
      <c r="G91">
        <v>-1</v>
      </c>
      <c r="H91" s="10"/>
      <c r="I91" t="s">
        <v>5</v>
      </c>
      <c r="J91">
        <v>-10</v>
      </c>
      <c r="K91" s="10"/>
      <c r="L91" t="s">
        <v>5</v>
      </c>
      <c r="M91">
        <v>-17</v>
      </c>
      <c r="N91" s="10"/>
      <c r="O91" t="s">
        <v>7</v>
      </c>
      <c r="P91">
        <v>-19</v>
      </c>
      <c r="Q91" s="10"/>
      <c r="R91" t="s">
        <v>4</v>
      </c>
      <c r="S91">
        <v>-22</v>
      </c>
      <c r="T91" s="10"/>
      <c r="U91" t="s">
        <v>4</v>
      </c>
      <c r="V91">
        <v>-26</v>
      </c>
      <c r="W91" s="10"/>
    </row>
    <row r="92" spans="2:23" x14ac:dyDescent="0.25">
      <c r="B92" s="29"/>
      <c r="E92" s="10"/>
      <c r="F92" t="s">
        <v>45</v>
      </c>
      <c r="G92">
        <v>-1</v>
      </c>
      <c r="H92" s="10"/>
      <c r="I92" t="s">
        <v>29</v>
      </c>
      <c r="J92">
        <v>-9</v>
      </c>
      <c r="K92" s="10"/>
      <c r="L92" t="s">
        <v>29</v>
      </c>
      <c r="M92">
        <v>-17</v>
      </c>
      <c r="N92" s="10"/>
      <c r="O92" t="s">
        <v>41</v>
      </c>
      <c r="P92">
        <v>-19</v>
      </c>
      <c r="Q92" s="10"/>
      <c r="R92" t="s">
        <v>5</v>
      </c>
      <c r="S92">
        <v>-22</v>
      </c>
      <c r="T92" s="10"/>
      <c r="U92" t="s">
        <v>5</v>
      </c>
      <c r="V92">
        <v>-26</v>
      </c>
      <c r="W92" s="10"/>
    </row>
    <row r="93" spans="2:23" x14ac:dyDescent="0.25">
      <c r="B93" s="29"/>
      <c r="E93" s="10"/>
      <c r="F93" t="s">
        <v>4</v>
      </c>
      <c r="G93">
        <v>0</v>
      </c>
      <c r="H93" s="10"/>
      <c r="I93" t="s">
        <v>4</v>
      </c>
      <c r="J93">
        <v>-8</v>
      </c>
      <c r="K93" s="10"/>
      <c r="L93" t="s">
        <v>31</v>
      </c>
      <c r="M93">
        <v>-17</v>
      </c>
      <c r="N93" s="10"/>
      <c r="O93" t="s">
        <v>44</v>
      </c>
      <c r="P93">
        <v>-17</v>
      </c>
      <c r="Q93" s="10"/>
      <c r="R93" t="s">
        <v>29</v>
      </c>
      <c r="S93">
        <v>-21</v>
      </c>
      <c r="T93" s="10"/>
      <c r="U93" t="s">
        <v>43</v>
      </c>
      <c r="V93">
        <v>-26</v>
      </c>
      <c r="W93" s="10"/>
    </row>
    <row r="94" spans="2:23" x14ac:dyDescent="0.25">
      <c r="B94" s="29"/>
      <c r="E94" s="10"/>
      <c r="F94" t="s">
        <v>34</v>
      </c>
      <c r="G94">
        <v>0</v>
      </c>
      <c r="H94" s="10"/>
      <c r="I94" t="s">
        <v>7</v>
      </c>
      <c r="J94">
        <v>-8</v>
      </c>
      <c r="K94" s="10"/>
      <c r="L94" t="s">
        <v>44</v>
      </c>
      <c r="M94">
        <v>-17</v>
      </c>
      <c r="N94" s="10"/>
      <c r="O94" t="s">
        <v>29</v>
      </c>
      <c r="P94">
        <v>-16</v>
      </c>
      <c r="Q94" s="10"/>
      <c r="R94" t="s">
        <v>43</v>
      </c>
      <c r="S94">
        <v>-21</v>
      </c>
      <c r="T94" s="10"/>
      <c r="U94" t="s">
        <v>44</v>
      </c>
      <c r="V94">
        <v>-25</v>
      </c>
      <c r="W94" s="10"/>
    </row>
    <row r="95" spans="2:23" x14ac:dyDescent="0.25">
      <c r="B95" s="29"/>
      <c r="E95" s="10"/>
      <c r="F95" t="s">
        <v>42</v>
      </c>
      <c r="G95">
        <v>0</v>
      </c>
      <c r="H95" s="10"/>
      <c r="I95" t="s">
        <v>43</v>
      </c>
      <c r="J95">
        <v>-7</v>
      </c>
      <c r="K95" s="10"/>
      <c r="L95" t="s">
        <v>4</v>
      </c>
      <c r="M95">
        <v>-16</v>
      </c>
      <c r="N95" s="10"/>
      <c r="O95" t="s">
        <v>31</v>
      </c>
      <c r="P95">
        <v>-16</v>
      </c>
      <c r="Q95" s="10"/>
      <c r="R95" t="s">
        <v>44</v>
      </c>
      <c r="S95">
        <v>-21</v>
      </c>
      <c r="T95" s="10"/>
      <c r="U95" t="s">
        <v>29</v>
      </c>
      <c r="V95">
        <v>-24</v>
      </c>
      <c r="W95" s="10"/>
    </row>
    <row r="96" spans="2:23" x14ac:dyDescent="0.25">
      <c r="B96" s="30"/>
      <c r="C96" s="23"/>
      <c r="D96" s="23"/>
      <c r="E96" s="24"/>
      <c r="F96" s="23" t="s">
        <v>47</v>
      </c>
      <c r="G96" s="23">
        <v>0</v>
      </c>
      <c r="H96" s="24"/>
      <c r="I96" s="23" t="s">
        <v>47</v>
      </c>
      <c r="J96" s="23">
        <v>-6</v>
      </c>
      <c r="K96" s="24"/>
      <c r="L96" s="23" t="s">
        <v>43</v>
      </c>
      <c r="M96" s="23">
        <v>-16</v>
      </c>
      <c r="N96" s="24"/>
      <c r="O96" s="23" t="s">
        <v>43</v>
      </c>
      <c r="P96" s="23">
        <v>-15</v>
      </c>
      <c r="Q96" s="24"/>
      <c r="R96" s="23" t="s">
        <v>31</v>
      </c>
      <c r="S96" s="23">
        <v>-19</v>
      </c>
      <c r="T96" s="24"/>
      <c r="U96" s="23" t="s">
        <v>31</v>
      </c>
      <c r="V96" s="23">
        <v>-22</v>
      </c>
      <c r="W96" s="24"/>
    </row>
    <row r="98" spans="25:25" x14ac:dyDescent="0.25">
      <c r="Y98" s="1"/>
    </row>
    <row r="122" spans="25:25" x14ac:dyDescent="0.25">
      <c r="Y122" s="1"/>
    </row>
  </sheetData>
  <mergeCells count="32">
    <mergeCell ref="L50:M50"/>
    <mergeCell ref="O50:P50"/>
    <mergeCell ref="U2:V2"/>
    <mergeCell ref="C26:D26"/>
    <mergeCell ref="F26:G26"/>
    <mergeCell ref="I26:J26"/>
    <mergeCell ref="L26:M26"/>
    <mergeCell ref="O26:P26"/>
    <mergeCell ref="R26:S26"/>
    <mergeCell ref="U26:V26"/>
    <mergeCell ref="C2:D2"/>
    <mergeCell ref="F2:G2"/>
    <mergeCell ref="I2:J2"/>
    <mergeCell ref="L2:M2"/>
    <mergeCell ref="O2:P2"/>
    <mergeCell ref="R2:S2"/>
    <mergeCell ref="B75:B96"/>
    <mergeCell ref="B51:B72"/>
    <mergeCell ref="B3:B24"/>
    <mergeCell ref="R50:S50"/>
    <mergeCell ref="U50:V50"/>
    <mergeCell ref="C74:D74"/>
    <mergeCell ref="F74:G74"/>
    <mergeCell ref="I74:J74"/>
    <mergeCell ref="L74:M74"/>
    <mergeCell ref="O74:P74"/>
    <mergeCell ref="R74:S74"/>
    <mergeCell ref="U74:V74"/>
    <mergeCell ref="B27:B48"/>
    <mergeCell ref="C50:D50"/>
    <mergeCell ref="F50:G50"/>
    <mergeCell ref="I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3A9A3-E331-4BAF-BE1A-7CF203F0E6B1}">
  <dimension ref="A2:G43"/>
  <sheetViews>
    <sheetView tabSelected="1" topLeftCell="A21" workbookViewId="0">
      <selection activeCell="A46" sqref="A46"/>
    </sheetView>
  </sheetViews>
  <sheetFormatPr defaultColWidth="10.28515625" defaultRowHeight="15" x14ac:dyDescent="0.25"/>
  <sheetData>
    <row r="2" spans="1:5" x14ac:dyDescent="0.25">
      <c r="B2" t="s">
        <v>64</v>
      </c>
      <c r="C2" t="s">
        <v>65</v>
      </c>
      <c r="D2" t="s">
        <v>66</v>
      </c>
      <c r="E2" t="s">
        <v>67</v>
      </c>
    </row>
    <row r="3" spans="1:5" x14ac:dyDescent="0.25">
      <c r="A3" t="s">
        <v>80</v>
      </c>
      <c r="B3" s="27">
        <f t="shared" ref="B3:B16" ca="1" si="0">-(RAND()*20)-20</f>
        <v>-22.263970521865918</v>
      </c>
      <c r="C3" s="27">
        <f t="shared" ref="C3:E16" ca="1" si="1">-(RAND()*20)-20</f>
        <v>-30.686403983779694</v>
      </c>
      <c r="D3" s="27">
        <f t="shared" ca="1" si="1"/>
        <v>-22.765151378108524</v>
      </c>
      <c r="E3" s="27">
        <f t="shared" ca="1" si="1"/>
        <v>-34.675037262366423</v>
      </c>
    </row>
    <row r="4" spans="1:5" x14ac:dyDescent="0.25">
      <c r="A4" t="s">
        <v>82</v>
      </c>
      <c r="B4" s="27">
        <f t="shared" ca="1" si="0"/>
        <v>-37.575558313216504</v>
      </c>
      <c r="C4" s="27">
        <f t="shared" ca="1" si="1"/>
        <v>-37.662768552260559</v>
      </c>
      <c r="D4" s="27">
        <f t="shared" ca="1" si="1"/>
        <v>-23.02853847654027</v>
      </c>
      <c r="E4" s="27">
        <f t="shared" ca="1" si="1"/>
        <v>-36.955566082755091</v>
      </c>
    </row>
    <row r="5" spans="1:5" x14ac:dyDescent="0.25">
      <c r="A5" t="s">
        <v>81</v>
      </c>
      <c r="B5" s="27">
        <f t="shared" ca="1" si="0"/>
        <v>-26.638161095287611</v>
      </c>
      <c r="C5" s="27">
        <f t="shared" ca="1" si="1"/>
        <v>-35.723183094089016</v>
      </c>
      <c r="D5" s="27">
        <f t="shared" ca="1" si="1"/>
        <v>-33.043117626814364</v>
      </c>
      <c r="E5" s="27">
        <f t="shared" ca="1" si="1"/>
        <v>-34.652254769519416</v>
      </c>
    </row>
    <row r="6" spans="1:5" x14ac:dyDescent="0.25">
      <c r="A6" t="s">
        <v>83</v>
      </c>
      <c r="B6" s="27">
        <f t="shared" ca="1" si="0"/>
        <v>-31.326277685036466</v>
      </c>
      <c r="C6" s="27">
        <f t="shared" ca="1" si="1"/>
        <v>-39.40492615469735</v>
      </c>
      <c r="D6" s="27">
        <f t="shared" ca="1" si="1"/>
        <v>-39.088637068963244</v>
      </c>
      <c r="E6" s="27">
        <f t="shared" ca="1" si="1"/>
        <v>-30.949684144773709</v>
      </c>
    </row>
    <row r="7" spans="1:5" x14ac:dyDescent="0.25">
      <c r="A7" t="s">
        <v>93</v>
      </c>
      <c r="B7" s="27">
        <f t="shared" ca="1" si="0"/>
        <v>-20.412293564677118</v>
      </c>
      <c r="C7" s="27">
        <f t="shared" ca="1" si="1"/>
        <v>-37.842765145026533</v>
      </c>
      <c r="D7" s="27">
        <f t="shared" ca="1" si="1"/>
        <v>-26.27456673276118</v>
      </c>
      <c r="E7" s="27">
        <f t="shared" ca="1" si="1"/>
        <v>-38.272679932103159</v>
      </c>
    </row>
    <row r="8" spans="1:5" x14ac:dyDescent="0.25">
      <c r="A8" t="s">
        <v>84</v>
      </c>
      <c r="B8" s="27">
        <f t="shared" ca="1" si="0"/>
        <v>-24.046934545371794</v>
      </c>
      <c r="C8" s="27">
        <f t="shared" ca="1" si="1"/>
        <v>-36.163271203860319</v>
      </c>
      <c r="D8" s="27">
        <f t="shared" ca="1" si="1"/>
        <v>-28.65503483399997</v>
      </c>
      <c r="E8" s="27">
        <f t="shared" ca="1" si="1"/>
        <v>-31.155823165901058</v>
      </c>
    </row>
    <row r="9" spans="1:5" x14ac:dyDescent="0.25">
      <c r="A9" t="s">
        <v>85</v>
      </c>
      <c r="B9" s="27">
        <f t="shared" ca="1" si="0"/>
        <v>-31.901427333698848</v>
      </c>
      <c r="C9" s="27">
        <f t="shared" ca="1" si="1"/>
        <v>-34.610491515983782</v>
      </c>
      <c r="D9" s="27">
        <f t="shared" ca="1" si="1"/>
        <v>-35.604149219336783</v>
      </c>
      <c r="E9" s="27">
        <f t="shared" ca="1" si="1"/>
        <v>-36.984310708496594</v>
      </c>
    </row>
    <row r="10" spans="1:5" x14ac:dyDescent="0.25">
      <c r="A10" t="s">
        <v>86</v>
      </c>
      <c r="B10" s="27">
        <f t="shared" ca="1" si="0"/>
        <v>-38.093300267161851</v>
      </c>
      <c r="C10" s="27">
        <f t="shared" ca="1" si="1"/>
        <v>-28.76493110919089</v>
      </c>
      <c r="D10" s="27">
        <f t="shared" ca="1" si="1"/>
        <v>-27.996130371718735</v>
      </c>
      <c r="E10" s="27">
        <f t="shared" ca="1" si="1"/>
        <v>-21.972637729145575</v>
      </c>
    </row>
    <row r="11" spans="1:5" x14ac:dyDescent="0.25">
      <c r="A11" t="s">
        <v>87</v>
      </c>
      <c r="B11" s="27">
        <f t="shared" ca="1" si="0"/>
        <v>-29.664436798529039</v>
      </c>
      <c r="C11" s="27">
        <f t="shared" ca="1" si="1"/>
        <v>-21.033538178595151</v>
      </c>
      <c r="D11" s="27">
        <f t="shared" ca="1" si="1"/>
        <v>-24.953712359648627</v>
      </c>
      <c r="E11" s="27">
        <f t="shared" ca="1" si="1"/>
        <v>-28.157204586476482</v>
      </c>
    </row>
    <row r="12" spans="1:5" x14ac:dyDescent="0.25">
      <c r="A12" t="s">
        <v>88</v>
      </c>
      <c r="B12" s="27">
        <f t="shared" ca="1" si="0"/>
        <v>-24.271175354675314</v>
      </c>
      <c r="C12" s="27">
        <f t="shared" ca="1" si="1"/>
        <v>-24.79014203887699</v>
      </c>
      <c r="D12" s="27">
        <f t="shared" ca="1" si="1"/>
        <v>-23.197520728630369</v>
      </c>
      <c r="E12" s="27">
        <f t="shared" ca="1" si="1"/>
        <v>-20.549503240053745</v>
      </c>
    </row>
    <row r="13" spans="1:5" x14ac:dyDescent="0.25">
      <c r="A13" t="s">
        <v>89</v>
      </c>
      <c r="B13" s="27">
        <f t="shared" ca="1" si="0"/>
        <v>-31.637533794873491</v>
      </c>
      <c r="C13" s="27">
        <f t="shared" ca="1" si="1"/>
        <v>-34.684264289569882</v>
      </c>
      <c r="D13" s="27">
        <f t="shared" ca="1" si="1"/>
        <v>-36.912717104236975</v>
      </c>
      <c r="E13" s="27">
        <f t="shared" ca="1" si="1"/>
        <v>-32.604164144860903</v>
      </c>
    </row>
    <row r="14" spans="1:5" x14ac:dyDescent="0.25">
      <c r="A14" t="s">
        <v>90</v>
      </c>
      <c r="B14" s="27">
        <f t="shared" ca="1" si="0"/>
        <v>-32.839951727114411</v>
      </c>
      <c r="C14" s="27">
        <f t="shared" ca="1" si="1"/>
        <v>-36.595204631942579</v>
      </c>
      <c r="D14" s="27">
        <f t="shared" ca="1" si="1"/>
        <v>-30.46987905856264</v>
      </c>
      <c r="E14" s="27">
        <f t="shared" ca="1" si="1"/>
        <v>-37.606522105962384</v>
      </c>
    </row>
    <row r="15" spans="1:5" x14ac:dyDescent="0.25">
      <c r="A15" t="s">
        <v>91</v>
      </c>
      <c r="B15" s="27">
        <f t="shared" ca="1" si="0"/>
        <v>-24.672769168882645</v>
      </c>
      <c r="C15" s="27">
        <f t="shared" ca="1" si="1"/>
        <v>-25.103971285104535</v>
      </c>
      <c r="D15" s="27">
        <f t="shared" ca="1" si="1"/>
        <v>-34.652730042982213</v>
      </c>
      <c r="E15" s="27">
        <f t="shared" ca="1" si="1"/>
        <v>-29.546802923201135</v>
      </c>
    </row>
    <row r="16" spans="1:5" x14ac:dyDescent="0.25">
      <c r="A16" t="s">
        <v>92</v>
      </c>
      <c r="B16" s="27">
        <f t="shared" ca="1" si="0"/>
        <v>-30.737604433619161</v>
      </c>
      <c r="C16" s="27">
        <f t="shared" ca="1" si="1"/>
        <v>-23.356621821087455</v>
      </c>
      <c r="D16" s="27">
        <f t="shared" ca="1" si="1"/>
        <v>-20.742716735394918</v>
      </c>
      <c r="E16" s="27">
        <f t="shared" ca="1" si="1"/>
        <v>-39.035942659270418</v>
      </c>
    </row>
    <row r="29" spans="1:7" x14ac:dyDescent="0.25">
      <c r="B29" t="s">
        <v>64</v>
      </c>
      <c r="C29" t="s">
        <v>65</v>
      </c>
      <c r="D29" t="s">
        <v>66</v>
      </c>
      <c r="E29" t="s">
        <v>67</v>
      </c>
    </row>
    <row r="30" spans="1:7" x14ac:dyDescent="0.25">
      <c r="A30" t="s">
        <v>80</v>
      </c>
      <c r="B30" s="27" cm="1">
        <f t="array" aca="1" ref="B30:B43" ca="1">_xlfn.SORTBY($G$30:$G$43, _xlfn.RANDARRAY(14))</f>
        <v>7</v>
      </c>
      <c r="C30" s="27" cm="1">
        <f t="array" aca="1" ref="C30:C43" ca="1">_xlfn.SORTBY($G$30:$G$43, _xlfn.RANDARRAY(14))</f>
        <v>1</v>
      </c>
      <c r="D30" s="27" cm="1">
        <f t="array" aca="1" ref="D30:D43" ca="1">_xlfn.SORTBY($G$30:$G$43, _xlfn.RANDARRAY(14))</f>
        <v>12</v>
      </c>
      <c r="E30" s="27" cm="1">
        <f t="array" aca="1" ref="E30:E43" ca="1">_xlfn.SORTBY($G$30:$G$43, _xlfn.RANDARRAY(14))</f>
        <v>7</v>
      </c>
      <c r="G30">
        <v>1</v>
      </c>
    </row>
    <row r="31" spans="1:7" x14ac:dyDescent="0.25">
      <c r="A31" t="s">
        <v>82</v>
      </c>
      <c r="B31" s="27">
        <f ca="1"/>
        <v>14</v>
      </c>
      <c r="C31" s="27">
        <f ca="1"/>
        <v>12</v>
      </c>
      <c r="D31" s="27">
        <f ca="1"/>
        <v>6</v>
      </c>
      <c r="E31" s="27">
        <f ca="1"/>
        <v>13</v>
      </c>
      <c r="G31">
        <v>2</v>
      </c>
    </row>
    <row r="32" spans="1:7" x14ac:dyDescent="0.25">
      <c r="A32" t="s">
        <v>81</v>
      </c>
      <c r="B32" s="27">
        <f ca="1"/>
        <v>4</v>
      </c>
      <c r="C32" s="27">
        <f ca="1"/>
        <v>7</v>
      </c>
      <c r="D32" s="27">
        <f ca="1"/>
        <v>13</v>
      </c>
      <c r="E32" s="27">
        <f ca="1"/>
        <v>14</v>
      </c>
      <c r="G32">
        <v>3</v>
      </c>
    </row>
    <row r="33" spans="1:7" x14ac:dyDescent="0.25">
      <c r="A33" t="s">
        <v>83</v>
      </c>
      <c r="B33" s="27">
        <f ca="1"/>
        <v>5</v>
      </c>
      <c r="C33" s="27">
        <f ca="1"/>
        <v>8</v>
      </c>
      <c r="D33" s="27">
        <f ca="1"/>
        <v>2</v>
      </c>
      <c r="E33" s="27">
        <f ca="1"/>
        <v>3</v>
      </c>
      <c r="G33">
        <v>4</v>
      </c>
    </row>
    <row r="34" spans="1:7" x14ac:dyDescent="0.25">
      <c r="A34" t="s">
        <v>93</v>
      </c>
      <c r="B34" s="27">
        <f ca="1"/>
        <v>2</v>
      </c>
      <c r="C34" s="27">
        <f ca="1"/>
        <v>6</v>
      </c>
      <c r="D34" s="27">
        <f ca="1"/>
        <v>8</v>
      </c>
      <c r="E34" s="27">
        <f ca="1"/>
        <v>4</v>
      </c>
      <c r="G34">
        <v>5</v>
      </c>
    </row>
    <row r="35" spans="1:7" x14ac:dyDescent="0.25">
      <c r="A35" t="s">
        <v>84</v>
      </c>
      <c r="B35" s="27">
        <f ca="1"/>
        <v>11</v>
      </c>
      <c r="C35" s="27">
        <f ca="1"/>
        <v>2</v>
      </c>
      <c r="D35" s="27">
        <f ca="1"/>
        <v>14</v>
      </c>
      <c r="E35" s="27">
        <f ca="1"/>
        <v>11</v>
      </c>
      <c r="G35">
        <v>6</v>
      </c>
    </row>
    <row r="36" spans="1:7" x14ac:dyDescent="0.25">
      <c r="A36" t="s">
        <v>85</v>
      </c>
      <c r="B36" s="27">
        <f ca="1"/>
        <v>9</v>
      </c>
      <c r="C36" s="27">
        <f ca="1"/>
        <v>14</v>
      </c>
      <c r="D36" s="27">
        <f ca="1"/>
        <v>4</v>
      </c>
      <c r="E36" s="27">
        <f ca="1"/>
        <v>2</v>
      </c>
      <c r="G36">
        <v>7</v>
      </c>
    </row>
    <row r="37" spans="1:7" x14ac:dyDescent="0.25">
      <c r="A37" t="s">
        <v>86</v>
      </c>
      <c r="B37" s="27">
        <f ca="1"/>
        <v>3</v>
      </c>
      <c r="C37" s="27">
        <f ca="1"/>
        <v>13</v>
      </c>
      <c r="D37" s="27">
        <f ca="1"/>
        <v>3</v>
      </c>
      <c r="E37" s="27">
        <f ca="1"/>
        <v>5</v>
      </c>
      <c r="G37">
        <v>8</v>
      </c>
    </row>
    <row r="38" spans="1:7" x14ac:dyDescent="0.25">
      <c r="A38" t="s">
        <v>87</v>
      </c>
      <c r="B38" s="27">
        <f ca="1"/>
        <v>12</v>
      </c>
      <c r="C38" s="27">
        <f ca="1"/>
        <v>5</v>
      </c>
      <c r="D38" s="27">
        <f ca="1"/>
        <v>11</v>
      </c>
      <c r="E38" s="27">
        <f ca="1"/>
        <v>6</v>
      </c>
      <c r="G38">
        <v>9</v>
      </c>
    </row>
    <row r="39" spans="1:7" x14ac:dyDescent="0.25">
      <c r="A39" t="s">
        <v>88</v>
      </c>
      <c r="B39" s="27">
        <f ca="1"/>
        <v>13</v>
      </c>
      <c r="C39" s="27">
        <f ca="1"/>
        <v>4</v>
      </c>
      <c r="D39" s="27">
        <f ca="1"/>
        <v>1</v>
      </c>
      <c r="E39" s="27">
        <f ca="1"/>
        <v>8</v>
      </c>
      <c r="G39">
        <v>10</v>
      </c>
    </row>
    <row r="40" spans="1:7" x14ac:dyDescent="0.25">
      <c r="A40" t="s">
        <v>89</v>
      </c>
      <c r="B40" s="27">
        <f ca="1"/>
        <v>10</v>
      </c>
      <c r="C40" s="27">
        <f ca="1"/>
        <v>11</v>
      </c>
      <c r="D40" s="27">
        <f ca="1"/>
        <v>5</v>
      </c>
      <c r="E40" s="27">
        <f ca="1"/>
        <v>10</v>
      </c>
      <c r="G40">
        <v>11</v>
      </c>
    </row>
    <row r="41" spans="1:7" x14ac:dyDescent="0.25">
      <c r="A41" t="s">
        <v>90</v>
      </c>
      <c r="B41" s="27">
        <f ca="1"/>
        <v>6</v>
      </c>
      <c r="C41" s="27">
        <f ca="1"/>
        <v>3</v>
      </c>
      <c r="D41" s="27">
        <f ca="1"/>
        <v>7</v>
      </c>
      <c r="E41" s="27">
        <f ca="1"/>
        <v>12</v>
      </c>
      <c r="G41">
        <v>12</v>
      </c>
    </row>
    <row r="42" spans="1:7" x14ac:dyDescent="0.25">
      <c r="A42" t="s">
        <v>91</v>
      </c>
      <c r="B42" s="27">
        <f ca="1"/>
        <v>8</v>
      </c>
      <c r="C42" s="27">
        <f ca="1"/>
        <v>10</v>
      </c>
      <c r="D42" s="27">
        <f ca="1"/>
        <v>10</v>
      </c>
      <c r="E42" s="27">
        <f ca="1"/>
        <v>9</v>
      </c>
      <c r="G42">
        <v>13</v>
      </c>
    </row>
    <row r="43" spans="1:7" x14ac:dyDescent="0.25">
      <c r="A43" t="s">
        <v>92</v>
      </c>
      <c r="B43" s="27">
        <f ca="1"/>
        <v>1</v>
      </c>
      <c r="C43" s="27">
        <f ca="1"/>
        <v>9</v>
      </c>
      <c r="D43" s="27">
        <f ca="1"/>
        <v>9</v>
      </c>
      <c r="E43" s="27">
        <f ca="1"/>
        <v>1</v>
      </c>
      <c r="G43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Desai</dc:creator>
  <cp:lastModifiedBy>Matt Desai</cp:lastModifiedBy>
  <dcterms:created xsi:type="dcterms:W3CDTF">2025-08-22T23:34:31Z</dcterms:created>
  <dcterms:modified xsi:type="dcterms:W3CDTF">2025-11-06T17:15:28Z</dcterms:modified>
</cp:coreProperties>
</file>