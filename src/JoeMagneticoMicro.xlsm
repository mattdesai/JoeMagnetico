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2FD79BAF-BD8C-4381-9FDC-1744142A9845}" xr6:coauthVersionLast="47" xr6:coauthVersionMax="47" xr10:uidLastSave="{00000000-0000-0000-0000-000000000000}"/>
  <bookViews>
    <workbookView xWindow="38280" yWindow="-220" windowWidth="38640" windowHeight="21120" tabRatio="601" xr2:uid="{00000000-000D-0000-FFFF-FFFF00000000}"/>
  </bookViews>
  <sheets>
    <sheet name="Status" sheetId="45" r:id="rId1"/>
    <sheet name="ESPNPicks" sheetId="35" r:id="rId2"/>
    <sheet name="ESPNMicro" sheetId="37" r:id="rId3"/>
    <sheet name="Standings" sheetId="51" r:id="rId4"/>
    <sheet name="ESPNScores" sheetId="39" r:id="rId5"/>
    <sheet name="eField" sheetId="48" r:id="rId6"/>
    <sheet name="Top 40" sheetId="25" r:id="rId7"/>
    <sheet name="OWGR" sheetId="50" r:id="rId8"/>
    <sheet name="Picks30" sheetId="30" r:id="rId9"/>
    <sheet name="Micro30" sheetId="40" r:id="rId10"/>
    <sheet name="Final 30" sheetId="29" r:id="rId11"/>
  </sheets>
  <functionGroups builtInGroupCount="19"/>
  <definedNames>
    <definedName name="_xleta.TRANSPOSE" hidden="1" xlm="1">#NAME?</definedName>
    <definedName name="ExternalData_1" localSheetId="7" hidden="1">OWGR!$A$1:$B$101</definedName>
    <definedName name="ExternalData_2" localSheetId="4" hidden="1">ESPNScores!$A$1:$B$73</definedName>
    <definedName name="ExternalData_3" localSheetId="5" hidden="1">eField!$A$1:$A$73</definedName>
    <definedName name="NotTop40">eField!$C$2:$C$160</definedName>
    <definedName name="PLAYER">eField[[#Headers],[PLAYER]]</definedName>
  </definedNames>
  <calcPr calcId="191029"/>
  <webPublishing vml="1"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 i="51" l="1"/>
  <c r="B4" i="51"/>
  <c r="B54" i="37"/>
  <c r="C3" i="37"/>
  <c r="B54" i="35"/>
  <c r="C3" i="35"/>
  <c r="M54" i="35"/>
  <c r="O54" i="35"/>
  <c r="F66" i="35"/>
  <c r="Q35" i="37"/>
  <c r="V53" i="35"/>
  <c r="V52" i="35"/>
  <c r="V51" i="35"/>
  <c r="V50" i="35"/>
  <c r="V49" i="35"/>
  <c r="V48" i="35"/>
  <c r="V47" i="35"/>
  <c r="V46" i="35"/>
  <c r="V45" i="35"/>
  <c r="V44" i="35"/>
  <c r="V43" i="35" a="1"/>
  <c r="X53" i="37"/>
  <c r="X52" i="37"/>
  <c r="X51" i="37"/>
  <c r="X50" i="37"/>
  <c r="X49" i="37"/>
  <c r="X48" i="37"/>
  <c r="X47" i="37"/>
  <c r="X46" i="37"/>
  <c r="X45" i="37"/>
  <c r="X44" i="37"/>
  <c r="X43" i="37" a="1"/>
  <c r="F86" i="35"/>
  <c r="F85" i="35"/>
  <c r="F83" i="35"/>
  <c r="F84" i="35"/>
  <c r="F82" i="35"/>
  <c r="F81" i="35"/>
  <c r="F80" i="35"/>
  <c r="F79" i="35"/>
  <c r="F78" i="35"/>
  <c r="F77" i="35"/>
  <c r="F76" i="35"/>
  <c r="F75" i="35"/>
  <c r="F74" i="35"/>
  <c r="F73" i="35"/>
  <c r="F72" i="35"/>
  <c r="F71" i="35"/>
  <c r="F70" i="35"/>
  <c r="F69" i="35"/>
  <c r="F68" i="35"/>
  <c r="F67" i="35"/>
  <c r="F65" i="35"/>
  <c r="F64" i="35"/>
  <c r="F63" i="35"/>
  <c r="F62" i="35"/>
  <c r="F61" i="35"/>
  <c r="F60" i="35"/>
  <c r="F82" i="37"/>
  <c r="F74" i="37"/>
  <c r="F67" i="37"/>
  <c r="F66" i="37"/>
  <c r="F63" i="37"/>
  <c r="F89" i="37"/>
  <c r="F88" i="37"/>
  <c r="F87" i="37"/>
  <c r="F86" i="37"/>
  <c r="F85" i="37"/>
  <c r="F84" i="37"/>
  <c r="F83" i="37"/>
  <c r="F81" i="37"/>
  <c r="F80" i="37"/>
  <c r="F79" i="37"/>
  <c r="F78" i="37"/>
  <c r="F77" i="37"/>
  <c r="F76" i="37"/>
  <c r="F75" i="37"/>
  <c r="F73" i="37"/>
  <c r="F72" i="37"/>
  <c r="F71" i="37"/>
  <c r="F70" i="37"/>
  <c r="F69" i="37"/>
  <c r="F68" i="37"/>
  <c r="F65" i="37"/>
  <c r="F64" i="37"/>
  <c r="F62" i="37"/>
  <c r="F61" i="37"/>
  <c r="F60" i="37"/>
  <c r="C2" i="48" a="1"/>
  <c r="C10" i="25" a="1"/>
  <c r="C9" i="25" a="1"/>
  <c r="C8" i="25" a="1"/>
  <c r="C7" i="25" a="1"/>
  <c r="C6" i="25" a="1"/>
  <c r="C5" i="25" a="1"/>
  <c r="C4" i="25" a="1"/>
  <c r="C3" i="25" a="1"/>
  <c r="C50" i="35"/>
  <c r="B50" i="35"/>
  <c r="Q53" i="35"/>
  <c r="Q52" i="35"/>
  <c r="Q51" i="35"/>
  <c r="Q50" i="35"/>
  <c r="Q49" i="35"/>
  <c r="Q48" i="35"/>
  <c r="Q47" i="35"/>
  <c r="Q46" i="35"/>
  <c r="Q45" i="35"/>
  <c r="Q44" i="35"/>
  <c r="O53" i="35"/>
  <c r="O52" i="35"/>
  <c r="O51" i="35"/>
  <c r="O50" i="35"/>
  <c r="O49" i="35"/>
  <c r="O48" i="35"/>
  <c r="O47" i="35"/>
  <c r="O46" i="35"/>
  <c r="O45" i="35"/>
  <c r="O44" i="35"/>
  <c r="C51" i="37"/>
  <c r="B51" i="37"/>
  <c r="M53" i="35"/>
  <c r="K53" i="35"/>
  <c r="M52" i="35"/>
  <c r="K52" i="35"/>
  <c r="M51" i="35"/>
  <c r="K51" i="35"/>
  <c r="M50" i="35"/>
  <c r="K50" i="35"/>
  <c r="M49" i="35"/>
  <c r="K49" i="35"/>
  <c r="M48" i="35"/>
  <c r="K48" i="35"/>
  <c r="M47" i="35"/>
  <c r="K47" i="35"/>
  <c r="M46" i="35"/>
  <c r="K46" i="35"/>
  <c r="M45" i="35"/>
  <c r="K45" i="35"/>
  <c r="M44" i="35"/>
  <c r="K44" i="35"/>
  <c r="C49" i="35"/>
  <c r="C48" i="35"/>
  <c r="C47" i="35"/>
  <c r="C46" i="35"/>
  <c r="C45" i="35"/>
  <c r="C44" i="35"/>
  <c r="C43" i="35"/>
  <c r="C42" i="35"/>
  <c r="B49" i="35"/>
  <c r="B48" i="35"/>
  <c r="B47" i="35"/>
  <c r="B46" i="35"/>
  <c r="B45" i="35"/>
  <c r="B44" i="35"/>
  <c r="B43" i="35"/>
  <c r="B42" i="35"/>
  <c r="I53" i="35"/>
  <c r="G53" i="35"/>
  <c r="I52" i="35"/>
  <c r="G52" i="35"/>
  <c r="I51" i="35"/>
  <c r="G51" i="35"/>
  <c r="I50" i="35"/>
  <c r="G50" i="35"/>
  <c r="I49" i="35"/>
  <c r="G49" i="35"/>
  <c r="I48" i="35"/>
  <c r="G48" i="35"/>
  <c r="I47" i="35"/>
  <c r="G47" i="35"/>
  <c r="I46" i="35"/>
  <c r="G46" i="35"/>
  <c r="I45" i="35"/>
  <c r="G45" i="35"/>
  <c r="I44" i="35"/>
  <c r="G44" i="35"/>
  <c r="C33" i="30"/>
  <c r="B33" i="30"/>
  <c r="C32" i="30"/>
  <c r="B32" i="30"/>
  <c r="C45" i="40"/>
  <c r="B45" i="40"/>
  <c r="C44" i="40"/>
  <c r="B44" i="40"/>
  <c r="C43" i="40"/>
  <c r="B43" i="40"/>
  <c r="C42" i="40"/>
  <c r="B42" i="40"/>
  <c r="C41" i="40"/>
  <c r="B41" i="40"/>
  <c r="C40" i="40"/>
  <c r="B40" i="40"/>
  <c r="Q48" i="40"/>
  <c r="Q47" i="40"/>
  <c r="Q46" i="40"/>
  <c r="Q45" i="40"/>
  <c r="Q44" i="40"/>
  <c r="Q43" i="40"/>
  <c r="Q42" i="40"/>
  <c r="Q41" i="40"/>
  <c r="Q40" i="40"/>
  <c r="Q39" i="40"/>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S5" i="35"/>
  <c r="G25" i="37"/>
  <c r="M38" i="37"/>
  <c r="K38" i="37"/>
  <c r="I38" i="37"/>
  <c r="I51" i="37"/>
  <c r="K51" i="37"/>
  <c r="M53" i="37"/>
  <c r="Q51" i="37"/>
  <c r="Q25" i="37"/>
  <c r="K12" i="37"/>
  <c r="S41" i="35"/>
  <c r="S40" i="35"/>
  <c r="S39" i="35"/>
  <c r="S38" i="35"/>
  <c r="S37" i="35"/>
  <c r="S36" i="35"/>
  <c r="S35" i="35"/>
  <c r="S34" i="35"/>
  <c r="S33" i="35"/>
  <c r="S32" i="35"/>
  <c r="S31" i="35"/>
  <c r="Q41" i="35"/>
  <c r="Q40" i="35"/>
  <c r="Q39" i="35"/>
  <c r="Q38" i="35"/>
  <c r="Q37" i="35"/>
  <c r="Q36" i="35"/>
  <c r="Q35" i="35"/>
  <c r="Q34" i="35"/>
  <c r="Q33" i="35"/>
  <c r="Q32" i="35"/>
  <c r="Q31" i="35"/>
  <c r="O41" i="35"/>
  <c r="O40" i="35"/>
  <c r="O39" i="35"/>
  <c r="O38" i="35"/>
  <c r="O37" i="35"/>
  <c r="O36" i="35"/>
  <c r="O35" i="35"/>
  <c r="O34" i="35"/>
  <c r="O33" i="35"/>
  <c r="O32" i="35"/>
  <c r="O31" i="35"/>
  <c r="M41" i="35"/>
  <c r="M40" i="35"/>
  <c r="M39" i="35"/>
  <c r="M38" i="35"/>
  <c r="M37" i="35"/>
  <c r="M36" i="35"/>
  <c r="M35" i="35"/>
  <c r="M34" i="35"/>
  <c r="M33" i="35"/>
  <c r="M32" i="35"/>
  <c r="M31" i="35"/>
  <c r="K41" i="35"/>
  <c r="K40" i="35"/>
  <c r="K39" i="35"/>
  <c r="K38" i="35"/>
  <c r="K37" i="35"/>
  <c r="K36" i="35"/>
  <c r="K35" i="35"/>
  <c r="K34" i="35"/>
  <c r="K33" i="35"/>
  <c r="K32" i="35"/>
  <c r="K31" i="35"/>
  <c r="I41" i="35"/>
  <c r="I40" i="35"/>
  <c r="I39" i="35"/>
  <c r="I38" i="35"/>
  <c r="I37" i="35"/>
  <c r="I36" i="35"/>
  <c r="I35" i="35"/>
  <c r="I34" i="35"/>
  <c r="I33" i="35"/>
  <c r="I32" i="35"/>
  <c r="I31" i="35"/>
  <c r="G41" i="35"/>
  <c r="G40" i="35"/>
  <c r="G39" i="35"/>
  <c r="G38" i="35"/>
  <c r="G37" i="35"/>
  <c r="G36" i="35"/>
  <c r="G35" i="35"/>
  <c r="G34" i="35"/>
  <c r="G33" i="35"/>
  <c r="G32" i="35"/>
  <c r="G31" i="35"/>
  <c r="S28" i="35"/>
  <c r="S27" i="35"/>
  <c r="S26" i="35"/>
  <c r="S25" i="35"/>
  <c r="S24" i="35"/>
  <c r="S23" i="35"/>
  <c r="S22" i="35"/>
  <c r="S21" i="35"/>
  <c r="S20" i="35"/>
  <c r="S19" i="35"/>
  <c r="S18" i="35"/>
  <c r="Q28" i="35"/>
  <c r="Q27" i="35"/>
  <c r="Q26" i="35"/>
  <c r="Q25" i="35"/>
  <c r="Q24" i="35"/>
  <c r="Q23" i="35"/>
  <c r="Q22" i="35"/>
  <c r="Q21" i="35"/>
  <c r="Q20" i="35"/>
  <c r="Q19" i="35"/>
  <c r="Q18" i="35"/>
  <c r="O28" i="35"/>
  <c r="O27" i="35"/>
  <c r="O26" i="35"/>
  <c r="O25" i="35"/>
  <c r="O24" i="35"/>
  <c r="O23" i="35"/>
  <c r="O22" i="35"/>
  <c r="O21" i="35"/>
  <c r="O20" i="35"/>
  <c r="O19" i="35"/>
  <c r="O18" i="35"/>
  <c r="M28" i="35"/>
  <c r="M27" i="35"/>
  <c r="M26" i="35"/>
  <c r="M25" i="35"/>
  <c r="M24" i="35"/>
  <c r="M23" i="35"/>
  <c r="M22" i="35"/>
  <c r="M21" i="35"/>
  <c r="M20" i="35"/>
  <c r="M19" i="35"/>
  <c r="M18" i="35"/>
  <c r="K28" i="35"/>
  <c r="K27" i="35"/>
  <c r="K26" i="35"/>
  <c r="K25" i="35"/>
  <c r="K24" i="35"/>
  <c r="K23" i="35"/>
  <c r="K22" i="35"/>
  <c r="K21" i="35"/>
  <c r="K20" i="35"/>
  <c r="K19" i="35"/>
  <c r="K18" i="35"/>
  <c r="I28" i="35"/>
  <c r="I27" i="35"/>
  <c r="I26" i="35"/>
  <c r="I25" i="35"/>
  <c r="I24" i="35"/>
  <c r="I23" i="35"/>
  <c r="I22" i="35"/>
  <c r="I21" i="35"/>
  <c r="I20" i="35"/>
  <c r="I19" i="35"/>
  <c r="I18" i="35"/>
  <c r="G28" i="35"/>
  <c r="G27" i="35"/>
  <c r="G26" i="35"/>
  <c r="G25" i="35"/>
  <c r="G24" i="35"/>
  <c r="G23" i="35"/>
  <c r="G22" i="35"/>
  <c r="G21" i="35"/>
  <c r="G20" i="35"/>
  <c r="G19" i="35"/>
  <c r="G18" i="35"/>
  <c r="O15" i="35"/>
  <c r="O14" i="35"/>
  <c r="O13" i="35"/>
  <c r="O12" i="35"/>
  <c r="O11" i="35"/>
  <c r="O10" i="35"/>
  <c r="O9" i="35"/>
  <c r="O8" i="35"/>
  <c r="O7" i="35"/>
  <c r="O6" i="35"/>
  <c r="O5" i="35"/>
  <c r="S15" i="35"/>
  <c r="S14" i="35"/>
  <c r="S13" i="35"/>
  <c r="S12" i="35"/>
  <c r="S11" i="35"/>
  <c r="S10" i="35"/>
  <c r="S9" i="35"/>
  <c r="S8" i="35"/>
  <c r="S7" i="35"/>
  <c r="S6" i="35"/>
  <c r="Q15" i="35"/>
  <c r="Q14" i="35"/>
  <c r="Q13" i="35"/>
  <c r="Q12" i="35"/>
  <c r="Q11" i="35"/>
  <c r="Q10" i="35"/>
  <c r="Q9" i="35"/>
  <c r="Q8" i="35"/>
  <c r="Q7" i="35"/>
  <c r="Q6" i="35"/>
  <c r="Q5" i="35"/>
  <c r="M15" i="35"/>
  <c r="M14" i="35"/>
  <c r="M13" i="35"/>
  <c r="M12" i="35"/>
  <c r="M11" i="35"/>
  <c r="M10" i="35"/>
  <c r="M9" i="35"/>
  <c r="M8" i="35"/>
  <c r="M7" i="35"/>
  <c r="M6" i="35"/>
  <c r="M5" i="35"/>
  <c r="K15" i="35"/>
  <c r="K14" i="35"/>
  <c r="K13" i="35"/>
  <c r="K12" i="35"/>
  <c r="K11" i="35"/>
  <c r="K10" i="35"/>
  <c r="K9" i="35"/>
  <c r="K8" i="35"/>
  <c r="K7" i="35"/>
  <c r="K6" i="35"/>
  <c r="K5" i="35"/>
  <c r="I15" i="35"/>
  <c r="I14" i="35"/>
  <c r="I13" i="35"/>
  <c r="I12" i="35"/>
  <c r="I11" i="35"/>
  <c r="I10" i="35"/>
  <c r="I9" i="35"/>
  <c r="I8" i="35"/>
  <c r="I7" i="35"/>
  <c r="I6" i="35"/>
  <c r="I5" i="35"/>
  <c r="G15" i="35"/>
  <c r="G14" i="35"/>
  <c r="G13" i="35"/>
  <c r="G12" i="35"/>
  <c r="G11" i="35"/>
  <c r="G10" i="35"/>
  <c r="G9" i="35"/>
  <c r="G8" i="35"/>
  <c r="G7" i="35"/>
  <c r="G6" i="35"/>
  <c r="G5" i="35"/>
  <c r="Q52" i="37"/>
  <c r="I20" i="37"/>
  <c r="G44" i="37"/>
  <c r="U18" i="37"/>
  <c r="C50" i="37"/>
  <c r="B50" i="37"/>
  <c r="C49" i="37"/>
  <c r="B49" i="37"/>
  <c r="C48" i="37"/>
  <c r="B48" i="37"/>
  <c r="Q54" i="37"/>
  <c r="O54" i="37"/>
  <c r="M54" i="37"/>
  <c r="K54" i="37"/>
  <c r="I54" i="37"/>
  <c r="G54" i="37"/>
  <c r="U41" i="37"/>
  <c r="S41" i="37"/>
  <c r="Q41" i="37"/>
  <c r="O41" i="37"/>
  <c r="M41" i="37"/>
  <c r="K41" i="37"/>
  <c r="I41" i="37"/>
  <c r="G41" i="37"/>
  <c r="U28" i="37"/>
  <c r="S28" i="37"/>
  <c r="Q28" i="37"/>
  <c r="O28" i="37"/>
  <c r="M28" i="37"/>
  <c r="K28" i="37"/>
  <c r="I28" i="37"/>
  <c r="G28" i="37"/>
  <c r="U15" i="37"/>
  <c r="S15" i="37"/>
  <c r="Q15" i="37"/>
  <c r="O15" i="37"/>
  <c r="M15" i="37"/>
  <c r="K15" i="37"/>
  <c r="I15" i="37"/>
  <c r="G15" i="37"/>
  <c r="C47" i="37"/>
  <c r="B47" i="37"/>
  <c r="C46" i="37"/>
  <c r="B46" i="37"/>
  <c r="C45" i="37"/>
  <c r="B45" i="37"/>
  <c r="C44" i="37"/>
  <c r="B44" i="37"/>
  <c r="C41" i="35"/>
  <c r="B41" i="35"/>
  <c r="C40" i="35"/>
  <c r="B40" i="35"/>
  <c r="C43" i="37"/>
  <c r="B43" i="37"/>
  <c r="C42" i="37"/>
  <c r="B42" i="37"/>
  <c r="C39" i="35"/>
  <c r="B39" i="35"/>
  <c r="G51" i="37"/>
  <c r="Q53" i="37"/>
  <c r="Q50" i="37"/>
  <c r="Q49" i="37"/>
  <c r="Q48" i="37"/>
  <c r="Q47" i="37"/>
  <c r="Q46" i="37"/>
  <c r="Q45" i="37"/>
  <c r="Q44"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1" i="30"/>
  <c r="B31" i="30"/>
  <c r="C30" i="30"/>
  <c r="B30" i="30"/>
  <c r="C29" i="30"/>
  <c r="B29" i="30"/>
  <c r="C28" i="30"/>
  <c r="B28" i="30"/>
  <c r="C27" i="30"/>
  <c r="B27" i="30"/>
  <c r="C41" i="37"/>
  <c r="B41" i="37"/>
  <c r="C40" i="37"/>
  <c r="B40" i="37"/>
  <c r="C39" i="37"/>
  <c r="B39" i="37"/>
  <c r="C38" i="37"/>
  <c r="B38" i="37"/>
  <c r="C37" i="37"/>
  <c r="B37" i="37"/>
  <c r="O53" i="37"/>
  <c r="O52" i="37"/>
  <c r="O51" i="37"/>
  <c r="O50" i="37"/>
  <c r="O49" i="37"/>
  <c r="O48" i="37"/>
  <c r="O47" i="37"/>
  <c r="O46" i="37"/>
  <c r="O45" i="37"/>
  <c r="O44" i="37"/>
  <c r="M52" i="37"/>
  <c r="M51" i="37"/>
  <c r="M50" i="37"/>
  <c r="M49" i="37"/>
  <c r="M48" i="37"/>
  <c r="M47" i="37"/>
  <c r="M46" i="37"/>
  <c r="M45" i="37"/>
  <c r="M44" i="37"/>
  <c r="K53" i="37"/>
  <c r="K52" i="37"/>
  <c r="K50" i="37"/>
  <c r="K49" i="37"/>
  <c r="K48" i="37"/>
  <c r="K47" i="37"/>
  <c r="K46" i="37"/>
  <c r="K45" i="37"/>
  <c r="K44" i="37"/>
  <c r="I53" i="37"/>
  <c r="I52" i="37"/>
  <c r="I50" i="37"/>
  <c r="I49" i="37"/>
  <c r="I48" i="37"/>
  <c r="I47" i="37"/>
  <c r="I46" i="37"/>
  <c r="I45" i="37"/>
  <c r="I44" i="37"/>
  <c r="G53" i="37"/>
  <c r="G52" i="37"/>
  <c r="G50" i="37"/>
  <c r="G49" i="37"/>
  <c r="G48" i="37"/>
  <c r="G47" i="37"/>
  <c r="G46" i="37"/>
  <c r="G45" i="37"/>
  <c r="U40" i="37"/>
  <c r="U39" i="37"/>
  <c r="U38" i="37"/>
  <c r="U37" i="37"/>
  <c r="U36" i="37"/>
  <c r="U35" i="37"/>
  <c r="U34" i="37"/>
  <c r="U33" i="37"/>
  <c r="U32" i="37"/>
  <c r="U31" i="37"/>
  <c r="S40" i="37"/>
  <c r="S39" i="37"/>
  <c r="S38" i="37"/>
  <c r="S37" i="37"/>
  <c r="S36" i="37"/>
  <c r="S35" i="37"/>
  <c r="S34" i="37"/>
  <c r="S33" i="37"/>
  <c r="S32" i="37"/>
  <c r="S31" i="37"/>
  <c r="Q40" i="37"/>
  <c r="Q39" i="37"/>
  <c r="Q38" i="37"/>
  <c r="Q37" i="37"/>
  <c r="Q36" i="37"/>
  <c r="Q34" i="37"/>
  <c r="Q33" i="37"/>
  <c r="Q32" i="37"/>
  <c r="Q31" i="37"/>
  <c r="O40" i="37"/>
  <c r="O39" i="37"/>
  <c r="O38" i="37"/>
  <c r="O37" i="37"/>
  <c r="O36" i="37"/>
  <c r="O35" i="37"/>
  <c r="O34" i="37"/>
  <c r="O33" i="37"/>
  <c r="O32" i="37"/>
  <c r="O31" i="37"/>
  <c r="M40" i="37"/>
  <c r="M39" i="37"/>
  <c r="M37" i="37"/>
  <c r="M36" i="37"/>
  <c r="M35" i="37"/>
  <c r="M34" i="37"/>
  <c r="M33" i="37"/>
  <c r="M32" i="37"/>
  <c r="M31" i="37"/>
  <c r="K40" i="37"/>
  <c r="K39" i="37"/>
  <c r="K37" i="37"/>
  <c r="K36" i="37"/>
  <c r="K35" i="37"/>
  <c r="K34" i="37"/>
  <c r="K33" i="37"/>
  <c r="K32" i="37"/>
  <c r="K31" i="37"/>
  <c r="I40" i="37"/>
  <c r="I39" i="37"/>
  <c r="I37" i="37"/>
  <c r="I36" i="37"/>
  <c r="I35" i="37"/>
  <c r="I34" i="37"/>
  <c r="I33" i="37"/>
  <c r="I32" i="37"/>
  <c r="I31" i="37"/>
  <c r="G40" i="37"/>
  <c r="G39" i="37"/>
  <c r="G38" i="37"/>
  <c r="G37" i="37"/>
  <c r="G36" i="37"/>
  <c r="G35" i="37"/>
  <c r="G34" i="37"/>
  <c r="G33" i="37"/>
  <c r="G32" i="37"/>
  <c r="G31" i="37"/>
  <c r="G27" i="37"/>
  <c r="G26" i="37"/>
  <c r="G24" i="37"/>
  <c r="G23" i="37"/>
  <c r="G22" i="37"/>
  <c r="G21" i="37"/>
  <c r="G20" i="37"/>
  <c r="G19" i="37"/>
  <c r="G18" i="37"/>
  <c r="I27" i="37"/>
  <c r="I26" i="37"/>
  <c r="I25" i="37"/>
  <c r="I24" i="37"/>
  <c r="I23" i="37"/>
  <c r="I22" i="37"/>
  <c r="I21" i="37"/>
  <c r="I19" i="37"/>
  <c r="I18" i="37"/>
  <c r="K27" i="37"/>
  <c r="K26" i="37"/>
  <c r="K25" i="37"/>
  <c r="K24" i="37"/>
  <c r="K23" i="37"/>
  <c r="K22" i="37"/>
  <c r="K21" i="37"/>
  <c r="K20" i="37"/>
  <c r="K19" i="37"/>
  <c r="K18" i="37"/>
  <c r="M27" i="37"/>
  <c r="M26" i="37"/>
  <c r="M25" i="37"/>
  <c r="M24" i="37"/>
  <c r="M23" i="37"/>
  <c r="M22" i="37"/>
  <c r="M21" i="37"/>
  <c r="M20" i="37"/>
  <c r="M19" i="37"/>
  <c r="M18" i="37"/>
  <c r="O27" i="37"/>
  <c r="O26" i="37"/>
  <c r="O25" i="37"/>
  <c r="O24" i="37"/>
  <c r="O23" i="37"/>
  <c r="O22" i="37"/>
  <c r="O21" i="37"/>
  <c r="O20" i="37"/>
  <c r="O19" i="37"/>
  <c r="O18" i="37"/>
  <c r="Q27" i="37"/>
  <c r="Q26" i="37"/>
  <c r="Q24" i="37"/>
  <c r="Q23" i="37"/>
  <c r="Q22" i="37"/>
  <c r="Q21" i="37"/>
  <c r="Q20" i="37"/>
  <c r="Q19" i="37"/>
  <c r="Q18" i="37"/>
  <c r="S27" i="37"/>
  <c r="S26" i="37"/>
  <c r="S25" i="37"/>
  <c r="S24" i="37"/>
  <c r="S23" i="37"/>
  <c r="S22" i="37"/>
  <c r="S21" i="37"/>
  <c r="S20" i="37"/>
  <c r="S19" i="37"/>
  <c r="S18" i="37"/>
  <c r="U27" i="37"/>
  <c r="U26" i="37"/>
  <c r="U25" i="37"/>
  <c r="U24" i="37"/>
  <c r="U23" i="37"/>
  <c r="U22" i="37"/>
  <c r="U21" i="37"/>
  <c r="U20" i="37"/>
  <c r="U19" i="37"/>
  <c r="U14" i="37"/>
  <c r="U13" i="37"/>
  <c r="U12" i="37"/>
  <c r="U11" i="37"/>
  <c r="U10" i="37"/>
  <c r="U9" i="37"/>
  <c r="U8" i="37"/>
  <c r="U7" i="37"/>
  <c r="U6" i="37"/>
  <c r="U5" i="37"/>
  <c r="S14" i="37"/>
  <c r="S13" i="37"/>
  <c r="S12" i="37"/>
  <c r="S11" i="37"/>
  <c r="S10" i="37"/>
  <c r="S9" i="37"/>
  <c r="S8" i="37"/>
  <c r="S7" i="37"/>
  <c r="S6" i="37"/>
  <c r="S5" i="37"/>
  <c r="Q14" i="37"/>
  <c r="Q13" i="37"/>
  <c r="Q12" i="37"/>
  <c r="Q11" i="37"/>
  <c r="Q10" i="37"/>
  <c r="Q9" i="37"/>
  <c r="Q8" i="37"/>
  <c r="Q7" i="37"/>
  <c r="Q6" i="37"/>
  <c r="Q5" i="37"/>
  <c r="O14" i="37"/>
  <c r="O13" i="37"/>
  <c r="O12" i="37"/>
  <c r="O11" i="37"/>
  <c r="O10" i="37"/>
  <c r="O9" i="37"/>
  <c r="O8" i="37"/>
  <c r="O7" i="37"/>
  <c r="O6" i="37"/>
  <c r="O5" i="37"/>
  <c r="M14" i="37"/>
  <c r="M13" i="37"/>
  <c r="M12" i="37"/>
  <c r="M11" i="37"/>
  <c r="M10" i="37"/>
  <c r="M9" i="37"/>
  <c r="M8" i="37"/>
  <c r="M7" i="37"/>
  <c r="M6" i="37"/>
  <c r="M5" i="37"/>
  <c r="K14" i="37"/>
  <c r="K13" i="37"/>
  <c r="K11" i="37"/>
  <c r="K10" i="37"/>
  <c r="K9" i="37"/>
  <c r="K8" i="37"/>
  <c r="K7" i="37"/>
  <c r="K6" i="37"/>
  <c r="K5" i="37"/>
  <c r="I14" i="37"/>
  <c r="I13" i="37"/>
  <c r="I12" i="37"/>
  <c r="I11" i="37"/>
  <c r="I10" i="37"/>
  <c r="I9" i="37"/>
  <c r="I8" i="37"/>
  <c r="I7" i="37"/>
  <c r="I6" i="37"/>
  <c r="I5" i="37"/>
  <c r="G14" i="37"/>
  <c r="G13" i="37"/>
  <c r="G12" i="37"/>
  <c r="G11" i="37"/>
  <c r="G10" i="37"/>
  <c r="G9" i="37"/>
  <c r="G8" i="37"/>
  <c r="G7" i="37"/>
  <c r="G6" i="37"/>
  <c r="G5" i="37"/>
  <c r="C38" i="35"/>
  <c r="C37" i="35"/>
  <c r="C36" i="35"/>
  <c r="C35" i="35"/>
  <c r="C34" i="35"/>
  <c r="B38" i="35"/>
  <c r="B37" i="35"/>
  <c r="B36" i="35"/>
  <c r="B35" i="35"/>
  <c r="B34" i="35"/>
  <c r="C14" i="29"/>
  <c r="M45" i="30"/>
  <c r="L45" i="30"/>
  <c r="K45" i="30"/>
  <c r="H45" i="30"/>
  <c r="G45" i="30"/>
  <c r="F45" i="30"/>
  <c r="F46" i="29"/>
  <c r="D45" i="29"/>
  <c r="D41" i="29"/>
  <c r="G47" i="29"/>
  <c r="E46" i="29"/>
  <c r="G43" i="29"/>
  <c r="E42" i="29"/>
  <c r="G40" i="29"/>
  <c r="G43" i="35" l="1" a="1"/>
  <c r="G81" i="35" s="1"/>
  <c r="I81" i="35" s="1"/>
  <c r="Q4" i="35" a="1"/>
  <c r="G65" i="35" s="1"/>
  <c r="I65" i="35" s="1"/>
  <c r="K17" i="35" a="1"/>
  <c r="G69" i="35" s="1"/>
  <c r="I69" i="35" s="1"/>
  <c r="S30" i="35" a="1"/>
  <c r="G80" i="35" s="1"/>
  <c r="I80" i="35" s="1"/>
  <c r="M17" i="35" a="1"/>
  <c r="G70" i="35" s="1"/>
  <c r="I70" i="35" s="1"/>
  <c r="U30" i="37" a="1"/>
  <c r="G83" i="37" s="1"/>
  <c r="I83" i="37" s="1"/>
  <c r="I4" i="37" a="1"/>
  <c r="G61" i="37" s="1"/>
  <c r="I61" i="37" s="1"/>
  <c r="G4" i="35" a="1"/>
  <c r="G60" i="35" s="1"/>
  <c r="I60" i="35" s="1"/>
  <c r="Q43" i="37" a="1"/>
  <c r="G89" i="37" s="1"/>
  <c r="I89" i="37" s="1"/>
  <c r="Q43" i="35" a="1"/>
  <c r="G86" i="35" s="1"/>
  <c r="I86" i="35" s="1"/>
  <c r="G17" i="37" a="1"/>
  <c r="G68" i="37" s="1"/>
  <c r="I68" i="37" s="1"/>
  <c r="O4" i="37" a="1"/>
  <c r="G64" i="37" s="1"/>
  <c r="I64" i="37" s="1"/>
  <c r="Q30" i="35" a="1"/>
  <c r="G79" i="35" s="1"/>
  <c r="I79" i="35" s="1"/>
  <c r="K4" i="37" a="1"/>
  <c r="G62" i="37" s="1"/>
  <c r="I62" i="37" s="1"/>
  <c r="G4" i="37" a="1"/>
  <c r="G60" i="37" s="1"/>
  <c r="I60" i="37" s="1"/>
  <c r="O30" i="35" a="1"/>
  <c r="G78" i="35" s="1"/>
  <c r="I78" i="35" s="1"/>
  <c r="G30" i="35" a="1"/>
  <c r="G74" i="35" s="1"/>
  <c r="I74" i="35" s="1"/>
  <c r="S17" i="35" a="1"/>
  <c r="G73" i="35" s="1"/>
  <c r="I73" i="35" s="1"/>
  <c r="S4" i="37" a="1"/>
  <c r="G66" i="37" s="1"/>
  <c r="I66" i="37" s="1"/>
  <c r="O17" i="35" a="1"/>
  <c r="G71" i="35" s="1"/>
  <c r="I71" i="35" s="1"/>
  <c r="G43" i="37" a="1"/>
  <c r="G84" i="37" s="1"/>
  <c r="I84" i="37" s="1"/>
  <c r="K30" i="35" a="1"/>
  <c r="G76" i="35" s="1"/>
  <c r="I76" i="35" s="1"/>
  <c r="O17" i="37" a="1"/>
  <c r="G72" i="37" s="1"/>
  <c r="I72" i="37" s="1"/>
  <c r="O30" i="37" a="1"/>
  <c r="G80" i="37" s="1"/>
  <c r="I80" i="37" s="1"/>
  <c r="Q30" i="37" a="1"/>
  <c r="G81" i="37" s="1"/>
  <c r="I81" i="37" s="1"/>
  <c r="M4" i="35" a="1"/>
  <c r="G63" i="35" s="1"/>
  <c r="I63" i="35" s="1"/>
  <c r="K4" i="35" a="1"/>
  <c r="G62" i="35" s="1"/>
  <c r="I62" i="35" s="1"/>
  <c r="K17" i="37" a="1"/>
  <c r="G70" i="37" s="1"/>
  <c r="I70" i="37" s="1"/>
  <c r="U17" i="37" a="1"/>
  <c r="G75" i="37" s="1"/>
  <c r="I75" i="37" s="1"/>
  <c r="I4" i="35" a="1"/>
  <c r="G61" i="35" s="1"/>
  <c r="I61" i="35" s="1"/>
  <c r="O43" i="35" a="1"/>
  <c r="G85" i="35" s="1"/>
  <c r="I85" i="35" s="1"/>
  <c r="K43" i="35" a="1"/>
  <c r="G83" i="35" s="1"/>
  <c r="I83" i="35" s="1"/>
  <c r="M30" i="35" a="1"/>
  <c r="G77" i="35" s="1"/>
  <c r="I77" i="35" s="1"/>
  <c r="O4" i="35" a="1"/>
  <c r="G64" i="35" s="1"/>
  <c r="I64" i="35" s="1"/>
  <c r="I43" i="37" a="1"/>
  <c r="G85" i="37" s="1"/>
  <c r="I85" i="37" s="1"/>
  <c r="S17" i="37" a="1"/>
  <c r="G74" i="37" s="1"/>
  <c r="I74" i="37" s="1"/>
  <c r="Q17" i="35" a="1"/>
  <c r="G72" i="35" s="1"/>
  <c r="I72" i="35" s="1"/>
  <c r="G17" i="35" a="1"/>
  <c r="G67" i="35" s="1"/>
  <c r="I67" i="35" s="1"/>
  <c r="O43" i="37" a="1"/>
  <c r="G88" i="37" s="1"/>
  <c r="I88" i="37" s="1"/>
  <c r="K30" i="37" a="1"/>
  <c r="G78" i="37" s="1"/>
  <c r="I78" i="37" s="1"/>
  <c r="I17" i="37" a="1"/>
  <c r="M4" i="37" a="1"/>
  <c r="G63" i="37" s="1"/>
  <c r="I63" i="37" s="1"/>
  <c r="M43" i="35" a="1"/>
  <c r="G84" i="35" s="1"/>
  <c r="I84" i="35" s="1"/>
  <c r="I43" i="35" a="1"/>
  <c r="G82" i="35" s="1"/>
  <c r="I82" i="35" s="1"/>
  <c r="I30" i="35" a="1"/>
  <c r="G75" i="35" s="1"/>
  <c r="I75" i="35" s="1"/>
  <c r="S4" i="35" a="1"/>
  <c r="G66" i="35" s="1"/>
  <c r="I66" i="35" s="1"/>
  <c r="S30" i="37" a="1"/>
  <c r="G82" i="37" s="1"/>
  <c r="I82" i="37" s="1"/>
  <c r="M30" i="37" a="1"/>
  <c r="G79" i="37" s="1"/>
  <c r="I79" i="37" s="1"/>
  <c r="I17" i="35" a="1"/>
  <c r="K43" i="37" a="1"/>
  <c r="G86" i="37" s="1"/>
  <c r="I86" i="37" s="1"/>
  <c r="I30" i="37" a="1"/>
  <c r="G77" i="37" s="1"/>
  <c r="I77" i="37" s="1"/>
  <c r="M17" i="37" a="1"/>
  <c r="G71" i="37" s="1"/>
  <c r="I71" i="37" s="1"/>
  <c r="Q4" i="37" a="1"/>
  <c r="G65" i="37" s="1"/>
  <c r="I65" i="37" s="1"/>
  <c r="M43" i="37" a="1"/>
  <c r="G87" i="37" s="1"/>
  <c r="I87" i="37" s="1"/>
  <c r="Q17" i="37" a="1"/>
  <c r="G73" i="37" s="1"/>
  <c r="I73" i="37" s="1"/>
  <c r="G30" i="37" a="1"/>
  <c r="G76" i="37" s="1"/>
  <c r="I76" i="37" s="1"/>
  <c r="U4" i="37" a="1"/>
  <c r="G67" i="37" s="1"/>
  <c r="I67" i="37" s="1"/>
  <c r="G43" i="25"/>
  <c r="E43" i="25"/>
  <c r="D43" i="25"/>
  <c r="C43" i="25"/>
  <c r="F43" i="25"/>
  <c r="F42" i="25"/>
  <c r="C42" i="25"/>
  <c r="E42" i="25"/>
  <c r="D42" i="25"/>
  <c r="G42" i="25"/>
  <c r="E41" i="25"/>
  <c r="C41" i="25"/>
  <c r="F41" i="25"/>
  <c r="D41" i="25"/>
  <c r="G41" i="25"/>
  <c r="C72" i="25"/>
  <c r="F40" i="25"/>
  <c r="G40" i="25"/>
  <c r="C40" i="25"/>
  <c r="D40" i="25"/>
  <c r="E40" i="25"/>
  <c r="G39" i="25"/>
  <c r="F39" i="25"/>
  <c r="E39" i="25"/>
  <c r="C39" i="25"/>
  <c r="D39" i="25"/>
  <c r="G38" i="25"/>
  <c r="C38" i="25"/>
  <c r="F38" i="25"/>
  <c r="D38" i="25"/>
  <c r="E38" i="25"/>
  <c r="C37" i="25"/>
  <c r="F37" i="25"/>
  <c r="G37" i="25"/>
  <c r="E37" i="25"/>
  <c r="D37" i="25"/>
  <c r="C36" i="25"/>
  <c r="G36" i="25"/>
  <c r="F36" i="25"/>
  <c r="D36" i="25"/>
  <c r="E36" i="25"/>
  <c r="O72" i="25"/>
  <c r="Q38" i="40"/>
  <c r="AI51" i="40" s="1"/>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C80" i="25"/>
  <c r="D80" i="25" s="1"/>
  <c r="C74" i="25"/>
  <c r="D74" i="25" s="1"/>
  <c r="C67" i="25"/>
  <c r="D67" i="25" s="1"/>
  <c r="C61" i="25"/>
  <c r="C55" i="25"/>
  <c r="D55" i="25" s="1"/>
  <c r="C49" i="25"/>
  <c r="G17" i="25"/>
  <c r="C82" i="25"/>
  <c r="D82" i="25" s="1"/>
  <c r="C77" i="25"/>
  <c r="D77" i="25" s="1"/>
  <c r="C70" i="25"/>
  <c r="C65" i="25"/>
  <c r="D65" i="25" s="1"/>
  <c r="C57" i="25"/>
  <c r="D57" i="25" s="1"/>
  <c r="C50" i="25"/>
  <c r="C85" i="25"/>
  <c r="C76" i="25"/>
  <c r="C60" i="25"/>
  <c r="C52" i="25"/>
  <c r="C86" i="25"/>
  <c r="C79" i="25"/>
  <c r="C71" i="25"/>
  <c r="C66" i="25"/>
  <c r="C64" i="25"/>
  <c r="C59" i="25"/>
  <c r="C54" i="25"/>
  <c r="C87" i="25"/>
  <c r="C81" i="25"/>
  <c r="C75" i="25"/>
  <c r="C69" i="25"/>
  <c r="C62" i="25"/>
  <c r="C56" i="25"/>
  <c r="C51" i="25"/>
  <c r="C84" i="25"/>
  <c r="C78" i="25"/>
  <c r="F55" i="25"/>
  <c r="C83" i="25"/>
  <c r="C73" i="25"/>
  <c r="C17" i="25"/>
  <c r="C68" i="25"/>
  <c r="C63" i="25"/>
  <c r="C58" i="25"/>
  <c r="C53" i="25"/>
  <c r="C48" i="25"/>
  <c r="D48" i="25" s="1"/>
  <c r="O14" i="30"/>
  <c r="R46" i="30" s="1"/>
  <c r="K2" i="30"/>
  <c r="H46" i="30" s="1"/>
  <c r="G2" i="30"/>
  <c r="F46" i="30" s="1"/>
  <c r="I14" i="30"/>
  <c r="O46" i="30" s="1"/>
  <c r="Q14" i="30"/>
  <c r="S46" i="30" s="1"/>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M54" i="25" l="1"/>
  <c r="M49" i="25"/>
  <c r="M67" i="25"/>
  <c r="M65" i="25"/>
  <c r="M55" i="25"/>
  <c r="M74" i="25"/>
  <c r="M72" i="25"/>
  <c r="M48" i="25"/>
  <c r="M57" i="25"/>
  <c r="M77" i="25"/>
  <c r="G68" i="35"/>
  <c r="I68" i="35" s="1"/>
  <c r="M82" i="25"/>
  <c r="M80" i="25"/>
  <c r="D50" i="25"/>
  <c r="M50" i="25"/>
  <c r="D60" i="25"/>
  <c r="M60" i="25"/>
  <c r="D81" i="25"/>
  <c r="M81" i="25"/>
  <c r="D69" i="25"/>
  <c r="M69" i="25"/>
  <c r="D62" i="25"/>
  <c r="M62" i="25"/>
  <c r="D83" i="25"/>
  <c r="M83" i="25"/>
  <c r="D68" i="25"/>
  <c r="M68" i="25"/>
  <c r="D63" i="25"/>
  <c r="M63" i="25"/>
  <c r="D58" i="25"/>
  <c r="M58" i="25"/>
  <c r="D53" i="25"/>
  <c r="M53" i="25"/>
  <c r="D61" i="25"/>
  <c r="M61" i="25"/>
  <c r="D85" i="25"/>
  <c r="M85" i="25"/>
  <c r="D76" i="25"/>
  <c r="M76" i="25"/>
  <c r="D52" i="25"/>
  <c r="M52" i="25"/>
  <c r="D86" i="25"/>
  <c r="M86" i="25"/>
  <c r="D66" i="25"/>
  <c r="M66" i="25"/>
  <c r="D87" i="25"/>
  <c r="M87" i="25"/>
  <c r="D75" i="25"/>
  <c r="M75" i="25"/>
  <c r="D56" i="25"/>
  <c r="M56" i="25"/>
  <c r="D51" i="25"/>
  <c r="M51" i="25"/>
  <c r="D78" i="25"/>
  <c r="M78" i="25"/>
  <c r="D73" i="25"/>
  <c r="M73" i="25"/>
  <c r="D72" i="25"/>
  <c r="F72" i="25"/>
  <c r="O49" i="25"/>
  <c r="D49" i="25"/>
  <c r="M70" i="25"/>
  <c r="D70" i="25"/>
  <c r="D79" i="25"/>
  <c r="M79" i="25"/>
  <c r="M71" i="25"/>
  <c r="D71" i="25"/>
  <c r="M64" i="25"/>
  <c r="D64" i="25"/>
  <c r="D59" i="25"/>
  <c r="M59" i="25"/>
  <c r="O54" i="25"/>
  <c r="D54" i="25"/>
  <c r="D84" i="25"/>
  <c r="M84" i="25"/>
  <c r="O80" i="25"/>
  <c r="O74" i="25"/>
  <c r="O67" i="25"/>
  <c r="O61" i="25"/>
  <c r="O55" i="25"/>
  <c r="O82" i="25"/>
  <c r="O77" i="25"/>
  <c r="O70" i="25"/>
  <c r="O65" i="25"/>
  <c r="O57" i="25"/>
  <c r="O50" i="25"/>
  <c r="O85" i="25"/>
  <c r="O76" i="25"/>
  <c r="O60" i="25"/>
  <c r="O52" i="25"/>
  <c r="O86" i="25"/>
  <c r="O79" i="25"/>
  <c r="O71" i="25"/>
  <c r="O66" i="25"/>
  <c r="O64" i="25"/>
  <c r="O59" i="25"/>
  <c r="O87" i="25"/>
  <c r="O81" i="25"/>
  <c r="O75" i="25"/>
  <c r="O69" i="25"/>
  <c r="O62" i="25"/>
  <c r="O56" i="25"/>
  <c r="O51" i="25"/>
  <c r="O84" i="25"/>
  <c r="O78" i="25"/>
  <c r="O83" i="25"/>
  <c r="O73" i="25"/>
  <c r="O68" i="25"/>
  <c r="O63" i="25"/>
  <c r="O58" i="25"/>
  <c r="O53" i="25"/>
  <c r="O48" i="25"/>
  <c r="F49" i="25"/>
  <c r="C12" i="25"/>
  <c r="L46" i="30"/>
  <c r="B3" i="40" a="1"/>
  <c r="K37" i="25"/>
  <c r="K36" i="25"/>
  <c r="K42" i="25"/>
  <c r="F50" i="25"/>
  <c r="F86" i="25"/>
  <c r="F85" i="25"/>
  <c r="F84" i="25"/>
  <c r="F87" i="25"/>
  <c r="F61" i="25"/>
  <c r="F57" i="25"/>
  <c r="F52" i="25"/>
  <c r="F51" i="25"/>
  <c r="T53" i="37" a="1"/>
  <c r="U53" i="37" s="1"/>
  <c r="T52" i="37" a="1"/>
  <c r="U52" i="37" s="1"/>
  <c r="F80" i="25"/>
  <c r="F81" i="25"/>
  <c r="F74" i="25"/>
  <c r="F67" i="25"/>
  <c r="F65" i="25"/>
  <c r="F60" i="25"/>
  <c r="F54" i="25"/>
  <c r="F82" i="25"/>
  <c r="F79" i="25"/>
  <c r="F78" i="25"/>
  <c r="F77" i="25"/>
  <c r="F76" i="25"/>
  <c r="F75" i="25"/>
  <c r="F71" i="25"/>
  <c r="F70" i="25"/>
  <c r="F69" i="25"/>
  <c r="F66" i="25"/>
  <c r="F64" i="25"/>
  <c r="F62" i="25"/>
  <c r="F59" i="25"/>
  <c r="F56" i="25"/>
  <c r="K43" i="25"/>
  <c r="K41" i="25"/>
  <c r="K40" i="25"/>
  <c r="K39" i="25"/>
  <c r="K38" i="25"/>
  <c r="R53" i="35" a="1"/>
  <c r="S53" i="35" s="1"/>
  <c r="R52" i="35" a="1"/>
  <c r="F83" i="25"/>
  <c r="F73" i="25"/>
  <c r="F68" i="25"/>
  <c r="F63" i="25"/>
  <c r="F58" i="25"/>
  <c r="F53" i="25"/>
  <c r="F48" i="25"/>
  <c r="C45" i="29"/>
  <c r="B45" i="29" s="1"/>
  <c r="C43" i="29"/>
  <c r="B43" i="29" s="1"/>
  <c r="C41" i="29"/>
  <c r="B41" i="29" s="1"/>
  <c r="C42" i="29"/>
  <c r="B42" i="29" s="1"/>
  <c r="C44" i="29"/>
  <c r="B44" i="29" s="1"/>
  <c r="C47" i="29"/>
  <c r="B47" i="29" s="1"/>
  <c r="C46" i="29"/>
  <c r="B46" i="29" s="1"/>
  <c r="C40" i="29"/>
  <c r="B40" i="29" s="1"/>
  <c r="B43" i="25"/>
  <c r="B5" i="35" l="1" a="1"/>
  <c r="H83" i="25" a="1"/>
  <c r="H48" i="25" a="1"/>
  <c r="B3" i="30" a="1"/>
  <c r="D4" i="40"/>
  <c r="D5" i="40"/>
  <c r="D6" i="40"/>
  <c r="D7" i="40"/>
  <c r="H53" i="25" a="1"/>
  <c r="H78" i="25" a="1"/>
  <c r="H73" i="25" a="1"/>
  <c r="H68" i="25" a="1"/>
  <c r="H63" i="25" a="1"/>
  <c r="H58" i="25" a="1"/>
  <c r="S52" i="35"/>
  <c r="U51" i="37"/>
  <c r="S51" i="35"/>
  <c r="D3" i="40"/>
  <c r="B39" i="29"/>
  <c r="E13" i="25"/>
  <c r="G19" i="25"/>
  <c r="E17" i="25"/>
  <c r="D18" i="25"/>
  <c r="F12" i="25"/>
  <c r="F16" i="25"/>
  <c r="D14" i="25"/>
  <c r="G15" i="25"/>
  <c r="G12" i="25"/>
  <c r="F13" i="25"/>
  <c r="E14" i="25"/>
  <c r="D15" i="25"/>
  <c r="G16" i="25"/>
  <c r="F17" i="25"/>
  <c r="E18" i="25"/>
  <c r="D19" i="25"/>
  <c r="C14" i="25"/>
  <c r="C18" i="25"/>
  <c r="D12" i="25"/>
  <c r="G13" i="25"/>
  <c r="F14" i="25"/>
  <c r="E15" i="25"/>
  <c r="D16" i="25"/>
  <c r="F18" i="25"/>
  <c r="E19" i="25"/>
  <c r="E12" i="25"/>
  <c r="D13" i="25"/>
  <c r="G14" i="25"/>
  <c r="F15" i="25"/>
  <c r="E16" i="25"/>
  <c r="D17" i="25"/>
  <c r="G18" i="25"/>
  <c r="F19" i="25"/>
  <c r="C13" i="25"/>
  <c r="C15" i="25"/>
  <c r="C19" i="25"/>
  <c r="S83" i="35" l="1"/>
  <c r="M83" i="35" s="1"/>
  <c r="S86" i="35"/>
  <c r="M86" i="35" s="1"/>
  <c r="S85" i="35"/>
  <c r="M85" i="35" s="1"/>
  <c r="S84" i="35"/>
  <c r="M84" i="35" s="1"/>
  <c r="S78" i="35"/>
  <c r="M78" i="35" s="1"/>
  <c r="S77" i="35"/>
  <c r="M77" i="35" s="1"/>
  <c r="S76" i="35"/>
  <c r="M76" i="35" s="1"/>
  <c r="S75" i="35"/>
  <c r="M75" i="35" s="1"/>
  <c r="S74" i="35"/>
  <c r="M74" i="35" s="1"/>
  <c r="S73" i="35"/>
  <c r="M73" i="35" s="1"/>
  <c r="S72" i="35"/>
  <c r="M72" i="35" s="1"/>
  <c r="S71" i="35"/>
  <c r="M71" i="35" s="1"/>
  <c r="S70" i="35"/>
  <c r="M70" i="35" s="1"/>
  <c r="S68" i="35"/>
  <c r="M68" i="35" s="1"/>
  <c r="S67" i="35"/>
  <c r="M67" i="35" s="1"/>
  <c r="S65" i="35"/>
  <c r="M65" i="35" s="1"/>
  <c r="S64" i="35"/>
  <c r="M64" i="35" s="1"/>
  <c r="S62" i="35"/>
  <c r="M62" i="35" s="1"/>
  <c r="S69" i="35"/>
  <c r="M69" i="35" s="1"/>
  <c r="S66" i="35"/>
  <c r="M66" i="35" s="1"/>
  <c r="S63" i="35"/>
  <c r="M63" i="35" s="1"/>
  <c r="S61" i="35"/>
  <c r="M61" i="35" s="1"/>
  <c r="D8" i="35"/>
  <c r="D5" i="35"/>
  <c r="D10" i="35"/>
  <c r="D7" i="35"/>
  <c r="D6" i="35"/>
  <c r="D9" i="35"/>
  <c r="S60" i="35"/>
  <c r="M60" i="35" s="1"/>
  <c r="S79" i="35"/>
  <c r="M79" i="35" s="1"/>
  <c r="S80" i="35"/>
  <c r="M80" i="35" s="1"/>
  <c r="S81" i="35"/>
  <c r="M81" i="35" s="1"/>
  <c r="S82" i="35"/>
  <c r="M82" i="35" s="1"/>
  <c r="T51" i="37"/>
  <c r="R51" i="35"/>
  <c r="R44" i="35"/>
  <c r="T44" i="37"/>
  <c r="D7" i="30"/>
  <c r="D6" i="30"/>
  <c r="D5" i="30"/>
  <c r="D4" i="30"/>
  <c r="R45" i="35"/>
  <c r="T45" i="37"/>
  <c r="R50" i="35"/>
  <c r="T50" i="37"/>
  <c r="R48" i="35"/>
  <c r="T48" i="37"/>
  <c r="R49" i="35"/>
  <c r="T49" i="37"/>
  <c r="T47" i="37"/>
  <c r="R47" i="35"/>
  <c r="T46" i="37"/>
  <c r="R46" i="35"/>
  <c r="D3" i="30"/>
  <c r="B42" i="25"/>
  <c r="S50" i="35" s="1"/>
  <c r="B38" i="25"/>
  <c r="S46" i="35" s="1"/>
  <c r="B41" i="25"/>
  <c r="S49" i="35" s="1"/>
  <c r="B40" i="25"/>
  <c r="S48" i="35" s="1"/>
  <c r="B39" i="25"/>
  <c r="S47" i="35" s="1"/>
  <c r="B37" i="25"/>
  <c r="S45" i="35" s="1"/>
  <c r="B36" i="25"/>
  <c r="S44" i="35" s="1"/>
  <c r="S43" i="35" s="1" a="1"/>
  <c r="C16" i="25"/>
  <c r="B7" i="51" l="1" a="1"/>
  <c r="F2" i="48"/>
  <c r="F117" i="48"/>
  <c r="F111" i="48"/>
  <c r="F106" i="48"/>
  <c r="F101" i="48"/>
  <c r="F98" i="48"/>
  <c r="F95" i="48"/>
  <c r="F81" i="48"/>
  <c r="F67" i="48"/>
  <c r="F46" i="48"/>
  <c r="F22" i="48"/>
  <c r="F3" i="48"/>
  <c r="F96" i="48"/>
  <c r="F68" i="48"/>
  <c r="F45" i="48"/>
  <c r="F23" i="48"/>
  <c r="F87" i="48"/>
  <c r="F56" i="48"/>
  <c r="F31" i="48"/>
  <c r="F6" i="48"/>
  <c r="F102" i="48"/>
  <c r="F99" i="48"/>
  <c r="F69" i="48"/>
  <c r="F38" i="48"/>
  <c r="F8" i="48"/>
  <c r="F86" i="48"/>
  <c r="F82" i="48"/>
  <c r="F77" i="48"/>
  <c r="F74" i="48"/>
  <c r="F71" i="48"/>
  <c r="F66" i="48"/>
  <c r="F62" i="48"/>
  <c r="F59" i="48"/>
  <c r="F49" i="48"/>
  <c r="F43" i="48"/>
  <c r="F39" i="48"/>
  <c r="F36" i="48"/>
  <c r="F32" i="48"/>
  <c r="F26" i="48"/>
  <c r="F21" i="48"/>
  <c r="F17" i="48"/>
  <c r="F14" i="48"/>
  <c r="F10" i="48"/>
  <c r="F5" i="48"/>
  <c r="F114" i="48"/>
  <c r="F103" i="48"/>
  <c r="F64" i="48"/>
  <c r="F34" i="48"/>
  <c r="F4" i="48"/>
  <c r="F75" i="48"/>
  <c r="F54" i="48"/>
  <c r="F25" i="48"/>
  <c r="F15" i="48"/>
  <c r="F112" i="48"/>
  <c r="F88" i="48"/>
  <c r="F53" i="48"/>
  <c r="F37" i="48"/>
  <c r="F92" i="48"/>
  <c r="F65" i="48"/>
  <c r="F40" i="48"/>
  <c r="F11" i="48"/>
  <c r="F97" i="48"/>
  <c r="F93" i="48"/>
  <c r="F55" i="48"/>
  <c r="F28" i="48"/>
  <c r="F78" i="48"/>
  <c r="F63" i="48"/>
  <c r="F33" i="48"/>
  <c r="F116" i="48"/>
  <c r="F91" i="48"/>
  <c r="F61" i="48"/>
  <c r="F30" i="48"/>
  <c r="F12" i="48"/>
  <c r="F108" i="48"/>
  <c r="F79" i="48"/>
  <c r="F52" i="48"/>
  <c r="F27" i="48"/>
  <c r="F109" i="48"/>
  <c r="F90" i="48"/>
  <c r="F73" i="48"/>
  <c r="F51" i="48"/>
  <c r="F13" i="48"/>
  <c r="F70" i="48"/>
  <c r="F50" i="48"/>
  <c r="F29" i="48"/>
  <c r="F7" i="48"/>
  <c r="F100" i="48"/>
  <c r="F72" i="48"/>
  <c r="F48" i="48"/>
  <c r="F18" i="48"/>
  <c r="F113" i="48"/>
  <c r="F84" i="48"/>
  <c r="F60" i="48"/>
  <c r="F35" i="48"/>
  <c r="F115" i="48"/>
  <c r="F94" i="48"/>
  <c r="F89" i="48"/>
  <c r="F24" i="48"/>
  <c r="F85" i="48"/>
  <c r="F58" i="48"/>
  <c r="F42" i="48"/>
  <c r="F16" i="48"/>
  <c r="F105" i="48"/>
  <c r="F83" i="48"/>
  <c r="F57" i="48"/>
  <c r="F41" i="48"/>
  <c r="F9" i="48"/>
  <c r="F104" i="48"/>
  <c r="F76" i="48"/>
  <c r="F44" i="48"/>
  <c r="F20" i="48"/>
  <c r="F107" i="48"/>
  <c r="F110" i="48"/>
  <c r="F80" i="48"/>
  <c r="F47" i="48"/>
  <c r="F19" i="48"/>
  <c r="U50" i="37"/>
  <c r="U46" i="37"/>
  <c r="U49" i="37"/>
  <c r="U48" i="37"/>
  <c r="U47" i="37"/>
  <c r="U44" i="37"/>
  <c r="U43" i="37" s="1" a="1"/>
  <c r="U45" i="37"/>
  <c r="B35" i="25"/>
  <c r="G2" i="48" l="1"/>
  <c r="G19" i="48"/>
  <c r="G15" i="48"/>
  <c r="G7" i="48"/>
  <c r="G115" i="48"/>
  <c r="G109" i="48"/>
  <c r="G102" i="48"/>
  <c r="G97" i="48"/>
  <c r="G86" i="48"/>
  <c r="G81" i="48"/>
  <c r="G77" i="48"/>
  <c r="G71" i="48"/>
  <c r="G68" i="48"/>
  <c r="G62" i="48"/>
  <c r="G57" i="48"/>
  <c r="G52" i="48"/>
  <c r="G46" i="48"/>
  <c r="G41" i="48"/>
  <c r="G35" i="48"/>
  <c r="G31" i="48"/>
  <c r="G25" i="48"/>
  <c r="G20" i="48"/>
  <c r="G14" i="48"/>
  <c r="G10" i="48"/>
  <c r="G6" i="48"/>
  <c r="G23" i="48"/>
  <c r="G8" i="48"/>
  <c r="G112" i="48"/>
  <c r="G95" i="48"/>
  <c r="G82" i="48"/>
  <c r="G65" i="48"/>
  <c r="G42" i="48"/>
  <c r="G113" i="48"/>
  <c r="G91" i="48"/>
  <c r="G27" i="48"/>
  <c r="G114" i="48"/>
  <c r="G100" i="48"/>
  <c r="G89" i="48"/>
  <c r="G74" i="48"/>
  <c r="G63" i="48"/>
  <c r="G58" i="48"/>
  <c r="G48" i="48"/>
  <c r="G34" i="48"/>
  <c r="G24" i="48"/>
  <c r="G12" i="48"/>
  <c r="G88" i="48"/>
  <c r="G78" i="48"/>
  <c r="G67" i="48"/>
  <c r="G56" i="48"/>
  <c r="G117" i="48"/>
  <c r="G104" i="48"/>
  <c r="G93" i="48"/>
  <c r="G84" i="48"/>
  <c r="G55" i="48"/>
  <c r="G44" i="48"/>
  <c r="G28" i="48"/>
  <c r="G87" i="48"/>
  <c r="G70" i="48"/>
  <c r="G53" i="48"/>
  <c r="G11" i="48"/>
  <c r="G106" i="48"/>
  <c r="G96" i="48"/>
  <c r="G75" i="48"/>
  <c r="G60" i="48"/>
  <c r="G43" i="48"/>
  <c r="G33" i="48"/>
  <c r="G17" i="48"/>
  <c r="G105" i="48"/>
  <c r="G85" i="48"/>
  <c r="G79" i="48"/>
  <c r="G69" i="48"/>
  <c r="G54" i="48"/>
  <c r="G45" i="48"/>
  <c r="G40" i="48"/>
  <c r="G29" i="48"/>
  <c r="G18" i="48"/>
  <c r="G3" i="48"/>
  <c r="G107" i="48"/>
  <c r="G98" i="48"/>
  <c r="G47" i="48"/>
  <c r="G30" i="48"/>
  <c r="G110" i="48"/>
  <c r="G99" i="48"/>
  <c r="G90" i="48"/>
  <c r="G72" i="48"/>
  <c r="G66" i="48"/>
  <c r="G61" i="48"/>
  <c r="G50" i="48"/>
  <c r="G39" i="48"/>
  <c r="G13" i="48"/>
  <c r="G4" i="48"/>
  <c r="G111" i="48"/>
  <c r="G76" i="48"/>
  <c r="G59" i="48"/>
  <c r="G37" i="48"/>
  <c r="G32" i="48"/>
  <c r="G21" i="48"/>
  <c r="G16" i="48"/>
  <c r="G5" i="48"/>
  <c r="G101" i="48"/>
  <c r="G80" i="48"/>
  <c r="G64" i="48"/>
  <c r="G49" i="48"/>
  <c r="G38" i="48"/>
  <c r="G22" i="48"/>
  <c r="G108" i="48"/>
  <c r="G94" i="48"/>
  <c r="G9" i="48"/>
  <c r="G116" i="48"/>
  <c r="G103" i="48"/>
  <c r="G92" i="48"/>
  <c r="G83" i="48"/>
  <c r="G73" i="48"/>
  <c r="G51" i="48"/>
  <c r="G36" i="48"/>
  <c r="G26" i="48"/>
  <c r="N48" i="25"/>
  <c r="N64" i="25"/>
  <c r="N75" i="25"/>
  <c r="N52" i="25"/>
  <c r="N56" i="25"/>
  <c r="N73" i="25"/>
  <c r="N57" i="25"/>
  <c r="N66" i="25"/>
  <c r="N86" i="25"/>
  <c r="N54" i="25"/>
  <c r="N77" i="25"/>
  <c r="N49" i="25"/>
  <c r="N65" i="25"/>
  <c r="N71" i="25"/>
  <c r="N83" i="25"/>
  <c r="N59" i="25"/>
  <c r="N74" i="25"/>
  <c r="N50" i="25"/>
  <c r="N67" i="25"/>
  <c r="N85" i="25"/>
  <c r="N61" i="25"/>
  <c r="N58" i="25"/>
  <c r="N80" i="25"/>
  <c r="N82" i="25"/>
  <c r="N62" i="25"/>
  <c r="N79" i="25"/>
  <c r="N51" i="25"/>
  <c r="N72" i="25"/>
  <c r="N76" i="25"/>
  <c r="N60" i="25"/>
  <c r="N87" i="25"/>
  <c r="N53" i="25"/>
  <c r="N68" i="25"/>
  <c r="N81" i="25"/>
  <c r="N69" i="25"/>
  <c r="N84" i="25"/>
  <c r="N63" i="25"/>
  <c r="N78" i="25"/>
  <c r="N55" i="25"/>
  <c r="N70" i="25"/>
  <c r="G69" i="37"/>
  <c r="I69" i="37" s="1"/>
  <c r="B5" i="37" l="1" a="1"/>
  <c r="S60" i="37" l="1"/>
  <c r="M60" i="37" s="1"/>
  <c r="S69" i="37"/>
  <c r="M69" i="37" s="1"/>
  <c r="S89" i="37"/>
  <c r="M89" i="37" s="1"/>
  <c r="S88" i="37"/>
  <c r="M88" i="37" s="1"/>
  <c r="S87" i="37"/>
  <c r="M87" i="37" s="1"/>
  <c r="S86" i="37"/>
  <c r="M86" i="37" s="1"/>
  <c r="S85" i="37"/>
  <c r="M85" i="37" s="1"/>
  <c r="S84" i="37"/>
  <c r="M84" i="37" s="1"/>
  <c r="S83" i="37"/>
  <c r="M83" i="37" s="1"/>
  <c r="S82" i="37"/>
  <c r="M82" i="37" s="1"/>
  <c r="S81" i="37"/>
  <c r="M81" i="37" s="1"/>
  <c r="S80" i="37"/>
  <c r="M80" i="37" s="1"/>
  <c r="S79" i="37"/>
  <c r="M79" i="37" s="1"/>
  <c r="S78" i="37"/>
  <c r="M78" i="37" s="1"/>
  <c r="S77" i="37"/>
  <c r="M77" i="37" s="1"/>
  <c r="S76" i="37"/>
  <c r="M76" i="37" s="1"/>
  <c r="S75" i="37"/>
  <c r="M75" i="37" s="1"/>
  <c r="S74" i="37"/>
  <c r="M74" i="37" s="1"/>
  <c r="S73" i="37"/>
  <c r="M73" i="37" s="1"/>
  <c r="S72" i="37"/>
  <c r="M72" i="37" s="1"/>
  <c r="S71" i="37"/>
  <c r="M71" i="37" s="1"/>
  <c r="S70" i="37"/>
  <c r="M70" i="37" s="1"/>
  <c r="S68" i="37"/>
  <c r="M68" i="37" s="1"/>
  <c r="S67" i="37"/>
  <c r="M67" i="37" s="1"/>
  <c r="S66" i="37"/>
  <c r="M66" i="37" s="1"/>
  <c r="S65" i="37"/>
  <c r="M65" i="37" s="1"/>
  <c r="S64" i="37"/>
  <c r="M64" i="37" s="1"/>
  <c r="S63" i="37"/>
  <c r="M63" i="37" s="1"/>
  <c r="S62" i="37"/>
  <c r="M62" i="37" s="1"/>
  <c r="S61" i="37"/>
  <c r="M61" i="37" s="1"/>
  <c r="D9" i="37"/>
  <c r="D8" i="37"/>
  <c r="D5" i="37"/>
  <c r="D10" i="37"/>
  <c r="D7" i="37"/>
  <c r="D6" i="37"/>
  <c r="O7" i="51" l="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807E2D-6C6B-49E3-9884-79B1E7F6D6F9}" keepAlive="1" name="Query - eField" description="Connection to the 'eField' query in the workbook." type="5" refreshedVersion="8" background="1" saveData="1">
    <dbPr connection="Provider=Microsoft.Mashup.OleDb.1;Data Source=$Workbook$;Location=eField;Extended Properties=&quot;&quot;" command="SELECT * FROM [eField]"/>
  </connection>
  <connection id="2" xr16:uid="{C09AA08C-EE89-4B58-81A4-60B731AE4769}" keepAlive="1" name="Query - eOWGR" description="Connection to the 'eOWGR' query in the workbook." type="5" refreshedVersion="8" background="1" saveData="1">
    <dbPr connection="Provider=Microsoft.Mashup.OleDb.1;Data Source=$Workbook$;Location=eOWGR;Extended Properties=&quot;&quot;" command="SELECT * FROM [eOWGR]"/>
    <extLst>
      <ext xmlns:x15="http://schemas.microsoft.com/office/spreadsheetml/2010/11/main" uri="{DE250136-89BD-433C-8126-D09CA5730AF9}">
        <x15:connection id="" excludeFromRefreshAll="1"/>
      </ext>
    </extLst>
  </connection>
  <connection id="3"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4"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5"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<sst xmlns="http://schemas.openxmlformats.org/spreadsheetml/2006/main" count="1100" uniqueCount="280">
  <si>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</si>
  <si>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</si>
  <si>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</si>
  <si>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</si>
  <si>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</si>
  <si>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</si>
  <si>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</si>
  <si>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</si>
  <si>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</si>
  <si>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</si>
  <si>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</si>
  <si>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</si>
  <si>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</si>
  <si>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</si>
  <si>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</si>
  <si>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</si>
  <si>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</si>
  <si>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</si>
  <si>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</si>
  <si>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</si>
  <si>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</si>
  <si>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Chris Marinis</t>
  </si>
  <si>
    <t>Steve McFadden</t>
  </si>
  <si>
    <t>Ann Heal</t>
  </si>
  <si>
    <t>Scottie Scheffler</t>
  </si>
  <si>
    <t>Rory McIlroy</t>
  </si>
  <si>
    <t>Jon Rahm</t>
  </si>
  <si>
    <t>Patrick Cantlay</t>
  </si>
  <si>
    <t>Brian Harman</t>
  </si>
  <si>
    <t>Tommy Fleetwood</t>
  </si>
  <si>
    <t>Russell Henley</t>
  </si>
  <si>
    <t>Matt Fitzpatrick</t>
  </si>
  <si>
    <t>Xander Schauffele</t>
  </si>
  <si>
    <t>Rickie Fowler</t>
  </si>
  <si>
    <t>Sungjae Im</t>
  </si>
  <si>
    <t>Corey Conners</t>
  </si>
  <si>
    <t>Si Woo Kim</t>
  </si>
  <si>
    <t>Collin Morikawa</t>
  </si>
  <si>
    <t>Nick Taylor</t>
  </si>
  <si>
    <t>Jason Day</t>
  </si>
  <si>
    <t>Sam Burns</t>
  </si>
  <si>
    <t>Jordan Spieth</t>
  </si>
  <si>
    <t>Sepp Straka</t>
  </si>
  <si>
    <t>Viktor Hovland</t>
  </si>
  <si>
    <t>Keegan Bradley</t>
  </si>
  <si>
    <t>Wyndham Clark</t>
  </si>
  <si>
    <t>Harris English</t>
  </si>
  <si>
    <t>Justin Rose</t>
  </si>
  <si>
    <t>Sahith Theegala</t>
  </si>
  <si>
    <t>J.T. Poston</t>
  </si>
  <si>
    <t>Cameron Young</t>
  </si>
  <si>
    <t>Kurt Kitayama</t>
  </si>
  <si>
    <t>Hideki Matsuyama</t>
  </si>
  <si>
    <t>Group</t>
  </si>
  <si>
    <t>Selections</t>
  </si>
  <si>
    <t>Score</t>
  </si>
  <si>
    <t>Lowest</t>
  </si>
  <si>
    <t>Justin Thomas</t>
  </si>
  <si>
    <t>Shane Lowry</t>
  </si>
  <si>
    <t>Adam Scott</t>
  </si>
  <si>
    <t>Ryan Fox</t>
  </si>
  <si>
    <t>Min Woo Lee</t>
  </si>
  <si>
    <t>Alex Noren</t>
  </si>
  <si>
    <t>Christiaan Bezuidenhout</t>
  </si>
  <si>
    <t>Aaron Rai</t>
  </si>
  <si>
    <t>Jordan Smith</t>
  </si>
  <si>
    <t>Thomas Detry</t>
  </si>
  <si>
    <t>Robert MacIntyre</t>
  </si>
  <si>
    <t>TieBk</t>
  </si>
  <si>
    <t>Jake Knapp</t>
  </si>
  <si>
    <t>Stephan Jaeger</t>
  </si>
  <si>
    <t>Matt Wallace</t>
  </si>
  <si>
    <t>Taylor Pendrith</t>
  </si>
  <si>
    <t>Ben Griffin</t>
  </si>
  <si>
    <t>Akshay Bhatia</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</si>
  <si>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</si>
  <si>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</si>
  <si>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</si>
  <si>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</si>
  <si>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</si>
  <si>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</si>
  <si>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</si>
  <si>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</si>
  <si>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</si>
  <si>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</si>
  <si>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</si>
  <si>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</si>
  <si>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</si>
  <si>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</si>
  <si>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</si>
  <si>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</si>
  <si>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</si>
  <si>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</si>
  <si>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</si>
  <si>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</si>
  <si>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</si>
  <si>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</si>
  <si>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</si>
  <si>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</si>
  <si>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</si>
  <si>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</si>
  <si>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</si>
  <si>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</si>
  <si>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</si>
  <si>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Ludvig Åberg</t>
  </si>
  <si>
    <t>Cruickshank</t>
  </si>
  <si>
    <t>Isaacson</t>
  </si>
  <si>
    <t>Tournament Leaderboard</t>
  </si>
  <si>
    <t>Maverick McNealy</t>
  </si>
  <si>
    <t>Chris Gotterup</t>
  </si>
  <si>
    <t>Dillabaugh</t>
  </si>
  <si>
    <t>Updated from espn.com</t>
  </si>
  <si>
    <t>PLAYER</t>
  </si>
  <si>
    <t>SCORE</t>
  </si>
  <si>
    <t>Anne Heal</t>
  </si>
  <si>
    <t>Max Greyserman</t>
  </si>
  <si>
    <t>Daniel Berger</t>
  </si>
  <si>
    <t>Michael Kim</t>
  </si>
  <si>
    <t>J.J. Spaun</t>
  </si>
  <si>
    <t>Matt McCarty</t>
  </si>
  <si>
    <t>Rasmus Neergaard-Petersen</t>
  </si>
  <si>
    <t>Andrew Novak</t>
  </si>
  <si>
    <t>Max McGreevy</t>
  </si>
  <si>
    <t>Harry Hall</t>
  </si>
  <si>
    <t>Bud Cauley</t>
  </si>
  <si>
    <t>Jacob Bridgeman</t>
  </si>
  <si>
    <t>Ryan Gerard</t>
  </si>
  <si>
    <t>Jones</t>
  </si>
  <si>
    <t>Anthony Neville</t>
  </si>
  <si>
    <t>Matti Schmid</t>
  </si>
  <si>
    <t>Aldrich Potgieter</t>
  </si>
  <si>
    <t>Kristoffer Reitan</t>
  </si>
  <si>
    <t>Marco Penge</t>
  </si>
  <si>
    <t>Haotong Li</t>
  </si>
  <si>
    <t>Gary Woodland</t>
  </si>
  <si>
    <t>Status</t>
  </si>
  <si>
    <t>View Hourly Leaderboard Snapshots</t>
  </si>
  <si>
    <t>Updated from espn</t>
  </si>
  <si>
    <t>Updared from espn</t>
  </si>
  <si>
    <t>08/24 18:14  EDT</t>
  </si>
  <si>
    <t>Updated 08/24 18:14  EDT</t>
  </si>
  <si>
    <t>Michael Brennan</t>
  </si>
  <si>
    <t>Pierceson Coody</t>
  </si>
  <si>
    <t>Nicolai Højgaard</t>
  </si>
  <si>
    <t>Michael Thorbjornsen</t>
  </si>
  <si>
    <t>Jayden Schaper</t>
  </si>
  <si>
    <t>Ryo Hisatsune</t>
  </si>
  <si>
    <t>Garrick Higgo</t>
  </si>
  <si>
    <t>Casey Jarvis</t>
  </si>
  <si>
    <t>Daniel Hillier</t>
  </si>
  <si>
    <t>Patrick Rodgers</t>
  </si>
  <si>
    <t>John Parry</t>
  </si>
  <si>
    <t>David Puig</t>
  </si>
  <si>
    <t>Austin Smotherman</t>
  </si>
  <si>
    <t>Keith Mitchell</t>
  </si>
  <si>
    <t>Shaun Norris</t>
  </si>
  <si>
    <t>Eric Cole</t>
  </si>
  <si>
    <t>Alex Smalley</t>
  </si>
  <si>
    <t>Andrew Putnam</t>
  </si>
  <si>
    <t>Ricky Castillo</t>
  </si>
  <si>
    <t>Lucas Herbert</t>
  </si>
  <si>
    <t>Alex Fitzpatrick</t>
  </si>
  <si>
    <t>Mike Hefner</t>
  </si>
  <si>
    <t>Jimmy Barker</t>
  </si>
  <si>
    <t>Frank Prestifilippo</t>
  </si>
  <si>
    <t>Perfect Score</t>
  </si>
  <si>
    <t>Patty Perfect</t>
  </si>
  <si>
    <t>count of best scores, per row</t>
  </si>
  <si>
    <t>Alicia Nangle</t>
  </si>
  <si>
    <t>Regina Przywara</t>
  </si>
  <si>
    <t>Patrick Reed</t>
  </si>
  <si>
    <t>Bryson DeChambeau</t>
  </si>
  <si>
    <t>Tyrrell Hatton</t>
  </si>
  <si>
    <t>BigRedSwitch</t>
  </si>
  <si>
    <t>UpdateFreq</t>
  </si>
  <si>
    <t>LastRun</t>
  </si>
  <si>
    <t>Not Top 40</t>
  </si>
  <si>
    <t>for perfect scores</t>
  </si>
  <si>
    <t>StartDate</t>
  </si>
  <si>
    <t>EndDate</t>
  </si>
  <si>
    <t>NextRun</t>
  </si>
  <si>
    <t>Karl Hellerich</t>
  </si>
  <si>
    <t>Nicolas Echavarria</t>
  </si>
  <si>
    <t>Samuel Stevens</t>
  </si>
  <si>
    <t>Sami Valimaki</t>
  </si>
  <si>
    <t>Rasmus Hojgaard</t>
  </si>
  <si>
    <t>John Keefer</t>
  </si>
  <si>
    <t>McClure Meissner</t>
  </si>
  <si>
    <t>Richard Hoey</t>
  </si>
  <si>
    <t>Dick Webster</t>
  </si>
  <si>
    <t>Riley Mattson</t>
  </si>
  <si>
    <t>Judd Holiday</t>
  </si>
  <si>
    <t>Jack Donasky</t>
  </si>
  <si>
    <t>Fred Allen</t>
  </si>
  <si>
    <t>Linda Hill</t>
  </si>
  <si>
    <t>Allan Armstrong</t>
  </si>
  <si>
    <t>John Horvath</t>
  </si>
  <si>
    <t>Craig Chernick</t>
  </si>
  <si>
    <t>Wally Rush</t>
  </si>
  <si>
    <t>Ed Bernau</t>
  </si>
  <si>
    <t>Cal Dillabaugh</t>
  </si>
  <si>
    <t>Ben Hill</t>
  </si>
  <si>
    <t>Greg Fish</t>
  </si>
  <si>
    <t>Jeff Richard</t>
  </si>
  <si>
    <t>Carol Langer</t>
  </si>
  <si>
    <t>Jasper Hempel</t>
  </si>
  <si>
    <t>Rob Rakusin</t>
  </si>
  <si>
    <t>Leonard Howell</t>
  </si>
  <si>
    <t>Kevin Eliason</t>
  </si>
  <si>
    <t>Ben Balme</t>
  </si>
  <si>
    <t>Mike McElroy</t>
  </si>
  <si>
    <t>Doug Hitchman</t>
  </si>
  <si>
    <t>Gary Weiss</t>
  </si>
  <si>
    <t>Mark Steigmeyer</t>
  </si>
  <si>
    <t>Jerry Stabile</t>
  </si>
  <si>
    <t>Rod Cruickshank</t>
  </si>
  <si>
    <t>Kevin Isaacson</t>
  </si>
  <si>
    <t>Allyn Dean</t>
  </si>
  <si>
    <t>Dan Jones</t>
  </si>
  <si>
    <t>Captain</t>
  </si>
  <si>
    <t>TieBreak</t>
  </si>
  <si>
    <t>Tiebreaker</t>
  </si>
  <si>
    <t>jm</t>
  </si>
  <si>
    <t>micro</t>
  </si>
  <si>
    <t>Consensus picks</t>
  </si>
  <si>
    <t>Do not edit 1st 2 cols</t>
  </si>
  <si>
    <t>Enter before tourney</t>
  </si>
  <si>
    <t>Do not sort this table</t>
  </si>
  <si>
    <t>Cal Consensus</t>
  </si>
  <si>
    <t>$</t>
  </si>
  <si>
    <t>Do not edit 1st 2 columns</t>
  </si>
  <si>
    <t>rankingsList.player.fullName</t>
  </si>
  <si>
    <t>rankingsList.rank</t>
  </si>
  <si>
    <t>Eugenio Chacarra</t>
  </si>
  <si>
    <t>Jackson Suber</t>
  </si>
  <si>
    <t>Ben James</t>
  </si>
  <si>
    <t>R2</t>
  </si>
  <si>
    <t>R3</t>
  </si>
  <si>
    <t>Final</t>
  </si>
  <si>
    <t>Exclusion List for finding best scores outside of top40</t>
  </si>
  <si>
    <t>Rnd 1</t>
  </si>
  <si>
    <t>Rnd 2</t>
  </si>
  <si>
    <t>Rnd 3</t>
  </si>
  <si>
    <t>Scores: Enter after each round</t>
  </si>
  <si>
    <t>Place: Enter after each round</t>
  </si>
  <si>
    <t>Even Par</t>
  </si>
  <si>
    <t>Sam Stevens</t>
  </si>
  <si>
    <t>Joaquín Niemann</t>
  </si>
  <si>
    <t>Nico Echavarria</t>
  </si>
  <si>
    <t>TieBrk</t>
  </si>
  <si>
    <t>Formula to rank the place</t>
  </si>
  <si>
    <t>All black columns are static, pasted once, then never change</t>
  </si>
  <si>
    <r>
      <t xml:space="preserve">After each round, paste </t>
    </r>
    <r>
      <rPr>
        <b/>
        <i/>
        <u/>
        <sz val="10"/>
        <rFont val="Arial"/>
        <family val="2"/>
      </rPr>
      <t>values</t>
    </r>
    <r>
      <rPr>
        <sz val="10"/>
        <rFont val="Arial"/>
        <family val="2"/>
      </rPr>
      <t xml:space="preserve"> from here to col M/N/O/P</t>
    </r>
  </si>
  <si>
    <t>JM Picked</t>
  </si>
  <si>
    <t>Micro picked</t>
  </si>
  <si>
    <t>Score During/After:</t>
  </si>
  <si>
    <t>Place During/After:</t>
  </si>
  <si>
    <t>Unofficial</t>
  </si>
  <si>
    <t>LastUpdateTime</t>
  </si>
  <si>
    <t>R1</t>
  </si>
  <si>
    <t>Scoresheet</t>
  </si>
  <si>
    <t>Standings by Round</t>
  </si>
  <si>
    <t>Menu 3</t>
  </si>
  <si>
    <t>JM Standings</t>
  </si>
  <si>
    <t>Micro Standings</t>
  </si>
  <si>
    <t>Standings by Day</t>
  </si>
  <si>
    <t>Brian Campbell</t>
  </si>
  <si>
    <t>Tom Hoge</t>
  </si>
  <si>
    <t>Brandt Snedeker</t>
  </si>
  <si>
    <t>Denny McCarthy</t>
  </si>
  <si>
    <t>Jhonattan Vegas</t>
  </si>
  <si>
    <t>Mark Hubbard</t>
  </si>
  <si>
    <t>Mac Meissner</t>
  </si>
  <si>
    <t>Tony Finau</t>
  </si>
  <si>
    <t>Lucas Glover</t>
  </si>
  <si>
    <t>ON</t>
  </si>
  <si>
    <t>06/29 06:00:00 EDT</t>
  </si>
  <si>
    <t>06/28 21:45 EDT</t>
  </si>
  <si>
    <t>06/29 06:59:32 EDT</t>
  </si>
  <si>
    <t>GetScoresLoop Ended - End of Tourney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</si>
</sst>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b/>
      <sz val="10"/>
      <color rgb="FF009242"/>
      <name val="Arial"/>
      <family val="2"/>
    </font>
    <font>
      <sz val="10"/>
      <color rgb="FF009242"/>
      <name val="Arial"/>
      <family val="2"/>
    </font>
    <font>
      <b/>
      <sz val="10"/>
      <color rgb="FF2427AC"/>
      <name val="Arial"/>
      <family val="2"/>
    </font>
    <font>
      <sz val="10"/>
      <color rgb="FF2427AC"/>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0"/>
      <name val="Arial"/>
      <family val="2"/>
    </font>
    <font>
      <sz val="10"/>
      <color theme="7" tint="-0.249977111117893"/>
      <name val="Arial"/>
      <family val="2"/>
    </font>
    <font>
      <sz val="11"/>
      <name val="Calibri"/>
      <family val="2"/>
      <scheme val="minor"/>
    </font>
    <font>
      <sz val="10"/>
      <color theme="0" tint="-0.249977111117893"/>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b/>
      <sz val="11"/>
      <name val="Calibri"/>
      <family val="2"/>
      <scheme val="minor"/>
    </font>
    <font>
      <sz val="9"/>
      <color rgb="FF2427AC"/>
      <name val="Arial"/>
      <family val="2"/>
    </font>
    <font>
      <i/>
      <u/>
      <sz val="10"/>
      <name val="Arial"/>
      <family val="2"/>
    </font>
    <font>
      <b/>
      <sz val="10"/>
      <color theme="0"/>
      <name val="Arial"/>
      <family val="2"/>
    </font>
    <font>
      <b/>
      <sz val="10"/>
      <color rgb="FF7030A0"/>
      <name val="Arial"/>
      <family val="2"/>
    </font>
    <font>
      <sz val="10"/>
      <color rgb="FF7030A0"/>
      <name val="Arial"/>
      <family val="2"/>
    </font>
    <font>
      <b/>
      <sz val="9"/>
      <color theme="0" tint="-0.14999847407452621"/>
      <name val="Arial"/>
      <family val="2"/>
    </font>
    <font>
      <sz val="9"/>
      <color theme="0" tint="-0.14999847407452621"/>
      <name val="Arial"/>
      <family val="2"/>
    </font>
    <font>
      <b/>
      <i/>
      <sz val="10"/>
      <color rgb="FFFF0000"/>
      <name val="Arial"/>
      <family val="2"/>
    </font>
    <font>
      <i/>
      <sz val="10"/>
      <color rgb="FFFF0000"/>
      <name val="Arial"/>
      <family val="2"/>
    </font>
    <font>
      <sz val="11"/>
      <color rgb="FF7030A0"/>
      <name val="Calibri"/>
      <family val="2"/>
      <scheme val="minor"/>
    </font>
    <font>
      <sz val="14"/>
      <name val="Arial"/>
      <family val="2"/>
    </font>
    <font>
      <sz val="10"/>
      <color rgb="FF00B050"/>
      <name val="Arial"/>
      <family val="2"/>
    </font>
    <font>
      <i/>
      <sz val="10"/>
      <name val="Arial"/>
      <family val="2"/>
    </font>
    <font>
      <b/>
      <u/>
      <sz val="10"/>
      <name val="Arial"/>
      <family val="2"/>
    </font>
    <font>
      <b/>
      <i/>
      <u/>
      <sz val="10"/>
      <name val="Arial"/>
      <family val="2"/>
    </font>
    <font>
      <b/>
      <sz val="12"/>
      <name val="Arial"/>
      <family val="2"/>
    </font>
    <font>
      <sz val="12"/>
      <name val="Arial"/>
      <family val="2"/>
    </font>
    <font>
      <b/>
      <i/>
      <sz val="12"/>
      <color theme="4" tint="-0.249977111117893"/>
      <name val="Arial"/>
      <family val="2"/>
    </font>
    <font>
      <i/>
      <sz val="12"/>
      <color theme="4" tint="-0.249977111117893"/>
      <name val="Arial"/>
      <family val="2"/>
    </font>
    <font>
      <i/>
      <sz val="12"/>
      <color theme="0" tint="-0.14999847407452621"/>
      <name val="Arial"/>
      <family val="2"/>
    </font>
    <font>
      <b/>
      <sz val="11"/>
      <color theme="3"/>
      <name val="Arial"/>
      <family val="2"/>
    </font>
  </fonts>
  <fills count="5">
    <fill>
      <patternFill patternType="none"/>
    </fill>
    <fill>
      <patternFill patternType="gray125"/>
    </fill>
    <fill>
      <patternFill patternType="solid">
        <fgColor theme="9"/>
        <bgColor theme="9"/>
      </patternFill>
    </fill>
    <fill>
      <patternFill patternType="solid">
        <fgColor theme="1" tint="0.499984740745262"/>
        <bgColor indexed="64"/>
      </patternFill>
    </fill>
    <fill>
      <patternFill patternType="solid">
        <fgColor rgb="FF04AA6D"/>
        <bgColor indexed="64"/>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right/>
      <top style="thin">
        <color indexed="64"/>
      </top>
      <bottom style="thin">
        <color indexed="64"/>
      </bottom>
      <diagonal/>
    </border>
    <border>
      <left style="medium">
        <color theme="0"/>
      </left>
      <right style="medium">
        <color theme="0"/>
      </right>
      <top style="medium">
        <color theme="0"/>
      </top>
      <bottom style="medium">
        <color theme="0"/>
      </bottom>
      <diagonal/>
    </border>
  </borders>
  <cellStyleXfs count="15">
    <xf numFmtId="0" fontId="0" fillId="0" borderId="0"/>
    <xf numFmtId="0" fontId="14" fillId="0" borderId="0"/>
    <xf numFmtId="0" fontId="23" fillId="0" borderId="0" applyNumberFormat="0" applyFill="0" applyBorder="0" applyAlignment="0" applyProtection="0"/>
    <xf numFmtId="0" fontId="12" fillId="0" borderId="0"/>
    <xf numFmtId="0" fontId="11" fillId="0" borderId="0"/>
    <xf numFmtId="0" fontId="29" fillId="0" borderId="0"/>
    <xf numFmtId="0" fontId="11" fillId="0" borderId="0"/>
    <xf numFmtId="0" fontId="11"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cellStyleXfs>
  <cellXfs count="207">
    <xf numFmtId="0" fontId="0" fillId="0" borderId="0" xfId="0"/>
    <xf numFmtId="0" fontId="15"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6" fillId="0" borderId="0" xfId="0" applyFont="1" applyAlignment="1">
      <alignment horizontal="left" vertical="center" indent="1"/>
    </xf>
    <xf numFmtId="0" fontId="15" fillId="0" borderId="0" xfId="0" applyFont="1"/>
    <xf numFmtId="0" fontId="15" fillId="0" borderId="0" xfId="0" applyFont="1" applyAlignment="1">
      <alignment horizontal="center"/>
    </xf>
    <xf numFmtId="0" fontId="14" fillId="0" borderId="0" xfId="1"/>
    <xf numFmtId="0" fontId="15" fillId="0" borderId="1" xfId="0" applyFont="1" applyBorder="1"/>
    <xf numFmtId="0" fontId="15" fillId="0" borderId="1" xfId="0" applyFont="1" applyBorder="1" applyAlignment="1">
      <alignment horizontal="center" vertical="center"/>
    </xf>
    <xf numFmtId="0" fontId="15" fillId="0" borderId="3" xfId="0" applyFont="1" applyBorder="1" applyAlignment="1">
      <alignment horizontal="center"/>
    </xf>
    <xf numFmtId="0" fontId="15" fillId="0" borderId="2" xfId="0" applyFont="1" applyBorder="1" applyAlignment="1">
      <alignment horizontal="center"/>
    </xf>
    <xf numFmtId="0" fontId="0" fillId="0" borderId="2" xfId="0" applyBorder="1" applyAlignment="1">
      <alignment horizontal="center"/>
    </xf>
    <xf numFmtId="0" fontId="18" fillId="0" borderId="0" xfId="0" applyFont="1"/>
    <xf numFmtId="0" fontId="15" fillId="0" borderId="1" xfId="0" applyFont="1" applyBorder="1" applyAlignment="1">
      <alignment horizontal="center"/>
    </xf>
    <xf numFmtId="0" fontId="16" fillId="0" borderId="0" xfId="0" applyFont="1" applyAlignment="1">
      <alignment horizontal="center"/>
    </xf>
    <xf numFmtId="0" fontId="16" fillId="0" borderId="0" xfId="0" applyFont="1"/>
    <xf numFmtId="0" fontId="16" fillId="0" borderId="0" xfId="0" applyFont="1" applyAlignment="1">
      <alignment horizontal="right"/>
    </xf>
    <xf numFmtId="0" fontId="0" fillId="0" borderId="1" xfId="0" applyBorder="1"/>
    <xf numFmtId="0" fontId="0" fillId="0" borderId="8" xfId="0" applyBorder="1"/>
    <xf numFmtId="0" fontId="0" fillId="0" borderId="9" xfId="0" applyBorder="1"/>
    <xf numFmtId="0" fontId="0" fillId="0" borderId="10" xfId="0" applyBorder="1"/>
    <xf numFmtId="0" fontId="0" fillId="0" borderId="6" xfId="0" applyBorder="1"/>
    <xf numFmtId="0" fontId="0" fillId="0" borderId="2" xfId="0" applyBorder="1"/>
    <xf numFmtId="0" fontId="0" fillId="0" borderId="7" xfId="0" applyBorder="1"/>
    <xf numFmtId="22" fontId="0" fillId="0" borderId="0" xfId="0" applyNumberFormat="1"/>
    <xf numFmtId="0" fontId="17" fillId="0" borderId="0" xfId="0" applyFont="1"/>
    <xf numFmtId="0" fontId="13" fillId="0" borderId="0" xfId="1" applyFont="1"/>
    <xf numFmtId="0" fontId="21" fillId="0" borderId="4" xfId="0" applyFont="1" applyBorder="1"/>
    <xf numFmtId="0" fontId="21" fillId="0" borderId="5" xfId="0" applyFont="1" applyBorder="1" applyAlignment="1">
      <alignment horizontal="center"/>
    </xf>
    <xf numFmtId="0" fontId="22" fillId="0" borderId="6" xfId="0" applyFont="1" applyBorder="1"/>
    <xf numFmtId="0" fontId="22" fillId="0" borderId="2" xfId="0" applyFont="1" applyBorder="1" applyAlignment="1">
      <alignment horizontal="center"/>
    </xf>
    <xf numFmtId="0" fontId="22" fillId="0" borderId="7" xfId="0" applyFont="1" applyBorder="1"/>
    <xf numFmtId="0" fontId="22" fillId="0" borderId="3" xfId="0" applyFont="1" applyBorder="1" applyAlignment="1">
      <alignment horizontal="center"/>
    </xf>
    <xf numFmtId="0" fontId="16" fillId="0" borderId="0" xfId="0" applyFont="1" applyAlignment="1">
      <alignment horizontal="left" vertical="center"/>
    </xf>
    <xf numFmtId="0" fontId="25" fillId="0" borderId="0" xfId="0" applyFont="1" applyAlignment="1">
      <alignment horizontal="center"/>
    </xf>
    <xf numFmtId="0" fontId="20" fillId="0" borderId="0" xfId="0" applyFont="1" applyAlignment="1">
      <alignment horizontal="center"/>
    </xf>
    <xf numFmtId="0" fontId="29" fillId="0" borderId="0" xfId="5"/>
    <xf numFmtId="0" fontId="29" fillId="0" borderId="0" xfId="5" applyAlignment="1">
      <alignment horizontal="center"/>
    </xf>
    <xf numFmtId="0" fontId="21" fillId="0" borderId="4" xfId="0" applyFont="1" applyBorder="1" applyAlignment="1">
      <alignment horizontal="left" indent="1"/>
    </xf>
    <xf numFmtId="0" fontId="21" fillId="0" borderId="11" xfId="0" applyFont="1" applyBorder="1" applyAlignment="1">
      <alignment horizontal="center"/>
    </xf>
    <xf numFmtId="0" fontId="22" fillId="0" borderId="6" xfId="0" applyFont="1" applyBorder="1" applyAlignment="1">
      <alignment horizontal="left" indent="1"/>
    </xf>
    <xf numFmtId="0" fontId="22" fillId="0" borderId="12" xfId="0" applyFont="1" applyBorder="1" applyAlignment="1">
      <alignment horizontal="center"/>
    </xf>
    <xf numFmtId="0" fontId="22" fillId="0" borderId="13" xfId="0" applyFont="1" applyBorder="1" applyAlignment="1">
      <alignment horizontal="center"/>
    </xf>
    <xf numFmtId="0" fontId="23" fillId="0" borderId="0" xfId="2" applyFill="1" applyAlignment="1">
      <alignment horizontal="left" indent="1"/>
    </xf>
    <xf numFmtId="0" fontId="26" fillId="0" borderId="0" xfId="3" applyFont="1"/>
    <xf numFmtId="0" fontId="27" fillId="0" borderId="6" xfId="0" applyFont="1" applyBorder="1" applyAlignment="1">
      <alignment horizontal="left" indent="1"/>
    </xf>
    <xf numFmtId="0" fontId="27" fillId="0" borderId="12" xfId="0" applyFont="1" applyBorder="1" applyAlignment="1">
      <alignment horizontal="center"/>
    </xf>
    <xf numFmtId="0" fontId="16" fillId="0" borderId="2" xfId="0" applyFont="1" applyBorder="1" applyAlignment="1">
      <alignment horizontal="center"/>
    </xf>
    <xf numFmtId="0" fontId="0" fillId="0" borderId="12" xfId="0" applyBorder="1" applyAlignment="1">
      <alignment horizontal="center"/>
    </xf>
    <xf numFmtId="0" fontId="27" fillId="0" borderId="13" xfId="0" applyFont="1" applyBorder="1" applyAlignment="1">
      <alignment horizontal="left" indent="1"/>
    </xf>
    <xf numFmtId="0" fontId="31" fillId="0" borderId="0" xfId="1" applyFont="1"/>
    <xf numFmtId="0" fontId="10" fillId="0" borderId="0" xfId="1" applyFont="1"/>
    <xf numFmtId="0" fontId="32" fillId="0" borderId="2" xfId="0" applyFont="1" applyBorder="1" applyAlignment="1">
      <alignment horizontal="center"/>
    </xf>
    <xf numFmtId="0" fontId="0" fillId="0" borderId="0" xfId="0" applyAlignment="1">
      <alignment horizontal="left" vertical="center"/>
    </xf>
    <xf numFmtId="0" fontId="33" fillId="0" borderId="11" xfId="0" applyFont="1" applyBorder="1" applyAlignment="1">
      <alignment horizontal="center"/>
    </xf>
    <xf numFmtId="0" fontId="34" fillId="0" borderId="2" xfId="0" applyFont="1" applyBorder="1" applyAlignment="1">
      <alignment horizontal="center"/>
    </xf>
    <xf numFmtId="0" fontId="35" fillId="0" borderId="0" xfId="3" applyFont="1"/>
    <xf numFmtId="0" fontId="17" fillId="0" borderId="0" xfId="1" applyFont="1"/>
    <xf numFmtId="0" fontId="16" fillId="0" borderId="0" xfId="0" applyFont="1" applyAlignment="1">
      <alignment horizontal="center" vertical="center"/>
    </xf>
    <xf numFmtId="0" fontId="36" fillId="0" borderId="0" xfId="1" applyFont="1"/>
    <xf numFmtId="0" fontId="20" fillId="0" borderId="12" xfId="0" applyFont="1" applyBorder="1" applyAlignment="1">
      <alignment horizontal="center"/>
    </xf>
    <xf numFmtId="0" fontId="20" fillId="0" borderId="13" xfId="0" applyFont="1" applyBorder="1" applyAlignment="1">
      <alignment horizontal="center"/>
    </xf>
    <xf numFmtId="0" fontId="19" fillId="0" borderId="0" xfId="0" applyFont="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0" xfId="5" applyFont="1" applyAlignment="1">
      <alignment horizontal="center"/>
    </xf>
    <xf numFmtId="0" fontId="27" fillId="0" borderId="0" xfId="0" applyFont="1" applyAlignment="1">
      <alignment horizontal="right"/>
    </xf>
    <xf numFmtId="0" fontId="27" fillId="0" borderId="0" xfId="0" applyFont="1"/>
    <xf numFmtId="0" fontId="23" fillId="0" borderId="0" xfId="2" applyFill="1" applyAlignment="1"/>
    <xf numFmtId="22" fontId="30" fillId="0" borderId="0" xfId="0" applyNumberFormat="1" applyFont="1"/>
    <xf numFmtId="0" fontId="0" fillId="0" borderId="3" xfId="0" applyBorder="1" applyAlignment="1">
      <alignment horizontal="center"/>
    </xf>
    <xf numFmtId="0" fontId="37" fillId="0" borderId="2" xfId="0" applyFont="1" applyBorder="1" applyAlignment="1">
      <alignment horizontal="center"/>
    </xf>
    <xf numFmtId="0" fontId="22" fillId="0" borderId="7" xfId="0" applyFont="1" applyBorder="1" applyAlignment="1">
      <alignment horizontal="left" indent="1"/>
    </xf>
    <xf numFmtId="22" fontId="22" fillId="0" borderId="0" xfId="0" applyNumberFormat="1" applyFont="1" applyAlignment="1">
      <alignment horizontal="left" indent="1"/>
    </xf>
    <xf numFmtId="0" fontId="22" fillId="0" borderId="0" xfId="0" applyFont="1" applyAlignment="1">
      <alignment horizontal="center"/>
    </xf>
    <xf numFmtId="0" fontId="38" fillId="0" borderId="0" xfId="1" applyFont="1"/>
    <xf numFmtId="0" fontId="39" fillId="0" borderId="0" xfId="0" applyFont="1"/>
    <xf numFmtId="0" fontId="39" fillId="0" borderId="6" xfId="0" applyFont="1" applyBorder="1"/>
    <xf numFmtId="0" fontId="38" fillId="0" borderId="6" xfId="1" applyFont="1" applyBorder="1"/>
    <xf numFmtId="0" fontId="15" fillId="0" borderId="13" xfId="0" applyFont="1" applyBorder="1" applyAlignment="1">
      <alignment horizontal="center"/>
    </xf>
    <xf numFmtId="0" fontId="15" fillId="0" borderId="12" xfId="0" applyFont="1" applyBorder="1" applyAlignment="1">
      <alignment horizontal="center"/>
    </xf>
    <xf numFmtId="0" fontId="0" fillId="0" borderId="12" xfId="0" applyBorder="1"/>
    <xf numFmtId="0" fontId="40" fillId="0" borderId="0" xfId="0" applyFont="1"/>
    <xf numFmtId="21" fontId="0" fillId="0" borderId="0" xfId="0" applyNumberFormat="1"/>
    <xf numFmtId="0" fontId="28" fillId="0" borderId="0" xfId="0" applyFont="1" applyAlignment="1">
      <alignment horizontal="left" vertical="top"/>
    </xf>
    <xf numFmtId="0" fontId="0" fillId="0" borderId="0" xfId="0" applyAlignment="1">
      <alignment horizontal="center" vertical="top"/>
    </xf>
    <xf numFmtId="0" fontId="18" fillId="0" borderId="0" xfId="0" applyFont="1" applyAlignment="1">
      <alignment vertical="top"/>
    </xf>
    <xf numFmtId="0" fontId="15" fillId="0" borderId="0" xfId="0" applyFont="1" applyAlignment="1">
      <alignment horizontal="center" vertical="top"/>
    </xf>
    <xf numFmtId="0" fontId="0" fillId="0" borderId="0" xfId="0" applyAlignment="1">
      <alignment vertical="top"/>
    </xf>
    <xf numFmtId="1" fontId="0" fillId="0" borderId="0" xfId="0" applyNumberFormat="1"/>
    <xf numFmtId="0" fontId="16" fillId="0" borderId="0" xfId="0" applyFont="1" applyAlignment="1">
      <alignment vertical="center"/>
    </xf>
    <xf numFmtId="0" fontId="16" fillId="0" borderId="0" xfId="0" applyFont="1" applyAlignment="1">
      <alignment horizontal="left"/>
    </xf>
    <xf numFmtId="0" fontId="0" fillId="0" borderId="0" xfId="0" applyAlignment="1">
      <alignment horizontal="left"/>
    </xf>
    <xf numFmtId="21" fontId="0" fillId="0" borderId="0" xfId="0" applyNumberFormat="1" applyAlignment="1">
      <alignment horizontal="center"/>
    </xf>
    <xf numFmtId="0" fontId="27" fillId="0" borderId="12" xfId="0" applyFont="1" applyBorder="1" applyAlignment="1">
      <alignment horizontal="left" indent="1"/>
    </xf>
    <xf numFmtId="0" fontId="23" fillId="0" borderId="0" xfId="2" applyAlignment="1">
      <alignment vertical="top"/>
    </xf>
    <xf numFmtId="0" fontId="28" fillId="0" borderId="0" xfId="0" applyFont="1" applyAlignment="1">
      <alignment vertical="top"/>
    </xf>
    <xf numFmtId="0" fontId="24" fillId="0" borderId="0" xfId="0" applyFont="1" applyAlignment="1">
      <alignment horizontal="center" vertical="top"/>
    </xf>
    <xf numFmtId="0" fontId="16" fillId="0" borderId="0" xfId="0" applyFont="1" applyAlignment="1">
      <alignment horizontal="center" vertical="top"/>
    </xf>
    <xf numFmtId="0" fontId="4" fillId="0" borderId="0" xfId="1" applyFont="1"/>
    <xf numFmtId="0" fontId="26" fillId="0" borderId="1" xfId="0" applyFont="1" applyBorder="1"/>
    <xf numFmtId="0" fontId="41" fillId="0" borderId="1" xfId="0" applyFont="1" applyBorder="1"/>
    <xf numFmtId="0" fontId="27" fillId="0" borderId="0" xfId="0" applyFont="1" applyAlignment="1">
      <alignment horizontal="left" vertical="top"/>
    </xf>
    <xf numFmtId="0" fontId="42" fillId="0" borderId="0" xfId="0" applyFont="1" applyAlignment="1">
      <alignment horizontal="left" indent="1"/>
    </xf>
    <xf numFmtId="0" fontId="43" fillId="0" borderId="0" xfId="0" applyFont="1"/>
    <xf numFmtId="0" fontId="22" fillId="0" borderId="12" xfId="0" applyFont="1" applyBorder="1" applyAlignment="1">
      <alignment horizontal="left" indent="1"/>
    </xf>
    <xf numFmtId="0" fontId="22" fillId="0" borderId="13" xfId="0" applyFont="1" applyBorder="1" applyAlignment="1">
      <alignment horizontal="left" indent="1"/>
    </xf>
    <xf numFmtId="0" fontId="22" fillId="0" borderId="0" xfId="0" applyFont="1" applyAlignment="1">
      <alignment horizontal="left" indent="1"/>
    </xf>
    <xf numFmtId="0" fontId="44" fillId="2" borderId="14" xfId="0" applyFont="1" applyFill="1" applyBorder="1" applyAlignment="1">
      <alignment horizontal="left"/>
    </xf>
    <xf numFmtId="0" fontId="45" fillId="0" borderId="1" xfId="0" applyFont="1" applyBorder="1"/>
    <xf numFmtId="0" fontId="45" fillId="0" borderId="1" xfId="0" applyFont="1" applyBorder="1" applyAlignment="1">
      <alignment horizontal="center" vertical="center"/>
    </xf>
    <xf numFmtId="0" fontId="46" fillId="0" borderId="0" xfId="0" applyFont="1"/>
    <xf numFmtId="0" fontId="46" fillId="0" borderId="0" xfId="0" applyFont="1" applyAlignment="1">
      <alignment horizontal="center"/>
    </xf>
    <xf numFmtId="14" fontId="0" fillId="0" borderId="0" xfId="0" applyNumberFormat="1" applyAlignment="1">
      <alignment horizontal="center"/>
    </xf>
    <xf numFmtId="14" fontId="15" fillId="0" borderId="0" xfId="0" applyNumberFormat="1" applyFont="1" applyAlignment="1">
      <alignment horizontal="center"/>
    </xf>
    <xf numFmtId="21" fontId="16" fillId="0" borderId="0" xfId="0" applyNumberFormat="1" applyFont="1" applyAlignment="1">
      <alignment horizontal="center"/>
    </xf>
    <xf numFmtId="0" fontId="0" fillId="0" borderId="0" xfId="0" applyAlignment="1">
      <alignment vertical="center"/>
    </xf>
    <xf numFmtId="0" fontId="46" fillId="0" borderId="0" xfId="0" applyFont="1" applyAlignment="1">
      <alignment horizontal="left"/>
    </xf>
    <xf numFmtId="22" fontId="0" fillId="0" borderId="0" xfId="0" applyNumberFormat="1" applyAlignment="1">
      <alignment horizontal="center"/>
    </xf>
    <xf numFmtId="22" fontId="16" fillId="0" borderId="0" xfId="0" applyNumberFormat="1" applyFont="1" applyAlignment="1">
      <alignment horizontal="center"/>
    </xf>
    <xf numFmtId="0" fontId="47" fillId="0" borderId="11" xfId="0" applyFont="1" applyBorder="1" applyAlignment="1">
      <alignment horizontal="center"/>
    </xf>
    <xf numFmtId="0" fontId="48" fillId="0" borderId="2" xfId="0" applyFont="1" applyBorder="1" applyAlignment="1">
      <alignment horizontal="center"/>
    </xf>
    <xf numFmtId="0" fontId="2" fillId="0" borderId="0" xfId="1" applyFont="1"/>
    <xf numFmtId="0" fontId="15" fillId="0" borderId="15" xfId="5" applyFont="1" applyBorder="1" applyAlignment="1">
      <alignment horizontal="center"/>
    </xf>
    <xf numFmtId="0" fontId="15" fillId="0" borderId="5" xfId="5" applyFont="1" applyBorder="1" applyAlignment="1">
      <alignment horizontal="center"/>
    </xf>
    <xf numFmtId="0" fontId="0" fillId="0" borderId="1" xfId="0" applyBorder="1" applyAlignment="1">
      <alignment horizontal="center"/>
    </xf>
    <xf numFmtId="0" fontId="15" fillId="0" borderId="15" xfId="0" applyFont="1" applyBorder="1" applyAlignment="1">
      <alignment horizontal="center"/>
    </xf>
    <xf numFmtId="0" fontId="15" fillId="0" borderId="5" xfId="0" applyFont="1" applyBorder="1" applyAlignment="1">
      <alignment horizontal="center"/>
    </xf>
    <xf numFmtId="0" fontId="0" fillId="0" borderId="0" xfId="0" applyAlignment="1">
      <alignment horizontal="right" vertical="center"/>
    </xf>
    <xf numFmtId="0" fontId="49" fillId="0" borderId="0" xfId="0" applyFont="1"/>
    <xf numFmtId="0" fontId="49" fillId="0" borderId="4" xfId="0" applyFont="1" applyBorder="1" applyAlignment="1">
      <alignment horizontal="center"/>
    </xf>
    <xf numFmtId="0" fontId="49" fillId="0" borderId="15" xfId="0" applyFont="1" applyBorder="1" applyAlignment="1">
      <alignment horizontal="center"/>
    </xf>
    <xf numFmtId="0" fontId="50" fillId="0" borderId="6" xfId="0" applyFont="1" applyBorder="1"/>
    <xf numFmtId="0" fontId="49" fillId="0" borderId="4" xfId="5" applyFont="1" applyBorder="1" applyAlignment="1">
      <alignment horizontal="center"/>
    </xf>
    <xf numFmtId="0" fontId="49" fillId="0" borderId="15" xfId="5" applyFont="1" applyBorder="1" applyAlignment="1">
      <alignment horizontal="center"/>
    </xf>
    <xf numFmtId="0" fontId="50" fillId="0" borderId="6" xfId="0" applyFont="1" applyBorder="1" applyAlignment="1">
      <alignment horizontal="left"/>
    </xf>
    <xf numFmtId="0" fontId="51" fillId="0" borderId="0" xfId="1" applyFont="1"/>
    <xf numFmtId="0" fontId="52" fillId="0" borderId="0" xfId="0" applyFont="1"/>
    <xf numFmtId="0" fontId="15" fillId="0" borderId="4" xfId="0" applyFont="1" applyBorder="1" applyAlignment="1">
      <alignment horizontal="center"/>
    </xf>
    <xf numFmtId="0" fontId="15" fillId="0" borderId="4" xfId="5" applyFont="1" applyBorder="1" applyAlignment="1">
      <alignment horizontal="center"/>
    </xf>
    <xf numFmtId="0" fontId="15" fillId="0" borderId="11" xfId="5" applyFont="1" applyBorder="1" applyAlignment="1">
      <alignment horizontal="center"/>
    </xf>
    <xf numFmtId="0" fontId="1" fillId="0" borderId="0" xfId="1" applyFont="1"/>
    <xf numFmtId="0" fontId="0" fillId="0" borderId="1" xfId="0" applyBorder="1" applyAlignment="1">
      <alignment horizontal="left" vertical="center" indent="1"/>
    </xf>
    <xf numFmtId="0" fontId="0" fillId="0" borderId="1" xfId="0" applyBorder="1" applyAlignment="1">
      <alignment horizontal="right" vertical="center"/>
    </xf>
    <xf numFmtId="0" fontId="53" fillId="0" borderId="0" xfId="0" applyFont="1" applyAlignment="1">
      <alignment horizontal="center"/>
    </xf>
    <xf numFmtId="0" fontId="53" fillId="0" borderId="0" xfId="0" applyFont="1"/>
    <xf numFmtId="0" fontId="53" fillId="0" borderId="1" xfId="0" applyFont="1" applyBorder="1" applyAlignment="1">
      <alignment horizontal="center"/>
    </xf>
    <xf numFmtId="0" fontId="53" fillId="0" borderId="1" xfId="0" applyFont="1" applyBorder="1"/>
    <xf numFmtId="0" fontId="29" fillId="0" borderId="0" xfId="5" applyAlignment="1">
      <alignment horizontal="left"/>
    </xf>
    <xf numFmtId="0" fontId="16" fillId="0" borderId="0" xfId="5" applyFont="1"/>
    <xf numFmtId="0" fontId="54" fillId="0" borderId="0" xfId="0" applyFont="1"/>
    <xf numFmtId="0" fontId="55" fillId="0" borderId="0" xfId="0" applyFont="1" applyAlignment="1">
      <alignment horizontal="center"/>
    </xf>
    <xf numFmtId="1" fontId="0" fillId="0" borderId="0" xfId="0" applyNumberFormat="1" applyAlignment="1">
      <alignment horizontal="center"/>
    </xf>
    <xf numFmtId="1" fontId="50" fillId="0" borderId="0" xfId="0" applyNumberFormat="1" applyFont="1" applyAlignment="1">
      <alignment horizontal="center"/>
    </xf>
    <xf numFmtId="1" fontId="0" fillId="0" borderId="6" xfId="0" applyNumberFormat="1" applyBorder="1"/>
    <xf numFmtId="1" fontId="0" fillId="0" borderId="2" xfId="0" applyNumberFormat="1" applyBorder="1" applyAlignment="1">
      <alignment horizontal="center"/>
    </xf>
    <xf numFmtId="1" fontId="0" fillId="0" borderId="2" xfId="0" applyNumberFormat="1" applyBorder="1"/>
    <xf numFmtId="1" fontId="16" fillId="0" borderId="0" xfId="0" applyNumberFormat="1" applyFont="1" applyAlignment="1">
      <alignment horizontal="center"/>
    </xf>
    <xf numFmtId="1" fontId="50" fillId="0" borderId="0" xfId="0" applyNumberFormat="1" applyFont="1" applyAlignment="1">
      <alignment horizontal="center" vertical="center"/>
    </xf>
    <xf numFmtId="1" fontId="0" fillId="0" borderId="12" xfId="0" applyNumberFormat="1" applyBorder="1" applyAlignment="1">
      <alignment horizontal="center"/>
    </xf>
    <xf numFmtId="1" fontId="0" fillId="0" borderId="6" xfId="0" applyNumberFormat="1" applyBorder="1" applyAlignment="1">
      <alignment horizontal="center"/>
    </xf>
    <xf numFmtId="1" fontId="16" fillId="0" borderId="12" xfId="0" applyNumberFormat="1" applyFont="1" applyBorder="1" applyAlignment="1">
      <alignment horizontal="center"/>
    </xf>
    <xf numFmtId="0" fontId="57" fillId="0" borderId="4" xfId="0" applyFont="1" applyBorder="1" applyAlignment="1">
      <alignment horizontal="center"/>
    </xf>
    <xf numFmtId="0" fontId="57" fillId="0" borderId="15" xfId="0" applyFont="1" applyBorder="1" applyAlignment="1">
      <alignment horizontal="center"/>
    </xf>
    <xf numFmtId="0" fontId="57" fillId="0" borderId="5" xfId="0" applyFont="1" applyBorder="1" applyAlignment="1">
      <alignment horizontal="center"/>
    </xf>
    <xf numFmtId="0" fontId="58" fillId="0" borderId="9" xfId="0" applyFont="1" applyBorder="1"/>
    <xf numFmtId="0" fontId="57" fillId="0" borderId="9" xfId="0" applyFont="1" applyBorder="1"/>
    <xf numFmtId="0" fontId="58" fillId="0" borderId="10" xfId="0" applyFont="1" applyBorder="1"/>
    <xf numFmtId="0" fontId="58" fillId="0" borderId="7" xfId="0" applyFont="1" applyBorder="1"/>
    <xf numFmtId="0" fontId="58" fillId="0" borderId="1" xfId="0" applyFont="1" applyBorder="1"/>
    <xf numFmtId="0" fontId="58" fillId="0" borderId="3" xfId="0" applyFont="1" applyBorder="1"/>
    <xf numFmtId="0" fontId="57" fillId="0" borderId="4" xfId="0" applyFont="1" applyBorder="1" applyAlignment="1">
      <alignment horizontal="left" indent="1"/>
    </xf>
    <xf numFmtId="0" fontId="57" fillId="0" borderId="11" xfId="0" applyFont="1" applyBorder="1" applyAlignment="1">
      <alignment horizontal="center"/>
    </xf>
    <xf numFmtId="0" fontId="58" fillId="0" borderId="6" xfId="0" applyFont="1" applyBorder="1" applyAlignment="1">
      <alignment horizontal="left" indent="1"/>
    </xf>
    <xf numFmtId="1" fontId="58" fillId="0" borderId="6" xfId="0" applyNumberFormat="1" applyFont="1" applyBorder="1" applyAlignment="1">
      <alignment horizontal="center"/>
    </xf>
    <xf numFmtId="1" fontId="58" fillId="0" borderId="0" xfId="0" applyNumberFormat="1" applyFont="1" applyAlignment="1">
      <alignment horizontal="center"/>
    </xf>
    <xf numFmtId="1" fontId="58" fillId="0" borderId="2" xfId="0" applyNumberFormat="1" applyFont="1" applyBorder="1" applyAlignment="1">
      <alignment horizontal="center"/>
    </xf>
    <xf numFmtId="1" fontId="58" fillId="0" borderId="12" xfId="0" applyNumberFormat="1" applyFont="1" applyBorder="1" applyAlignment="1">
      <alignment horizontal="center"/>
    </xf>
    <xf numFmtId="0" fontId="58" fillId="0" borderId="7" xfId="0" applyFont="1" applyBorder="1" applyAlignment="1">
      <alignment horizontal="left" indent="1"/>
    </xf>
    <xf numFmtId="1" fontId="58" fillId="0" borderId="7" xfId="0" applyNumberFormat="1" applyFont="1" applyBorder="1" applyAlignment="1">
      <alignment horizontal="center"/>
    </xf>
    <xf numFmtId="1" fontId="58" fillId="0" borderId="1" xfId="0" applyNumberFormat="1" applyFont="1" applyBorder="1" applyAlignment="1">
      <alignment horizontal="center"/>
    </xf>
    <xf numFmtId="1" fontId="58" fillId="0" borderId="3" xfId="0" applyNumberFormat="1" applyFont="1" applyBorder="1" applyAlignment="1">
      <alignment horizontal="center"/>
    </xf>
    <xf numFmtId="1" fontId="58" fillId="0" borderId="13" xfId="0" applyNumberFormat="1" applyFont="1" applyBorder="1" applyAlignment="1">
      <alignment horizontal="center"/>
    </xf>
    <xf numFmtId="1" fontId="58" fillId="0" borderId="12" xfId="0" applyNumberFormat="1" applyFont="1" applyBorder="1"/>
    <xf numFmtId="1" fontId="58" fillId="0" borderId="13" xfId="0" applyNumberFormat="1" applyFont="1" applyBorder="1"/>
    <xf numFmtId="0" fontId="59" fillId="0" borderId="11" xfId="0" applyFont="1" applyBorder="1" applyAlignment="1">
      <alignment horizontal="center"/>
    </xf>
    <xf numFmtId="1" fontId="60" fillId="0" borderId="12" xfId="0" applyNumberFormat="1" applyFont="1" applyBorder="1" applyAlignment="1">
      <alignment horizontal="center"/>
    </xf>
    <xf numFmtId="1" fontId="61" fillId="0" borderId="12" xfId="0" applyNumberFormat="1" applyFont="1" applyBorder="1" applyAlignment="1">
      <alignment horizontal="center"/>
    </xf>
    <xf numFmtId="1" fontId="61" fillId="0" borderId="13" xfId="0" applyNumberFormat="1" applyFont="1" applyBorder="1" applyAlignment="1">
      <alignment horizontal="center"/>
    </xf>
    <xf numFmtId="0" fontId="62" fillId="0" borderId="0" xfId="0" applyFont="1" applyAlignment="1">
      <alignment horizontal="left" vertical="top" indent="1"/>
    </xf>
    <xf numFmtId="0" fontId="16" fillId="0" borderId="8" xfId="0" applyFont="1" applyBorder="1" applyAlignment="1">
      <alignment horizontal="left" indent="1"/>
    </xf>
    <xf numFmtId="0" fontId="0" fillId="0" borderId="1" xfId="0" applyBorder="1" applyAlignment="1">
      <alignment horizontal="center" vertical="center"/>
    </xf>
    <xf numFmtId="0" fontId="0" fillId="0" borderId="3" xfId="0" applyBorder="1"/>
    <xf numFmtId="0" fontId="44" fillId="3" borderId="16" xfId="2" applyFont="1" applyFill="1" applyBorder="1" applyAlignment="1">
      <alignment horizontal="center" vertical="center"/>
    </xf>
    <xf numFmtId="0" fontId="44" fillId="4" borderId="0" xfId="0" applyFont="1" applyFill="1" applyAlignment="1">
      <alignment horizontal="center" vertical="center"/>
    </xf>
    <xf numFmtId="0" fontId="44" fillId="3" borderId="0" xfId="2" applyFont="1" applyFill="1" applyAlignment="1">
      <alignment horizontal="center" vertical="center"/>
    </xf>
    <xf numFmtId="0" fontId="44" fillId="3" borderId="0" xfId="2" applyFont="1" applyFill="1" applyAlignment="1">
      <alignment vertical="center"/>
    </xf>
    <xf numFmtId="0" fontId="44" fillId="3" borderId="0" xfId="0" applyFont="1" applyFill="1" applyAlignment="1">
      <alignment horizontal="center" vertical="center"/>
    </xf>
    <xf numFmtId="0" fontId="44" fillId="3" borderId="0" xfId="0" applyFont="1" applyFill="1"/>
    <xf numFmtId="0" fontId="44" fillId="4" borderId="16" xfId="0" applyFont="1" applyFill="1" applyBorder="1" applyAlignment="1">
      <alignment horizontal="center" vertical="center"/>
    </xf>
    <xf numFmtId="0" fontId="44" fillId="3" borderId="16" xfId="0" applyFont="1" applyFill="1" applyBorder="1" applyAlignment="1">
      <alignment horizontal="center" vertical="center"/>
    </xf>
    <xf numFmtId="0" fontId="57" fillId="0" borderId="4" xfId="0" applyFont="1" applyBorder="1" applyAlignment="1">
      <alignment horizontal="center"/>
    </xf>
    <xf numFmtId="0" fontId="57" fillId="0" borderId="15" xfId="0" applyFont="1" applyBorder="1" applyAlignment="1">
      <alignment horizontal="center"/>
    </xf>
    <xf numFmtId="0" fontId="57" fillId="0" borderId="5" xfId="0" applyFont="1" applyBorder="1" applyAlignment="1">
      <alignment horizontal="center"/>
    </xf>
  </cellXfs>
  <cellStyles count="15">
    <cellStyle name="Hyperlink" xfId="2" builtinId="8"/>
    <cellStyle name="Normal" xfId="0" builtinId="0"/>
    <cellStyle name="Normal 10" xfId="12" xr:uid="{AAC6D7FB-02E9-429A-8C03-FFCEAC6A75A1}"/>
    <cellStyle name="Normal 11" xfId="13" xr:uid="{A349596F-A2C5-4F48-8E65-45895051414A}"/>
    <cellStyle name="Normal 12" xfId="14" xr:uid="{945E6907-B1C1-45A1-BA7E-B2EB0E496C69}"/>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 name="Normal 9" xfId="11" xr:uid="{E2831A72-6DB1-4B5C-87BA-03E2828FB558}"/>
  </cellStyles>
  <dxfs count="254">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alignment horizontal="center" vertical="bottom" textRotation="0" wrapText="0" indent="0" justifyLastLine="0" shrinkToFit="0" readingOrder="0"/>
    </dxf>
    <dxf>
      <numFmt numFmtId="0" formatCode="General"/>
    </dxf>
    <dxf>
      <numFmt numFmtId="0" formatCode="General"/>
    </dxf>
    <dxf>
      <font>
        <color theme="0"/>
      </font>
      <fill>
        <patternFill patternType="none">
          <bgColor auto="1"/>
        </patternFill>
      </fill>
    </dxf>
    <dxf>
      <font>
        <color theme="0"/>
      </font>
      <fill>
        <patternFill patternType="none">
          <bgColor auto="1"/>
        </patternFill>
      </fill>
    </dxf>
    <dxf>
      <numFmt numFmtId="0" formatCode="General"/>
    </dxf>
    <dxf>
      <numFmt numFmtId="0" formatCode="General"/>
    </dxf>
    <dxf>
      <font>
        <color theme="0"/>
      </font>
    </dxf>
    <dxf>
      <font>
        <color theme="0"/>
      </font>
    </dxf>
    <dxf>
      <font>
        <color theme="0"/>
      </font>
    </dxf>
    <dxf>
      <font>
        <color theme="0"/>
      </font>
    </dxf>
    <dxf>
      <font>
        <color theme="0"/>
      </font>
    </dxf>
    <dxf>
      <font>
        <color theme="0"/>
      </font>
    </dxf>
    <dxf>
      <font>
        <color theme="0"/>
      </font>
    </dxf>
    <dxf>
      <font>
        <strike val="0"/>
        <color rgb="FF009242"/>
      </font>
    </dxf>
    <dxf>
      <font>
        <color theme="0"/>
      </font>
    </dxf>
    <dxf>
      <font>
        <color theme="0" tint="-0.34998626667073579"/>
      </font>
    </dxf>
    <dxf>
      <font>
        <color theme="0"/>
      </font>
    </dxf>
    <dxf>
      <font>
        <strike val="0"/>
        <color rgb="FF009242"/>
      </font>
    </dxf>
    <dxf>
      <font>
        <color theme="0" tint="-0.34998626667073579"/>
      </font>
    </dxf>
    <dxf>
      <font>
        <color theme="0"/>
      </font>
    </dxf>
    <dxf>
      <font>
        <color theme="0" tint="-0.34998626667073579"/>
      </font>
    </dxf>
    <dxf>
      <font>
        <b val="0"/>
        <i/>
      </font>
    </dxf>
    <dxf>
      <font>
        <color theme="0"/>
      </font>
    </dxf>
    <dxf>
      <font>
        <color theme="0"/>
      </font>
    </dxf>
    <dxf>
      <font>
        <color theme="0" tint="-0.34998626667073579"/>
      </font>
    </dxf>
    <dxf>
      <font>
        <color theme="0"/>
      </font>
    </dxf>
    <dxf>
      <font>
        <color theme="0" tint="-0.34998626667073579"/>
      </font>
    </dxf>
    <dxf>
      <font>
        <b val="0"/>
        <i/>
        <color rgb="FF2427AC"/>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strike val="0"/>
        <color rgb="FF009242"/>
      </font>
    </dxf>
    <dxf>
      <font>
        <color theme="0" tint="-0.34998626667073579"/>
      </font>
    </dxf>
    <dxf>
      <font>
        <color theme="0"/>
      </font>
    </dxf>
    <dxf>
      <font>
        <color theme="0"/>
      </font>
    </dxf>
    <dxf>
      <font>
        <color theme="0"/>
      </font>
    </dxf>
    <dxf>
      <font>
        <color theme="0"/>
      </font>
    </dxf>
    <dxf>
      <font>
        <color theme="0"/>
      </font>
    </dxf>
    <dxf>
      <font>
        <color theme="0" tint="-0.34998626667073579"/>
      </font>
    </dxf>
    <dxf>
      <font>
        <strike val="0"/>
        <color rgb="FF009242"/>
      </font>
    </dxf>
    <dxf>
      <font>
        <color theme="0" tint="-0.34998626667073579"/>
      </font>
    </dxf>
    <dxf>
      <font>
        <color theme="0"/>
      </font>
    </dxf>
    <dxf>
      <font>
        <color theme="0" tint="-0.34998626667073579"/>
      </font>
    </dxf>
    <dxf>
      <font>
        <color theme="0"/>
      </font>
    </dxf>
    <dxf>
      <font>
        <b val="0"/>
        <i/>
      </font>
    </dxf>
    <dxf>
      <font>
        <strike val="0"/>
        <color rgb="FF009242"/>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b val="0"/>
        <i/>
        <strike val="0"/>
        <color rgb="FF2427AC"/>
      </font>
    </dxf>
    <dxf>
      <font>
        <color theme="0"/>
      </font>
    </dxf>
    <dxf>
      <font>
        <color theme="0"/>
      </font>
    </dxf>
    <dxf>
      <font>
        <color theme="0" tint="-0.34998626667073579"/>
      </font>
    </dxf>
    <dxf>
      <font>
        <color theme="0"/>
      </font>
    </dxf>
  </dxfs>
  <tableStyles count="0" defaultTableStyle="TableStyleMedium9" defaultPivotStyle="PivotStyleLight16"/>
  <colors>
    <mruColors>
      <color rgb="FF04AA6D"/>
      <color rgb="FF2427AC"/>
      <color rgb="FF009242"/>
      <color rgb="FF6BA42C"/>
      <color rgb="FFFBC1F8"/>
      <color rgb="FFC09200"/>
      <color rgb="FFFFFF99"/>
      <color rgb="FFF2F6EA"/>
      <color rgb="FFD3F7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4"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0553A8A9-E125-4487-B1D7-2D6C26D26BC7}" autoFormatId="16" applyNumberFormats="0" applyBorderFormats="0" applyFontFormats="0" applyPatternFormats="0" applyAlignmentFormats="0" applyWidthHeightFormats="0">
  <queryTableRefresh nextId="3">
    <queryTableFields count="1">
      <queryTableField id="2" name="PLAY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EE57C4E8-1B98-4E44-9205-C91E64F5737C}" autoFormatId="16" applyNumberFormats="0" applyBorderFormats="0" applyFontFormats="0" applyPatternFormats="0" applyAlignmentFormats="0" applyWidthHeightFormats="0">
  <queryTableRefresh nextId="32">
    <queryTableFields count="2">
      <queryTableField id="6" name="rankingsList.player.fullName" tableColumnId="6"/>
      <queryTableField id="2" name="rankingsList.rank"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73" tableType="queryTable" totalsRowShown="0">
  <autoFilter ref="A1:B73" xr:uid="{3FA44A03-F476-4E6C-8A27-268CC839B45B}"/>
  <tableColumns count="2">
    <tableColumn id="1" xr3:uid="{F368ED02-A2E2-4EBA-B473-316CA26B63BE}" uniqueName="1" name="PLAYER" queryTableFieldId="1" dataDxfId="66"/>
    <tableColumn id="2" xr3:uid="{5709B8D3-7A00-4A7B-BF33-559A2A507587}" uniqueName="2" name="SCORE" queryTableFieldId="2" dataDxfId="6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DB70E4-70D7-4D51-A05D-8B7188B011A6}" name="eField" displayName="eField" ref="A1:A73" tableType="queryTable" totalsRowShown="0">
  <autoFilter ref="A1:A73" xr:uid="{A8DB70E4-70D7-4D51-A05D-8B7188B011A6}"/>
  <tableColumns count="1">
    <tableColumn id="2" xr3:uid="{8F27DB06-85B1-4FF6-94E7-B1BA26974227}" uniqueName="2" name="PLAYER" queryTableFieldId="2" dataDxfId="6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2C2FB8-3919-46B8-84D9-C737B880699D}" name="OWGR" displayName="OWGR" ref="A1:B101" tableType="queryTable" totalsRowShown="0">
  <autoFilter ref="A1:B101" xr:uid="{A82C2FB8-3919-46B8-84D9-C737B880699D}"/>
  <tableColumns count="2">
    <tableColumn id="6" xr3:uid="{B62AD618-4C7D-4847-AC21-7AEA5FC2C527}" uniqueName="6" name="rankingsList.player.fullName" queryTableFieldId="6" dataDxfId="61"/>
    <tableColumn id="2" xr3:uid="{CC874137-0883-4245-972D-63C5EB82F4AF}" uniqueName="2" name="rankingsList.rank" queryTableFieldId="2" dataDxfId="6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Standing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Standing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index.html" TargetMode="External"/><Relationship Id="rId1" Type="http://schemas.openxmlformats.org/officeDocument/2006/relationships/hyperlink" Target="index.html"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0DDD2-73E8-4FDE-BB05-336BC40A1437}">
  <sheetPr codeName="Sheet4"/>
  <dimension ref="B2:D23"/>
  <sheetViews>
    <sheetView tabSelected="1" zoomScale="110" zoomScaleNormal="110" workbookViewId="0">
      <selection activeCell="D16" sqref="D16"/>
    </sheetView>
  </sheetViews>
  <sheetFormatPr defaultRowHeight="12.5" x14ac:dyDescent="0.25"/>
  <cols>
    <col min="2" max="2" width="24" style="3" customWidth="1"/>
    <col min="3" max="3" width="21.54296875" customWidth="1"/>
    <col min="4" max="4" width="19.1796875" customWidth="1"/>
  </cols>
  <sheetData>
    <row r="2" spans="2:4" ht="13" x14ac:dyDescent="0.3">
      <c r="B2" s="8" t="s">
        <v>173</v>
      </c>
      <c r="C2" s="17" t="s">
        <v>275</v>
      </c>
    </row>
    <row r="4" spans="2:4" ht="13" x14ac:dyDescent="0.3">
      <c r="B4" s="8" t="s">
        <v>135</v>
      </c>
      <c r="C4" s="94" t="s">
        <v>279</v>
      </c>
    </row>
    <row r="5" spans="2:4" x14ac:dyDescent="0.25">
      <c r="C5" s="119"/>
    </row>
    <row r="6" spans="2:4" ht="13" x14ac:dyDescent="0.3">
      <c r="B6" s="8" t="s">
        <v>175</v>
      </c>
      <c r="C6" s="3" t="s">
        <v>278</v>
      </c>
    </row>
    <row r="7" spans="2:4" ht="13" x14ac:dyDescent="0.3">
      <c r="B7" s="8" t="s">
        <v>180</v>
      </c>
      <c r="C7" s="121" t="s">
        <v>276</v>
      </c>
    </row>
    <row r="8" spans="2:4" ht="13" x14ac:dyDescent="0.3">
      <c r="B8" s="8"/>
    </row>
    <row r="9" spans="2:4" ht="13" x14ac:dyDescent="0.3">
      <c r="B9" s="8" t="s">
        <v>178</v>
      </c>
      <c r="C9" s="116">
        <v>46205</v>
      </c>
    </row>
    <row r="10" spans="2:4" ht="13" x14ac:dyDescent="0.3">
      <c r="B10" s="8" t="s">
        <v>179</v>
      </c>
      <c r="C10" s="116">
        <v>46208</v>
      </c>
    </row>
    <row r="12" spans="2:4" ht="13" x14ac:dyDescent="0.3">
      <c r="B12" s="117">
        <v>46205</v>
      </c>
      <c r="C12" s="96">
        <v>0.33333333333333331</v>
      </c>
      <c r="D12" s="118">
        <v>0.79166666666666663</v>
      </c>
    </row>
    <row r="13" spans="2:4" ht="13" x14ac:dyDescent="0.3">
      <c r="B13" s="117">
        <v>46206</v>
      </c>
      <c r="C13" s="96">
        <v>0.33333333333333331</v>
      </c>
      <c r="D13" s="96">
        <v>0.79166666666666663</v>
      </c>
    </row>
    <row r="14" spans="2:4" ht="13" x14ac:dyDescent="0.3">
      <c r="B14" s="117">
        <v>46207</v>
      </c>
      <c r="C14" s="96">
        <v>0.33333333333333331</v>
      </c>
      <c r="D14" s="118">
        <v>0.75</v>
      </c>
    </row>
    <row r="15" spans="2:4" ht="13" x14ac:dyDescent="0.3">
      <c r="B15" s="117">
        <v>46208</v>
      </c>
      <c r="C15" s="96">
        <v>0.33333333333333331</v>
      </c>
      <c r="D15" s="118">
        <v>0.75</v>
      </c>
    </row>
    <row r="17" spans="2:3" ht="13" x14ac:dyDescent="0.3">
      <c r="B17" s="8" t="s">
        <v>174</v>
      </c>
      <c r="C17" s="96">
        <v>3.472222222222222E-3</v>
      </c>
    </row>
    <row r="18" spans="2:3" x14ac:dyDescent="0.25">
      <c r="C18" s="86"/>
    </row>
    <row r="19" spans="2:3" ht="13" x14ac:dyDescent="0.3">
      <c r="B19" s="8" t="s">
        <v>258</v>
      </c>
      <c r="C19" s="17" t="s">
        <v>277</v>
      </c>
    </row>
    <row r="20" spans="2:3" x14ac:dyDescent="0.25">
      <c r="B20" s="17"/>
      <c r="C20" s="18"/>
    </row>
    <row r="21" spans="2:3" ht="13" x14ac:dyDescent="0.3">
      <c r="B21" s="8"/>
      <c r="C21" s="17"/>
    </row>
    <row r="22" spans="2:3" x14ac:dyDescent="0.25">
      <c r="B22" s="17"/>
      <c r="C22" s="18"/>
    </row>
    <row r="23" spans="2:3" ht="13" x14ac:dyDescent="0.3">
      <c r="B23" s="8"/>
      <c r="C23" s="122"/>
    </row>
  </sheetData>
  <dataValidations count="1">
    <dataValidation type="list" allowBlank="1" showInputMessage="1" showErrorMessage="1" sqref="C2" xr:uid="{8B283358-5F15-446E-9A09-B97CA5BBF6F8}">
      <formula1>"ON,OFF"</formula1>
    </dataValidation>
  </dataValidations>
  <pageMargins left="0.7" right="0.7" top="0.75" bottom="0.75" header="0.3" footer="0.3"/>
  <pageSetup orientation="portrait" r:id="rId1"/>
  <webPublishItems count="1">
    <webPublishItem id="21372" divId="JoeMagneticoMicro1_21372" sourceType="sheet" destinationFile="C:\pga\html\status.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Z89"/>
  <sheetViews>
    <sheetView zoomScaleNormal="100" workbookViewId="0">
      <pane ySplit="1" topLeftCell="A2" activePane="bottomLeft" state="frozen"/>
      <selection activeCell="G21" sqref="G21"/>
      <selection pane="bottomLeft" activeCell="A2" sqref="A2"/>
    </sheetView>
  </sheetViews>
  <sheetFormatPr defaultColWidth="8.54296875" defaultRowHeight="12.5" x14ac:dyDescent="0.25"/>
  <cols>
    <col min="1" max="1" width="2.81640625" customWidth="1"/>
    <col min="2" max="2" width="17.1796875" customWidth="1"/>
    <col min="3" max="3" width="5.1796875" style="3" customWidth="1"/>
    <col min="4" max="4" width="5.453125" style="3" customWidth="1"/>
    <col min="5" max="5" width="6.54296875" style="3" customWidth="1"/>
    <col min="6" max="6" width="19" customWidth="1"/>
    <col min="7" max="7" width="7.54296875" style="2" customWidth="1"/>
    <col min="8" max="8" width="19" customWidth="1"/>
    <col min="9" max="9" width="7.54296875" style="2" customWidth="1"/>
    <col min="10" max="10" width="19" customWidth="1"/>
    <col min="11" max="11" width="7.54296875" style="2" customWidth="1"/>
    <col min="12" max="12" width="19" customWidth="1"/>
    <col min="13" max="13" width="7.54296875" style="2" customWidth="1"/>
    <col min="14" max="14" width="19" customWidth="1"/>
    <col min="15" max="15" width="7.54296875" style="2" customWidth="1"/>
    <col min="16" max="16" width="19" customWidth="1"/>
    <col min="17" max="17" width="7.54296875" style="2" customWidth="1"/>
    <col min="18" max="18" width="19" customWidth="1"/>
    <col min="19" max="19" width="7.54296875" style="2" customWidth="1"/>
    <col min="20" max="20" width="6.81640625" customWidth="1"/>
    <col min="21" max="21" width="17.90625" style="3" customWidth="1"/>
    <col min="22" max="22" width="8.6328125" customWidth="1"/>
    <col min="24" max="24" width="16.36328125" customWidth="1"/>
  </cols>
  <sheetData>
    <row r="1" spans="1:26" ht="21" customHeight="1" x14ac:dyDescent="0.3">
      <c r="B1" s="197" t="s">
        <v>260</v>
      </c>
      <c r="C1" s="197"/>
      <c r="D1" s="197"/>
      <c r="E1" s="198" t="s">
        <v>261</v>
      </c>
      <c r="F1" s="199"/>
      <c r="G1" s="200" t="s">
        <v>262</v>
      </c>
      <c r="H1" s="201"/>
    </row>
    <row r="3" spans="1:26" ht="19.75" customHeight="1" x14ac:dyDescent="0.3">
      <c r="A3" s="15"/>
      <c r="B3" s="192" t="s">
        <v>257</v>
      </c>
      <c r="C3" s="105" t="str">
        <f>Status!C19</f>
        <v>06/28 21:45 EDT</v>
      </c>
      <c r="D3" s="87"/>
      <c r="F3" s="85"/>
    </row>
    <row r="4" spans="1:26" s="7" customFormat="1" ht="13" x14ac:dyDescent="0.3">
      <c r="B4" s="41" t="s">
        <v>1</v>
      </c>
      <c r="C4" s="42"/>
      <c r="D4" s="123" t="s">
        <v>68</v>
      </c>
      <c r="E4" s="12"/>
      <c r="F4" s="10" t="s">
        <v>2</v>
      </c>
      <c r="G4" s="11" cm="1">
        <f t="array" ref="G4">SUM(SMALL(IF(ISNUMBER(G5:G15), G5:G15), {1,2,3,4,5}))</f>
        <v>-95</v>
      </c>
      <c r="H4" s="10" t="s">
        <v>75</v>
      </c>
      <c r="I4" s="11" t="e" cm="1">
        <f t="array" ref="I4">SUM(SMALL(IF(ISNUMBER(I5:I15), I5:I15), {1,2,3,4,5}))</f>
        <v>#NUM!</v>
      </c>
      <c r="J4" s="10" t="s">
        <v>3</v>
      </c>
      <c r="K4" s="11" t="e" cm="1">
        <f t="array" ref="K4">SUM(SMALL(IF(ISNUMBER(K5:K15), K5:K15), {1,2,3,4,5}))</f>
        <v>#NUM!</v>
      </c>
      <c r="L4" s="10" t="s">
        <v>8</v>
      </c>
      <c r="M4" s="11" t="e" cm="1">
        <f t="array" ref="M4">SUM(SMALL(IF(ISNUMBER(M5:M15), M5:M15), {1,2,3,4,5}))</f>
        <v>#NUM!</v>
      </c>
      <c r="N4" s="10" t="s">
        <v>12</v>
      </c>
      <c r="O4" s="11" t="e" cm="1">
        <f t="array" ref="O4">SUM(SMALL(IF(ISNUMBER(O5:O15), O5:O15), {1,2,3,4,5}))</f>
        <v>#NUM!</v>
      </c>
      <c r="P4" s="10" t="s">
        <v>15</v>
      </c>
      <c r="Q4" s="11" t="e" cm="1">
        <f t="array" ref="Q4">SUM(SMALL(IF(ISNUMBER(Q5:Q15), Q5:Q15), {1,2,3,4,5}))</f>
        <v>#NUM!</v>
      </c>
      <c r="R4" s="10" t="s">
        <v>17</v>
      </c>
      <c r="S4" s="11" t="e" cm="1">
        <f t="array" ref="S4">SUM(SMALL(IF(ISNUMBER(S5:S15), S5:S15), {1,2,3,4,5}))</f>
        <v>#NUM!</v>
      </c>
      <c r="U4" s="1"/>
    </row>
    <row r="5" spans="1:26" ht="14.5" x14ac:dyDescent="0.35">
      <c r="B5" s="43" t="str" cm="1">
        <f t="array" ref="B5:C31">_xlfn._xlws.SORT($F$60:$G$86,2,1,FALSE)</f>
        <v>Joe Magnetico</v>
      </c>
      <c r="C5" s="44">
        <v>-95</v>
      </c>
      <c r="D5" s="124">
        <f>VLOOKUP($B5,$F$60:$H$86,3,)</f>
        <v>-20</v>
      </c>
      <c r="E5" s="13">
        <v>1</v>
      </c>
      <c r="F5" s="9" t="s">
        <v>24</v>
      </c>
      <c r="G5" s="3">
        <f>VLOOKUP(F5,ESPNScores!$A$2:$B$133,2,FALSE)</f>
        <v>-21</v>
      </c>
      <c r="H5" s="9"/>
      <c r="I5" s="3" t="e">
        <f>VLOOKUP(H5,ESPNScores!$A$2:$B$133,2,FALSE)</f>
        <v>#N/A</v>
      </c>
      <c r="J5" s="9"/>
      <c r="K5" s="3" t="e">
        <f>VLOOKUP(J5,ESPNScores!$A$2:$B$133,2,FALSE)</f>
        <v>#N/A</v>
      </c>
      <c r="L5" s="9"/>
      <c r="M5" s="3" t="e">
        <f>VLOOKUP(L5,ESPNScores!$A$2:$B$133,2,FALSE)</f>
        <v>#N/A</v>
      </c>
      <c r="O5" s="3" t="e">
        <f>VLOOKUP(N5,ESPNScores!$A$2:$B$133,2,FALSE)</f>
        <v>#N/A</v>
      </c>
      <c r="P5" s="9"/>
      <c r="Q5" s="3" t="e">
        <f>VLOOKUP(P5,ESPNScores!$A$2:$B$133,2,FALSE)</f>
        <v>#N/A</v>
      </c>
      <c r="S5" s="3" t="e">
        <f>VLOOKUP(R5,ESPNScores!$A$2:$B$133,2,FALSE)</f>
        <v>#N/A</v>
      </c>
      <c r="T5" s="9"/>
    </row>
    <row r="6" spans="1:26" ht="14.5" x14ac:dyDescent="0.35">
      <c r="B6" s="43" t="str">
        <v>Richard Webster</v>
      </c>
      <c r="C6" s="44" t="e">
        <v>#NUM!</v>
      </c>
      <c r="D6" s="124">
        <f t="shared" ref="D6:D10" si="0">VLOOKUP($B6,$F$60:$H$86,3,)</f>
        <v>0</v>
      </c>
      <c r="E6" s="13">
        <v>2</v>
      </c>
      <c r="F6" s="9" t="s">
        <v>118</v>
      </c>
      <c r="G6" s="3">
        <f>VLOOKUP(F6,ESPNScores!$A$2:$B$133,2,FALSE)</f>
        <v>-17</v>
      </c>
      <c r="H6" s="29"/>
      <c r="I6" s="3" t="e">
        <f>VLOOKUP(H6,ESPNScores!$A$2:$B$133,2,FALSE)</f>
        <v>#N/A</v>
      </c>
      <c r="J6" s="9"/>
      <c r="K6" s="3" t="e">
        <f>VLOOKUP(J6,ESPNScores!$A$2:$B$133,2,FALSE)</f>
        <v>#N/A</v>
      </c>
      <c r="L6" s="9"/>
      <c r="M6" s="3" t="e">
        <f>VLOOKUP(L6,ESPNScores!$A$2:$B$133,2,FALSE)</f>
        <v>#N/A</v>
      </c>
      <c r="N6" s="9"/>
      <c r="O6" s="3" t="e">
        <f>VLOOKUP(N6,ESPNScores!$A$2:$B$133,2,FALSE)</f>
        <v>#N/A</v>
      </c>
      <c r="P6" s="9"/>
      <c r="Q6" s="3" t="e">
        <f>VLOOKUP(P6,ESPNScores!$A$2:$B$133,2,FALSE)</f>
        <v>#N/A</v>
      </c>
      <c r="S6" s="3" t="e">
        <f>VLOOKUP(R6,ESPNScores!$A$2:$B$133,2,FALSE)</f>
        <v>#N/A</v>
      </c>
      <c r="T6" s="9"/>
    </row>
    <row r="7" spans="1:26" ht="14.5" x14ac:dyDescent="0.35">
      <c r="B7" s="43" t="str">
        <v>Dean Nardone</v>
      </c>
      <c r="C7" s="44" t="e">
        <v>#NUM!</v>
      </c>
      <c r="D7" s="124">
        <f t="shared" si="0"/>
        <v>0</v>
      </c>
      <c r="E7" s="13">
        <v>3</v>
      </c>
      <c r="F7" s="9" t="s">
        <v>32</v>
      </c>
      <c r="G7" s="3">
        <f>VLOOKUP(F7,ESPNScores!$A$2:$B$133,2,FALSE)</f>
        <v>-7</v>
      </c>
      <c r="H7" s="29"/>
      <c r="I7" s="3" t="e">
        <f>VLOOKUP(H7,ESPNScores!$A$2:$B$133,2,FALSE)</f>
        <v>#N/A</v>
      </c>
      <c r="J7" s="9"/>
      <c r="K7" s="3" t="e">
        <f>VLOOKUP(J7,ESPNScores!$A$2:$B$133,2,FALSE)</f>
        <v>#N/A</v>
      </c>
      <c r="L7" s="9"/>
      <c r="M7" s="3" t="e">
        <f>VLOOKUP(L7,ESPNScores!$A$2:$B$133,2,FALSE)</f>
        <v>#N/A</v>
      </c>
      <c r="N7" s="9"/>
      <c r="O7" s="3" t="e">
        <f>VLOOKUP(N7,ESPNScores!$A$2:$B$133,2,FALSE)</f>
        <v>#N/A</v>
      </c>
      <c r="P7" s="9"/>
      <c r="Q7" s="3" t="e">
        <f>VLOOKUP(P7,ESPNScores!$A$2:$B$133,2,FALSE)</f>
        <v>#N/A</v>
      </c>
      <c r="S7" s="3" t="e">
        <f>VLOOKUP(R7,ESPNScores!$A$2:$B$133,2,FALSE)</f>
        <v>#N/A</v>
      </c>
      <c r="T7" s="9"/>
    </row>
    <row r="8" spans="1:26" ht="14.5" x14ac:dyDescent="0.35">
      <c r="B8" s="43" t="str">
        <v>Charlie Adams</v>
      </c>
      <c r="C8" s="44" t="e">
        <v>#NUM!</v>
      </c>
      <c r="D8" s="124">
        <f t="shared" si="0"/>
        <v>0</v>
      </c>
      <c r="E8" s="13">
        <v>4</v>
      </c>
      <c r="F8" s="9" t="s">
        <v>67</v>
      </c>
      <c r="G8" s="3">
        <f>VLOOKUP(F8,ESPNScores!$A$2:$B$133,2,FALSE)</f>
        <v>-16</v>
      </c>
      <c r="H8" s="29"/>
      <c r="I8" s="3" t="e">
        <f>VLOOKUP(H8,ESPNScores!$A$2:$B$133,2,FALSE)</f>
        <v>#N/A</v>
      </c>
      <c r="J8" s="9"/>
      <c r="K8" s="3" t="e">
        <f>VLOOKUP(J8,ESPNScores!$A$2:$B$133,2,FALSE)</f>
        <v>#N/A</v>
      </c>
      <c r="L8" s="9"/>
      <c r="M8" s="3" t="e">
        <f>VLOOKUP(L8,ESPNScores!$A$2:$B$133,2,FALSE)</f>
        <v>#N/A</v>
      </c>
      <c r="N8" s="9"/>
      <c r="O8" s="3" t="e">
        <f>VLOOKUP(N8,ESPNScores!$A$2:$B$133,2,FALSE)</f>
        <v>#N/A</v>
      </c>
      <c r="P8" s="9"/>
      <c r="Q8" s="3" t="e">
        <f>VLOOKUP(P8,ESPNScores!$A$2:$B$133,2,FALSE)</f>
        <v>#N/A</v>
      </c>
      <c r="S8" s="3" t="e">
        <f>VLOOKUP(R8,ESPNScores!$A$2:$B$133,2,FALSE)</f>
        <v>#N/A</v>
      </c>
      <c r="T8" s="9"/>
    </row>
    <row r="9" spans="1:26" ht="14.5" x14ac:dyDescent="0.35">
      <c r="B9" s="43" t="str">
        <v>Gary Casarsa</v>
      </c>
      <c r="C9" s="44" t="e">
        <v>#NUM!</v>
      </c>
      <c r="D9" s="124">
        <f t="shared" si="0"/>
        <v>0</v>
      </c>
      <c r="E9" s="13">
        <v>5</v>
      </c>
      <c r="F9" s="9" t="s">
        <v>131</v>
      </c>
      <c r="G9" s="3">
        <f>VLOOKUP(F9,ESPNScores!$A$2:$B$133,2,FALSE)</f>
        <v>-13</v>
      </c>
      <c r="H9" s="29"/>
      <c r="I9" s="3" t="e">
        <f>VLOOKUP(H9,ESPNScores!$A$2:$B$133,2,FALSE)</f>
        <v>#N/A</v>
      </c>
      <c r="J9" s="9"/>
      <c r="K9" s="3" t="e">
        <f>VLOOKUP(J9,ESPNScores!$A$2:$B$133,2,FALSE)</f>
        <v>#N/A</v>
      </c>
      <c r="L9" s="29"/>
      <c r="M9" s="3" t="e">
        <f>VLOOKUP(L9,ESPNScores!$A$2:$B$133,2,FALSE)</f>
        <v>#N/A</v>
      </c>
      <c r="N9" s="29"/>
      <c r="O9" s="3" t="e">
        <f>VLOOKUP(N9,ESPNScores!$A$2:$B$133,2,FALSE)</f>
        <v>#N/A</v>
      </c>
      <c r="P9" s="9"/>
      <c r="Q9" s="3" t="e">
        <f>VLOOKUP(P9,ESPNScores!$A$2:$B$133,2,FALSE)</f>
        <v>#N/A</v>
      </c>
      <c r="S9" s="3" t="e">
        <f>VLOOKUP(R9,ESPNScores!$A$2:$B$133,2,FALSE)</f>
        <v>#N/A</v>
      </c>
      <c r="T9" s="9"/>
    </row>
    <row r="10" spans="1:26" ht="14.5" x14ac:dyDescent="0.35">
      <c r="B10" s="43" t="str">
        <v>Halley Ganges</v>
      </c>
      <c r="C10" s="44" t="e">
        <v>#NUM!</v>
      </c>
      <c r="D10" s="124">
        <f t="shared" si="0"/>
        <v>0</v>
      </c>
      <c r="E10" s="13">
        <v>6</v>
      </c>
      <c r="F10" s="9" t="s">
        <v>74</v>
      </c>
      <c r="G10" s="3">
        <f>VLOOKUP(F10,ESPNScores!$A$2:$B$133,2,FALSE)</f>
        <v>-18</v>
      </c>
      <c r="H10" s="29"/>
      <c r="I10" s="3" t="e">
        <f>VLOOKUP(H10,ESPNScores!$A$2:$B$133,2,FALSE)</f>
        <v>#N/A</v>
      </c>
      <c r="J10" s="9"/>
      <c r="K10" s="3" t="e">
        <f>VLOOKUP(J10,ESPNScores!$A$2:$B$133,2,FALSE)</f>
        <v>#N/A</v>
      </c>
      <c r="L10" s="9"/>
      <c r="M10" s="3" t="e">
        <f>VLOOKUP(L10,ESPNScores!$A$2:$B$133,2,FALSE)</f>
        <v>#N/A</v>
      </c>
      <c r="N10" s="9"/>
      <c r="O10" s="3" t="e">
        <f>VLOOKUP(N10,ESPNScores!$A$2:$B$133,2,FALSE)</f>
        <v>#N/A</v>
      </c>
      <c r="P10" s="9"/>
      <c r="Q10" s="3" t="e">
        <f>VLOOKUP(P10,ESPNScores!$A$2:$B$133,2,FALSE)</f>
        <v>#N/A</v>
      </c>
      <c r="S10" s="3" t="e">
        <f>VLOOKUP(R10,ESPNScores!$A$2:$B$133,2,FALSE)</f>
        <v>#N/A</v>
      </c>
      <c r="T10" s="9"/>
    </row>
    <row r="11" spans="1:26" ht="14.5" x14ac:dyDescent="0.35">
      <c r="B11" s="43" t="str">
        <v>Matt Desai</v>
      </c>
      <c r="C11" s="44" t="e">
        <v>#NUM!</v>
      </c>
      <c r="D11" s="74"/>
      <c r="E11" s="13">
        <v>7</v>
      </c>
      <c r="F11" s="9" t="s">
        <v>43</v>
      </c>
      <c r="G11" s="3">
        <f>VLOOKUP(F11,ESPNScores!$A$2:$B$133,2,FALSE)</f>
        <v>-21</v>
      </c>
      <c r="H11" s="9"/>
      <c r="I11" s="3" t="e">
        <f>VLOOKUP(H11,ESPNScores!$A$2:$B$133,2,FALSE)</f>
        <v>#N/A</v>
      </c>
      <c r="J11" s="9"/>
      <c r="K11" s="3" t="e">
        <f>VLOOKUP(J11,ESPNScores!$A$2:$B$133,2,FALSE)</f>
        <v>#N/A</v>
      </c>
      <c r="L11" s="9"/>
      <c r="M11" s="3" t="e">
        <f>VLOOKUP(L11,ESPNScores!$A$2:$B$133,2,FALSE)</f>
        <v>#N/A</v>
      </c>
      <c r="N11" s="9"/>
      <c r="O11" s="3" t="e">
        <f>VLOOKUP(N11,ESPNScores!$A$2:$B$133,2,FALSE)</f>
        <v>#N/A</v>
      </c>
      <c r="P11" s="9"/>
      <c r="Q11" s="3" t="e">
        <f>VLOOKUP(P11,ESPNScores!$A$2:$B$133,2,FALSE)</f>
        <v>#N/A</v>
      </c>
      <c r="S11" s="3" t="e">
        <f>VLOOKUP(R11,ESPNScores!$A$2:$B$133,2,FALSE)</f>
        <v>#N/A</v>
      </c>
      <c r="T11" s="9"/>
    </row>
    <row r="12" spans="1:26" ht="14.5" x14ac:dyDescent="0.35">
      <c r="B12" s="43" t="str">
        <v>Mike Coope</v>
      </c>
      <c r="C12" s="44" t="e">
        <v>#NUM!</v>
      </c>
      <c r="D12" s="74"/>
      <c r="E12" s="13">
        <v>8</v>
      </c>
      <c r="F12" s="9" t="s">
        <v>45</v>
      </c>
      <c r="G12" s="3">
        <f>VLOOKUP(F12,ESPNScores!$A$2:$B$133,2,FALSE)</f>
        <v>-18</v>
      </c>
      <c r="H12" s="9"/>
      <c r="I12" s="3" t="e">
        <f>VLOOKUP(H12,ESPNScores!$A$2:$B$133,2,FALSE)</f>
        <v>#N/A</v>
      </c>
      <c r="J12" s="9"/>
      <c r="K12" s="3" t="e">
        <f>VLOOKUP(J12,ESPNScores!$A$2:$B$133,2,FALSE)</f>
        <v>#N/A</v>
      </c>
      <c r="L12" s="9"/>
      <c r="M12" s="3" t="e">
        <f>VLOOKUP(L12,ESPNScores!$A$2:$B$133,2,FALSE)</f>
        <v>#N/A</v>
      </c>
      <c r="N12" s="9"/>
      <c r="O12" s="3" t="e">
        <f>VLOOKUP(N12,ESPNScores!$A$2:$B$133,2,FALSE)</f>
        <v>#N/A</v>
      </c>
      <c r="P12" s="9"/>
      <c r="Q12" s="3" t="e">
        <f>VLOOKUP(P12,ESPNScores!$A$2:$B$133,2,FALSE)</f>
        <v>#N/A</v>
      </c>
      <c r="R12" s="9"/>
      <c r="S12" s="3" t="e">
        <f>VLOOKUP(R12,ESPNScores!$A$2:$B$133,2,FALSE)</f>
        <v>#N/A</v>
      </c>
      <c r="T12" s="9"/>
    </row>
    <row r="13" spans="1:26" ht="14.5" x14ac:dyDescent="0.35">
      <c r="B13" s="43" t="str">
        <v>Bill Seeger</v>
      </c>
      <c r="C13" s="44" t="e">
        <v>#NUM!</v>
      </c>
      <c r="D13" s="33"/>
      <c r="E13" s="13" t="s">
        <v>9</v>
      </c>
      <c r="F13" s="29" t="s">
        <v>124</v>
      </c>
      <c r="G13" s="3">
        <f>VLOOKUP(F13,ESPNScores!$A$2:$B$133,2,FALSE)</f>
        <v>-14</v>
      </c>
      <c r="H13" s="29"/>
      <c r="I13" s="3" t="e">
        <f>VLOOKUP(H13,ESPNScores!$A$2:$B$133,2,FALSE)</f>
        <v>#N/A</v>
      </c>
      <c r="J13" s="29"/>
      <c r="K13" s="3" t="e">
        <f>VLOOKUP(J13,ESPNScores!$A$2:$B$133,2,FALSE)</f>
        <v>#N/A</v>
      </c>
      <c r="L13" s="9"/>
      <c r="M13" s="3" t="e">
        <f>VLOOKUP(L13,ESPNScores!$A$2:$B$133,2,FALSE)</f>
        <v>#N/A</v>
      </c>
      <c r="N13" s="9"/>
      <c r="O13" s="3" t="e">
        <f>VLOOKUP(N13,ESPNScores!$A$2:$B$133,2,FALSE)</f>
        <v>#N/A</v>
      </c>
      <c r="P13" s="53"/>
      <c r="Q13" s="3" t="e">
        <f>VLOOKUP(P13,ESPNScores!$A$2:$B$133,2,FALSE)</f>
        <v>#N/A</v>
      </c>
      <c r="S13" s="3" t="e">
        <f>VLOOKUP(R13,ESPNScores!$A$2:$B$133,2,FALSE)</f>
        <v>#N/A</v>
      </c>
      <c r="T13" s="9"/>
    </row>
    <row r="14" spans="1:26" ht="14.5" x14ac:dyDescent="0.35">
      <c r="B14" s="43" t="str">
        <v>Laurie Seeger</v>
      </c>
      <c r="C14" s="44" t="e">
        <v>#NUM!</v>
      </c>
      <c r="D14" s="33"/>
      <c r="E14" s="13" t="s">
        <v>10</v>
      </c>
      <c r="F14" s="29" t="s">
        <v>266</v>
      </c>
      <c r="G14" s="3">
        <f>VLOOKUP(F14,ESPNScores!$A$2:$B$133,2,FALSE)</f>
        <v>-8</v>
      </c>
      <c r="H14" s="29"/>
      <c r="I14" s="3" t="e">
        <f>VLOOKUP(H14,ESPNScores!$A$2:$B$133,2,FALSE)</f>
        <v>#N/A</v>
      </c>
      <c r="J14" s="29"/>
      <c r="K14" s="3" t="e">
        <f>VLOOKUP(J14,ESPNScores!$A$2:$B$133,2,FALSE)</f>
        <v>#N/A</v>
      </c>
      <c r="L14" s="9"/>
      <c r="M14" s="3" t="e">
        <f>VLOOKUP(L14,ESPNScores!$A$2:$B$133,2,FALSE)</f>
        <v>#N/A</v>
      </c>
      <c r="N14" s="28"/>
      <c r="O14" s="3" t="e">
        <f>VLOOKUP(N14,ESPNScores!$A$2:$B$133,2,FALSE)</f>
        <v>#N/A</v>
      </c>
      <c r="P14" s="9"/>
      <c r="Q14" s="3" t="e">
        <f>VLOOKUP(P14,ESPNScores!$A$2:$B$133,2,FALSE)</f>
        <v>#N/A</v>
      </c>
      <c r="R14" s="18"/>
      <c r="S14" s="3" t="e">
        <f>VLOOKUP(R14,ESPNScores!$A$2:$B$133,2,FALSE)</f>
        <v>#N/A</v>
      </c>
      <c r="T14" s="53"/>
    </row>
    <row r="15" spans="1:26" ht="14.5" x14ac:dyDescent="0.35">
      <c r="B15" s="43" t="str">
        <v>Ann Heal</v>
      </c>
      <c r="C15" s="44" t="e">
        <v>#NUM!</v>
      </c>
      <c r="D15" s="33"/>
      <c r="E15" s="50"/>
      <c r="F15" s="78"/>
      <c r="G15" s="3" t="e">
        <f>VLOOKUP(F15,ESPNScores!$A$2:$B$133,2,FALSE)</f>
        <v>#N/A</v>
      </c>
      <c r="H15" s="78"/>
      <c r="I15" s="3" t="e">
        <f>VLOOKUP(H15,ESPNScores!$A$2:$B$133,2,FALSE)</f>
        <v>#N/A</v>
      </c>
      <c r="J15" s="78"/>
      <c r="K15" s="3" t="e">
        <f>VLOOKUP(J15,ESPNScores!$A$2:$B$133,2,FALSE)</f>
        <v>#N/A</v>
      </c>
      <c r="L15" s="78"/>
      <c r="M15" s="3" t="e">
        <f>VLOOKUP(L15,ESPNScores!$A$2:$B$133,2,FALSE)</f>
        <v>#N/A</v>
      </c>
      <c r="N15" s="79"/>
      <c r="O15" s="3" t="e">
        <f>VLOOKUP(N15,ESPNScores!$A$2:$B$133,2,FALSE)</f>
        <v>#N/A</v>
      </c>
      <c r="P15" s="78"/>
      <c r="Q15" s="3" t="e">
        <f>VLOOKUP(P15,ESPNScores!$A$2:$B$133,2,FALSE)</f>
        <v>#N/A</v>
      </c>
      <c r="R15" s="79"/>
      <c r="S15" s="3" t="e">
        <f>VLOOKUP(R15,ESPNScores!$A$2:$B$133,2,FALSE)</f>
        <v>#N/A</v>
      </c>
      <c r="T15" s="78"/>
    </row>
    <row r="16" spans="1:26" s="7" customFormat="1" ht="13" x14ac:dyDescent="0.3">
      <c r="B16" s="43" t="str">
        <v>Lorraine McGill</v>
      </c>
      <c r="C16" s="44" t="e">
        <v>#NUM!</v>
      </c>
      <c r="D16" s="33"/>
      <c r="U16"/>
      <c r="V16"/>
      <c r="W16"/>
      <c r="X16"/>
      <c r="Y16"/>
      <c r="Z16"/>
    </row>
    <row r="17" spans="2:25" ht="13" x14ac:dyDescent="0.3">
      <c r="B17" s="43" t="str">
        <v>Steve McFadden</v>
      </c>
      <c r="C17" s="44" t="e">
        <v>#NUM!</v>
      </c>
      <c r="D17" s="33"/>
      <c r="E17" s="12"/>
      <c r="F17" s="10" t="s">
        <v>14</v>
      </c>
      <c r="G17" s="11" t="e" cm="1">
        <f t="array" ref="G17">SUM(SMALL(IF(ISNUMBER(G18:G28), G18:G28), {1,2,3,4,5}))</f>
        <v>#NUM!</v>
      </c>
      <c r="H17" s="10" t="s">
        <v>6</v>
      </c>
      <c r="I17" s="11" t="e" cm="1">
        <f t="array" ref="I17">SUM(SMALL(IF(ISNUMBER(I18:I28), I18:I28), {1,2,3,4,5}))</f>
        <v>#NUM!</v>
      </c>
      <c r="J17" s="10" t="s">
        <v>13</v>
      </c>
      <c r="K17" s="11" t="e" cm="1">
        <f t="array" ref="K17">SUM(SMALL(IF(ISNUMBER(K18:K28), K18:K28), {1,2,3,4,5}))</f>
        <v>#NUM!</v>
      </c>
      <c r="L17" s="10" t="s">
        <v>23</v>
      </c>
      <c r="M17" s="11" t="e" cm="1">
        <f t="array" ref="M17">SUM(SMALL(IF(ISNUMBER(M18:M28), M18:M28), {1,2,3,4,5}))</f>
        <v>#NUM!</v>
      </c>
      <c r="N17" s="10" t="s">
        <v>4</v>
      </c>
      <c r="O17" s="11" t="e" cm="1">
        <f t="array" ref="O17">SUM(SMALL(IF(ISNUMBER(O18:O28), O18:O28), {1,2,3,4,5}))</f>
        <v>#NUM!</v>
      </c>
      <c r="P17" s="10" t="s">
        <v>22</v>
      </c>
      <c r="Q17" s="11" t="e" cm="1">
        <f t="array" ref="Q17">SUM(SMALL(IF(ISNUMBER(Q18:Q28), Q18:Q28), {1,2,3,4,5}))</f>
        <v>#NUM!</v>
      </c>
      <c r="R17" s="10" t="s">
        <v>16</v>
      </c>
      <c r="S17" s="11" t="e" cm="1">
        <f t="array" ref="S17">SUM(SMALL(IF(ISNUMBER(S18:S28), S18:S28), {1,2,3,4,5}))</f>
        <v>#NUM!</v>
      </c>
      <c r="U17"/>
    </row>
    <row r="18" spans="2:25" ht="14.5" x14ac:dyDescent="0.35">
      <c r="B18" s="43" t="str">
        <v>Chris Callahan</v>
      </c>
      <c r="C18" s="44" t="e">
        <v>#NUM!</v>
      </c>
      <c r="D18" s="33"/>
      <c r="E18" s="13">
        <v>1</v>
      </c>
      <c r="F18" s="9"/>
      <c r="G18" s="3" t="e">
        <f>VLOOKUP(F18,ESPNScores!$A$2:$B$133,2,FALSE)</f>
        <v>#N/A</v>
      </c>
      <c r="H18" s="125"/>
      <c r="I18" s="3" t="e">
        <f>VLOOKUP(H18,ESPNScores!$A$2:$B$133,2,FALSE)</f>
        <v>#N/A</v>
      </c>
      <c r="J18" s="9"/>
      <c r="K18" s="3" t="e">
        <f>VLOOKUP(J18,ESPNScores!$A$2:$B$133,2,FALSE)</f>
        <v>#N/A</v>
      </c>
      <c r="L18" s="9"/>
      <c r="M18" s="3" t="e">
        <f>VLOOKUP(L18,ESPNScores!$A$2:$B$133,2,FALSE)</f>
        <v>#N/A</v>
      </c>
      <c r="O18" s="3" t="e">
        <f>VLOOKUP(N18,ESPNScores!$A$2:$B$133,2,FALSE)</f>
        <v>#N/A</v>
      </c>
      <c r="P18" s="9"/>
      <c r="Q18" s="3" t="e">
        <f>VLOOKUP(P18,ESPNScores!$A$2:$B$133,2,FALSE)</f>
        <v>#N/A</v>
      </c>
      <c r="S18" s="3" t="e">
        <f>VLOOKUP(R18,ESPNScores!$A$2:$B$133,2,FALSE)</f>
        <v>#N/A</v>
      </c>
      <c r="U18"/>
    </row>
    <row r="19" spans="2:25" ht="14.5" x14ac:dyDescent="0.35">
      <c r="B19" s="43" t="str">
        <v>Sean Christian</v>
      </c>
      <c r="C19" s="44" t="e">
        <v>#NUM!</v>
      </c>
      <c r="D19" s="33"/>
      <c r="E19" s="13">
        <v>2</v>
      </c>
      <c r="F19" s="9"/>
      <c r="G19" s="3" t="e">
        <f>VLOOKUP(F19,ESPNScores!$A$2:$B$133,2,FALSE)</f>
        <v>#N/A</v>
      </c>
      <c r="H19" s="9"/>
      <c r="I19" s="3" t="e">
        <f>VLOOKUP(H19,ESPNScores!$A$2:$B$133,2,FALSE)</f>
        <v>#N/A</v>
      </c>
      <c r="J19" s="9"/>
      <c r="K19" s="3" t="e">
        <f>VLOOKUP(J19,ESPNScores!$A$2:$B$133,2,FALSE)</f>
        <v>#N/A</v>
      </c>
      <c r="L19" s="9"/>
      <c r="M19" s="3" t="e">
        <f>VLOOKUP(L19,ESPNScores!$A$2:$B$133,2,FALSE)</f>
        <v>#N/A</v>
      </c>
      <c r="N19" s="9"/>
      <c r="O19" s="3" t="e">
        <f>VLOOKUP(N19,ESPNScores!$A$2:$B$133,2,FALSE)</f>
        <v>#N/A</v>
      </c>
      <c r="P19" s="9"/>
      <c r="Q19" s="3" t="e">
        <f>VLOOKUP(P19,ESPNScores!$A$2:$B$133,2,FALSE)</f>
        <v>#N/A</v>
      </c>
      <c r="R19" s="9"/>
      <c r="S19" s="3" t="e">
        <f>VLOOKUP(R19,ESPNScores!$A$2:$B$133,2,FALSE)</f>
        <v>#N/A</v>
      </c>
      <c r="T19" s="9"/>
      <c r="U19"/>
    </row>
    <row r="20" spans="2:25" ht="14.5" x14ac:dyDescent="0.35">
      <c r="B20" s="43" t="str">
        <v>Mark Brenman</v>
      </c>
      <c r="C20" s="44" t="e">
        <v>#NUM!</v>
      </c>
      <c r="D20" s="33"/>
      <c r="E20" s="13">
        <v>3</v>
      </c>
      <c r="F20" s="9"/>
      <c r="G20" s="3" t="e">
        <f>VLOOKUP(F20,ESPNScores!$A$2:$B$133,2,FALSE)</f>
        <v>#N/A</v>
      </c>
      <c r="H20" s="9"/>
      <c r="I20" s="3" t="e">
        <f>VLOOKUP(H20,ESPNScores!$A$2:$B$133,2,FALSE)</f>
        <v>#N/A</v>
      </c>
      <c r="J20" s="9"/>
      <c r="K20" s="3" t="e">
        <f>VLOOKUP(J20,ESPNScores!$A$2:$B$133,2,FALSE)</f>
        <v>#N/A</v>
      </c>
      <c r="L20" s="9"/>
      <c r="M20" s="3" t="e">
        <f>VLOOKUP(L20,ESPNScores!$A$2:$B$133,2,FALSE)</f>
        <v>#N/A</v>
      </c>
      <c r="N20" s="9"/>
      <c r="O20" s="3" t="e">
        <f>VLOOKUP(N20,ESPNScores!$A$2:$B$133,2,FALSE)</f>
        <v>#N/A</v>
      </c>
      <c r="P20" s="9"/>
      <c r="Q20" s="3" t="e">
        <f>VLOOKUP(P20,ESPNScores!$A$2:$B$133,2,FALSE)</f>
        <v>#N/A</v>
      </c>
      <c r="R20" s="9"/>
      <c r="S20" s="3" t="e">
        <f>VLOOKUP(R20,ESPNScores!$A$2:$B$133,2,FALSE)</f>
        <v>#N/A</v>
      </c>
      <c r="T20" s="9"/>
      <c r="U20"/>
    </row>
    <row r="21" spans="2:25" ht="14.5" x14ac:dyDescent="0.35">
      <c r="B21" s="43" t="str">
        <v>Ken Webster</v>
      </c>
      <c r="C21" s="44" t="e">
        <v>#NUM!</v>
      </c>
      <c r="D21" s="33"/>
      <c r="E21" s="13">
        <v>4</v>
      </c>
      <c r="F21" s="9"/>
      <c r="G21" s="3" t="e">
        <f>VLOOKUP(F21,ESPNScores!$A$2:$B$133,2,FALSE)</f>
        <v>#N/A</v>
      </c>
      <c r="H21" s="9"/>
      <c r="I21" s="3" t="e">
        <f>VLOOKUP(H21,ESPNScores!$A$2:$B$133,2,FALSE)</f>
        <v>#N/A</v>
      </c>
      <c r="J21" s="9"/>
      <c r="K21" s="3" t="e">
        <f>VLOOKUP(J21,ESPNScores!$A$2:$B$133,2,FALSE)</f>
        <v>#N/A</v>
      </c>
      <c r="L21" s="9"/>
      <c r="M21" s="3" t="e">
        <f>VLOOKUP(L21,ESPNScores!$A$2:$B$133,2,FALSE)</f>
        <v>#N/A</v>
      </c>
      <c r="N21" s="9"/>
      <c r="O21" s="3" t="e">
        <f>VLOOKUP(N21,ESPNScores!$A$2:$B$133,2,FALSE)</f>
        <v>#N/A</v>
      </c>
      <c r="P21" s="9"/>
      <c r="Q21" s="3" t="e">
        <f>VLOOKUP(P21,ESPNScores!$A$2:$B$133,2,FALSE)</f>
        <v>#N/A</v>
      </c>
      <c r="R21" s="9"/>
      <c r="S21" s="3" t="e">
        <f>VLOOKUP(R21,ESPNScores!$A$2:$B$133,2,FALSE)</f>
        <v>#N/A</v>
      </c>
      <c r="T21" s="9"/>
      <c r="U21"/>
    </row>
    <row r="22" spans="2:25" ht="14.5" x14ac:dyDescent="0.35">
      <c r="B22" s="43" t="str">
        <v>Matt Myers</v>
      </c>
      <c r="C22" s="44" t="e">
        <v>#NUM!</v>
      </c>
      <c r="D22" s="33"/>
      <c r="E22" s="13">
        <v>5</v>
      </c>
      <c r="G22" s="3" t="e">
        <f>VLOOKUP(F22,ESPNScores!$A$2:$B$133,2,FALSE)</f>
        <v>#N/A</v>
      </c>
      <c r="H22" s="29"/>
      <c r="I22" s="3" t="e">
        <f>VLOOKUP(H22,ESPNScores!$A$2:$B$133,2,FALSE)</f>
        <v>#N/A</v>
      </c>
      <c r="J22" s="9"/>
      <c r="K22" s="3" t="e">
        <f>VLOOKUP(J22,ESPNScores!$A$2:$B$133,2,FALSE)</f>
        <v>#N/A</v>
      </c>
      <c r="L22" s="9"/>
      <c r="M22" s="3" t="e">
        <f>VLOOKUP(L22,ESPNScores!$A$2:$B$133,2,FALSE)</f>
        <v>#N/A</v>
      </c>
      <c r="N22" s="9"/>
      <c r="O22" s="3" t="e">
        <f>VLOOKUP(N22,ESPNScores!$A$2:$B$133,2,FALSE)</f>
        <v>#N/A</v>
      </c>
      <c r="P22" s="9"/>
      <c r="Q22" s="3" t="e">
        <f>VLOOKUP(P22,ESPNScores!$A$2:$B$133,2,FALSE)</f>
        <v>#N/A</v>
      </c>
      <c r="R22" s="29"/>
      <c r="S22" s="3" t="e">
        <f>VLOOKUP(R22,ESPNScores!$A$2:$B$133,2,FALSE)</f>
        <v>#N/A</v>
      </c>
      <c r="T22" s="29"/>
      <c r="U22"/>
    </row>
    <row r="23" spans="2:25" ht="14.5" x14ac:dyDescent="0.35">
      <c r="B23" s="43" t="str">
        <v>Damon Chapman</v>
      </c>
      <c r="C23" s="44" t="e">
        <v>#NUM!</v>
      </c>
      <c r="D23" s="33"/>
      <c r="E23" s="13">
        <v>6</v>
      </c>
      <c r="F23" s="9"/>
      <c r="G23" s="3" t="e">
        <f>VLOOKUP(F23,ESPNScores!$A$2:$B$133,2,FALSE)</f>
        <v>#N/A</v>
      </c>
      <c r="H23" s="9"/>
      <c r="I23" s="3" t="e">
        <f>VLOOKUP(H23,ESPNScores!$A$2:$B$133,2,FALSE)</f>
        <v>#N/A</v>
      </c>
      <c r="J23" s="9"/>
      <c r="K23" s="3" t="e">
        <f>VLOOKUP(J23,ESPNScores!$A$2:$B$133,2,FALSE)</f>
        <v>#N/A</v>
      </c>
      <c r="L23" s="9"/>
      <c r="M23" s="3" t="e">
        <f>VLOOKUP(L23,ESPNScores!$A$2:$B$133,2,FALSE)</f>
        <v>#N/A</v>
      </c>
      <c r="N23" s="9"/>
      <c r="O23" s="3" t="e">
        <f>VLOOKUP(N23,ESPNScores!$A$2:$B$133,2,FALSE)</f>
        <v>#N/A</v>
      </c>
      <c r="P23" s="9"/>
      <c r="Q23" s="3" t="e">
        <f>VLOOKUP(P23,ESPNScores!$A$2:$B$133,2,FALSE)</f>
        <v>#N/A</v>
      </c>
      <c r="R23" s="9"/>
      <c r="S23" s="3" t="e">
        <f>VLOOKUP(R23,ESPNScores!$A$2:$B$133,2,FALSE)</f>
        <v>#N/A</v>
      </c>
      <c r="T23" s="9"/>
      <c r="U23"/>
    </row>
    <row r="24" spans="2:25" ht="14.5" x14ac:dyDescent="0.35">
      <c r="B24" s="43" t="str">
        <v>Chris Marinis</v>
      </c>
      <c r="C24" s="44" t="e">
        <v>#NUM!</v>
      </c>
      <c r="D24" s="33"/>
      <c r="E24" s="13">
        <v>7</v>
      </c>
      <c r="F24" s="9"/>
      <c r="G24" s="3" t="e">
        <f>VLOOKUP(F24,ESPNScores!$A$2:$B$133,2,FALSE)</f>
        <v>#N/A</v>
      </c>
      <c r="H24" s="9"/>
      <c r="I24" s="3" t="e">
        <f>VLOOKUP(H24,ESPNScores!$A$2:$B$133,2,FALSE)</f>
        <v>#N/A</v>
      </c>
      <c r="J24" s="9"/>
      <c r="K24" s="3" t="e">
        <f>VLOOKUP(J24,ESPNScores!$A$2:$B$133,2,FALSE)</f>
        <v>#N/A</v>
      </c>
      <c r="L24" s="9"/>
      <c r="M24" s="3" t="e">
        <f>VLOOKUP(L24,ESPNScores!$A$2:$B$133,2,FALSE)</f>
        <v>#N/A</v>
      </c>
      <c r="N24" s="9"/>
      <c r="O24" s="3" t="e">
        <f>VLOOKUP(N24,ESPNScores!$A$2:$B$133,2,FALSE)</f>
        <v>#N/A</v>
      </c>
      <c r="P24" s="9"/>
      <c r="Q24" s="3" t="e">
        <f>VLOOKUP(P24,ESPNScores!$A$2:$B$133,2,FALSE)</f>
        <v>#N/A</v>
      </c>
      <c r="R24" s="9"/>
      <c r="S24" s="3" t="e">
        <f>VLOOKUP(R24,ESPNScores!$A$2:$B$133,2,FALSE)</f>
        <v>#N/A</v>
      </c>
      <c r="T24" s="9"/>
      <c r="U24"/>
    </row>
    <row r="25" spans="2:25" ht="14.5" x14ac:dyDescent="0.35">
      <c r="B25" s="43" t="str">
        <v>Anthony Neville</v>
      </c>
      <c r="C25" s="44" t="e">
        <v>#NUM!</v>
      </c>
      <c r="D25" s="33"/>
      <c r="E25" s="13">
        <v>8</v>
      </c>
      <c r="F25" s="9"/>
      <c r="G25" s="3" t="e">
        <f>VLOOKUP(F25,ESPNScores!$A$2:$B$133,2,FALSE)</f>
        <v>#N/A</v>
      </c>
      <c r="H25" s="9"/>
      <c r="I25" s="3" t="e">
        <f>VLOOKUP(H25,ESPNScores!$A$2:$B$133,2,FALSE)</f>
        <v>#N/A</v>
      </c>
      <c r="J25" s="9"/>
      <c r="K25" s="3" t="e">
        <f>VLOOKUP(J25,ESPNScores!$A$2:$B$133,2,FALSE)</f>
        <v>#N/A</v>
      </c>
      <c r="L25" s="9"/>
      <c r="M25" s="3" t="e">
        <f>VLOOKUP(L25,ESPNScores!$A$2:$B$133,2,FALSE)</f>
        <v>#N/A</v>
      </c>
      <c r="N25" s="9"/>
      <c r="O25" s="3" t="e">
        <f>VLOOKUP(N25,ESPNScores!$A$2:$B$133,2,FALSE)</f>
        <v>#N/A</v>
      </c>
      <c r="P25" s="9"/>
      <c r="Q25" s="3" t="e">
        <f>VLOOKUP(P25,ESPNScores!$A$2:$B$133,2,FALSE)</f>
        <v>#N/A</v>
      </c>
      <c r="R25" s="9"/>
      <c r="S25" s="3" t="e">
        <f>VLOOKUP(R25,ESPNScores!$A$2:$B$133,2,FALSE)</f>
        <v>#N/A</v>
      </c>
      <c r="T25" s="9"/>
      <c r="U25"/>
    </row>
    <row r="26" spans="2:25" ht="14.5" x14ac:dyDescent="0.35">
      <c r="B26" s="43" t="str">
        <v>Mike Hefner</v>
      </c>
      <c r="C26" s="44" t="e">
        <v>#NUM!</v>
      </c>
      <c r="D26" s="33"/>
      <c r="E26" s="13" t="s">
        <v>9</v>
      </c>
      <c r="F26" s="9"/>
      <c r="G26" s="3" t="e">
        <f>VLOOKUP(F26,ESPNScores!$A$2:$B$133,2,FALSE)</f>
        <v>#N/A</v>
      </c>
      <c r="H26" s="9"/>
      <c r="I26" s="3" t="e">
        <f>VLOOKUP(H26,ESPNScores!$A$2:$B$133,2,FALSE)</f>
        <v>#N/A</v>
      </c>
      <c r="J26" s="9"/>
      <c r="K26" s="3" t="e">
        <f>VLOOKUP(J26,ESPNScores!$A$2:$B$133,2,FALSE)</f>
        <v>#N/A</v>
      </c>
      <c r="L26" s="9"/>
      <c r="M26" s="3" t="e">
        <f>VLOOKUP(L26,ESPNScores!$A$2:$B$133,2,FALSE)</f>
        <v>#N/A</v>
      </c>
      <c r="N26" s="144"/>
      <c r="O26" s="3" t="e">
        <f>VLOOKUP(N26,ESPNScores!$A$2:$B$133,2,FALSE)</f>
        <v>#N/A</v>
      </c>
      <c r="P26" s="53"/>
      <c r="Q26" s="3" t="e">
        <f>VLOOKUP(P26,ESPNScores!$A$2:$B$133,2,FALSE)</f>
        <v>#N/A</v>
      </c>
      <c r="S26" s="3" t="e">
        <f>VLOOKUP(R26,ESPNScores!$A$2:$B$133,2,FALSE)</f>
        <v>#N/A</v>
      </c>
      <c r="U26"/>
    </row>
    <row r="27" spans="2:25" ht="14.5" x14ac:dyDescent="0.35">
      <c r="B27" s="43" t="str">
        <v>Karl Hellerich</v>
      </c>
      <c r="C27" s="44" t="e">
        <v>#NUM!</v>
      </c>
      <c r="D27" s="33"/>
      <c r="E27" s="13" t="s">
        <v>10</v>
      </c>
      <c r="F27" s="9"/>
      <c r="G27" s="3" t="e">
        <f>VLOOKUP(F27,ESPNScores!$A$2:$B$133,2,FALSE)</f>
        <v>#N/A</v>
      </c>
      <c r="H27" s="9"/>
      <c r="I27" s="3" t="e">
        <f>VLOOKUP(H27,ESPNScores!$A$2:$B$133,2,FALSE)</f>
        <v>#N/A</v>
      </c>
      <c r="J27" s="9"/>
      <c r="K27" s="3" t="e">
        <f>VLOOKUP(J27,ESPNScores!$A$2:$B$133,2,FALSE)</f>
        <v>#N/A</v>
      </c>
      <c r="L27" s="29"/>
      <c r="M27" s="3" t="e">
        <f>VLOOKUP(L27,ESPNScores!$A$2:$B$133,2,FALSE)</f>
        <v>#N/A</v>
      </c>
      <c r="N27" s="9"/>
      <c r="O27" s="3" t="e">
        <f>VLOOKUP(N27,ESPNScores!$A$2:$B$133,2,FALSE)</f>
        <v>#N/A</v>
      </c>
      <c r="P27" s="29"/>
      <c r="Q27" s="3" t="e">
        <f>VLOOKUP(P27,ESPNScores!$A$2:$B$133,2,FALSE)</f>
        <v>#N/A</v>
      </c>
      <c r="R27" s="144"/>
      <c r="S27" s="3" t="e">
        <f>VLOOKUP(R27,ESPNScores!$A$2:$B$133,2,FALSE)</f>
        <v>#N/A</v>
      </c>
      <c r="T27" s="9"/>
      <c r="U27"/>
    </row>
    <row r="28" spans="2:25" ht="14.5" x14ac:dyDescent="0.35">
      <c r="B28" s="43" t="str">
        <v>Regina Przywara</v>
      </c>
      <c r="C28" s="44" t="e">
        <v>#NUM!</v>
      </c>
      <c r="D28" s="33"/>
      <c r="E28" s="50"/>
      <c r="F28" s="78"/>
      <c r="G28" s="3" t="e">
        <f>VLOOKUP(F28,ESPNScores!$A$2:$B$133,2,FALSE)</f>
        <v>#N/A</v>
      </c>
      <c r="H28" s="78"/>
      <c r="I28" s="3" t="e">
        <f>VLOOKUP(H28,ESPNScores!$A$2:$B$133,2,FALSE)</f>
        <v>#N/A</v>
      </c>
      <c r="J28" s="78"/>
      <c r="K28" s="3" t="e">
        <f>VLOOKUP(J28,ESPNScores!$A$2:$B$133,2,FALSE)</f>
        <v>#N/A</v>
      </c>
      <c r="L28" s="78"/>
      <c r="M28" s="3" t="e">
        <f>VLOOKUP(L28,ESPNScores!$A$2:$B$133,2,FALSE)</f>
        <v>#N/A</v>
      </c>
      <c r="N28" s="78"/>
      <c r="O28" s="3" t="e">
        <f>VLOOKUP(N28,ESPNScores!$A$2:$B$133,2,FALSE)</f>
        <v>#N/A</v>
      </c>
      <c r="P28" s="78"/>
      <c r="Q28" s="3" t="e">
        <f>VLOOKUP(P28,ESPNScores!$A$2:$B$133,2,FALSE)</f>
        <v>#N/A</v>
      </c>
      <c r="R28" s="78"/>
      <c r="S28" s="3" t="e">
        <f>VLOOKUP(R28,ESPNScores!$A$2:$B$133,2,FALSE)</f>
        <v>#N/A</v>
      </c>
      <c r="T28" s="78"/>
      <c r="U28"/>
    </row>
    <row r="29" spans="2:25" x14ac:dyDescent="0.25">
      <c r="B29" s="43" t="str">
        <v>Alicia Nangle</v>
      </c>
      <c r="C29" s="44" t="e">
        <v>#NUM!</v>
      </c>
      <c r="D29" s="33"/>
      <c r="E29" s="51"/>
      <c r="U29"/>
    </row>
    <row r="30" spans="2:25" ht="13" x14ac:dyDescent="0.3">
      <c r="B30" s="108" t="str">
        <v>Jimmy Barker</v>
      </c>
      <c r="C30" s="33" t="e">
        <v>#NUM!</v>
      </c>
      <c r="D30"/>
      <c r="E30" s="82"/>
      <c r="F30" s="10" t="s">
        <v>19</v>
      </c>
      <c r="G30" s="11" t="e" cm="1">
        <f t="array" ref="G30">SUM(SMALL(IF(ISNUMBER(G31:G41), G31:G41), {1,2,3,4,5}))</f>
        <v>#NUM!</v>
      </c>
      <c r="H30" s="10" t="s">
        <v>18</v>
      </c>
      <c r="I30" s="11" t="e" cm="1">
        <f t="array" ref="I30">SUM(SMALL(IF(ISNUMBER(I31:I41), I31:I41), {1,2,3,4,5}))</f>
        <v>#NUM!</v>
      </c>
      <c r="J30" s="10" t="s">
        <v>20</v>
      </c>
      <c r="K30" s="11" t="e" cm="1">
        <f t="array" ref="K30">SUM(SMALL(IF(ISNUMBER(K31:K41), K31:K41), {1,2,3,4,5}))</f>
        <v>#NUM!</v>
      </c>
      <c r="L30" s="10" t="s">
        <v>7</v>
      </c>
      <c r="M30" s="11" t="e" cm="1">
        <f t="array" ref="M30">SUM(SMALL(IF(ISNUMBER(M31:M41), M31:M41), {1,2,3,4,5}))</f>
        <v>#NUM!</v>
      </c>
      <c r="N30" s="10" t="s">
        <v>11</v>
      </c>
      <c r="O30" s="11" t="e" cm="1">
        <f t="array" ref="O30">SUM(SMALL(IF(ISNUMBER(O31:O41), O31:O41), {1,2,3,4,5}))</f>
        <v>#NUM!</v>
      </c>
      <c r="P30" s="10" t="s">
        <v>21</v>
      </c>
      <c r="Q30" s="11" t="e" cm="1">
        <f t="array" ref="Q30">SUM(SMALL(IF(ISNUMBER(Q31:Q41), Q31:Q41), {1,2,3,4,5}))</f>
        <v>#NUM!</v>
      </c>
      <c r="R30" s="10" t="s">
        <v>128</v>
      </c>
      <c r="S30" s="11" t="e" cm="1">
        <f t="array" ref="S30">SUM(SMALL(IF(ISNUMBER(S31:S41), S31:S41), {1,2,3,4,5}))</f>
        <v>#NUM!</v>
      </c>
      <c r="U30"/>
    </row>
    <row r="31" spans="2:25" ht="14.5" x14ac:dyDescent="0.35">
      <c r="B31" s="109" t="str">
        <v>Frank Prestifilippo</v>
      </c>
      <c r="C31" s="35" t="e">
        <v>#NUM!</v>
      </c>
      <c r="D31"/>
      <c r="E31" s="83">
        <v>1</v>
      </c>
      <c r="F31" s="9"/>
      <c r="G31" s="3" t="e">
        <f>VLOOKUP(F31,ESPNScores!$A$2:$B$133,2,FALSE)</f>
        <v>#N/A</v>
      </c>
      <c r="I31" s="3" t="e">
        <f>VLOOKUP(H31,ESPNScores!$A$2:$B$133,2,FALSE)</f>
        <v>#N/A</v>
      </c>
      <c r="J31" s="9"/>
      <c r="K31" s="3" t="e">
        <f>VLOOKUP(J31,ESPNScores!$A$2:$B$133,2,FALSE)</f>
        <v>#N/A</v>
      </c>
      <c r="L31" s="9"/>
      <c r="M31" s="3" t="e">
        <f>VLOOKUP(L31,ESPNScores!$A$2:$B$133,2,FALSE)</f>
        <v>#N/A</v>
      </c>
      <c r="N31" s="9"/>
      <c r="O31" s="3" t="e">
        <f>VLOOKUP(N31,ESPNScores!$A$2:$B$133,2,FALSE)</f>
        <v>#N/A</v>
      </c>
      <c r="P31" s="9"/>
      <c r="Q31" s="3" t="e">
        <f>VLOOKUP(P31,ESPNScores!$A$2:$B$133,2,FALSE)</f>
        <v>#N/A</v>
      </c>
      <c r="R31" s="9"/>
      <c r="S31" s="3" t="e">
        <f>VLOOKUP(R31,ESPNScores!$A$2:$B$133,2,FALSE)</f>
        <v>#N/A</v>
      </c>
      <c r="T31" s="9"/>
      <c r="U31"/>
    </row>
    <row r="32" spans="2:25" s="7" customFormat="1" ht="14.5" x14ac:dyDescent="0.35">
      <c r="B32" s="110"/>
      <c r="C32" s="77"/>
      <c r="D32"/>
      <c r="E32" s="83">
        <v>2</v>
      </c>
      <c r="F32" s="9"/>
      <c r="G32" s="3" t="e">
        <f>VLOOKUP(F32,ESPNScores!$A$2:$B$133,2,FALSE)</f>
        <v>#N/A</v>
      </c>
      <c r="H32" s="9"/>
      <c r="I32" s="3" t="e">
        <f>VLOOKUP(H32,ESPNScores!$A$2:$B$133,2,FALSE)</f>
        <v>#N/A</v>
      </c>
      <c r="J32" s="9"/>
      <c r="K32" s="3" t="e">
        <f>VLOOKUP(J32,ESPNScores!$A$2:$B$133,2,FALSE)</f>
        <v>#N/A</v>
      </c>
      <c r="L32" s="9"/>
      <c r="M32" s="3" t="e">
        <f>VLOOKUP(L32,ESPNScores!$A$2:$B$133,2,FALSE)</f>
        <v>#N/A</v>
      </c>
      <c r="N32" s="9"/>
      <c r="O32" s="3" t="e">
        <f>VLOOKUP(N32,ESPNScores!$A$2:$B$133,2,FALSE)</f>
        <v>#N/A</v>
      </c>
      <c r="P32" s="9"/>
      <c r="Q32" s="3" t="e">
        <f>VLOOKUP(P32,ESPNScores!$A$2:$B$133,2,FALSE)</f>
        <v>#N/A</v>
      </c>
      <c r="R32" s="9"/>
      <c r="S32" s="3" t="e">
        <f>VLOOKUP(R32,ESPNScores!$A$2:$B$133,2,FALSE)</f>
        <v>#N/A</v>
      </c>
      <c r="T32" s="9"/>
      <c r="U32"/>
      <c r="V32"/>
      <c r="W32"/>
      <c r="X32"/>
      <c r="Y32"/>
    </row>
    <row r="33" spans="2:22" ht="14.5" x14ac:dyDescent="0.35">
      <c r="B33" s="46" t="s">
        <v>107</v>
      </c>
      <c r="C33" s="17"/>
      <c r="E33" s="83">
        <v>3</v>
      </c>
      <c r="F33" s="9"/>
      <c r="G33" s="3" t="e">
        <f>VLOOKUP(F33,ESPNScores!$A$2:$B$133,2,FALSE)</f>
        <v>#N/A</v>
      </c>
      <c r="H33" s="9"/>
      <c r="I33" s="3" t="e">
        <f>VLOOKUP(H33,ESPNScores!$A$2:$B$133,2,FALSE)</f>
        <v>#N/A</v>
      </c>
      <c r="J33" s="9"/>
      <c r="K33" s="3" t="e">
        <f>VLOOKUP(J33,ESPNScores!$A$2:$B$133,2,FALSE)</f>
        <v>#N/A</v>
      </c>
      <c r="L33" s="9"/>
      <c r="M33" s="3" t="e">
        <f>VLOOKUP(L33,ESPNScores!$A$2:$B$133,2,FALSE)</f>
        <v>#N/A</v>
      </c>
      <c r="N33" s="9"/>
      <c r="O33" s="3" t="e">
        <f>VLOOKUP(N33,ESPNScores!$A$2:$B$133,2,FALSE)</f>
        <v>#N/A</v>
      </c>
      <c r="P33" s="9"/>
      <c r="Q33" s="3" t="e">
        <f>VLOOKUP(P33,ESPNScores!$A$2:$B$133,2,FALSE)</f>
        <v>#N/A</v>
      </c>
      <c r="R33" s="9"/>
      <c r="S33" s="3" t="e">
        <f>VLOOKUP(R33,ESPNScores!$A$2:$B$133,2,FALSE)</f>
        <v>#N/A</v>
      </c>
      <c r="T33" s="9"/>
      <c r="U33"/>
    </row>
    <row r="34" spans="2:22" ht="14.5" x14ac:dyDescent="0.35">
      <c r="B34" s="106" t="str">
        <f>ESPNScores!A2</f>
        <v>Scottie Scheffler</v>
      </c>
      <c r="C34" s="77">
        <f>ESPNScores!B2</f>
        <v>-21</v>
      </c>
      <c r="E34" s="83">
        <v>4</v>
      </c>
      <c r="F34" s="9"/>
      <c r="G34" s="3" t="e">
        <f>VLOOKUP(F34,ESPNScores!$A$2:$B$133,2,FALSE)</f>
        <v>#N/A</v>
      </c>
      <c r="H34" s="9"/>
      <c r="I34" s="3" t="e">
        <f>VLOOKUP(H34,ESPNScores!$A$2:$B$133,2,FALSE)</f>
        <v>#N/A</v>
      </c>
      <c r="J34" s="9"/>
      <c r="K34" s="3" t="e">
        <f>VLOOKUP(J34,ESPNScores!$A$2:$B$133,2,FALSE)</f>
        <v>#N/A</v>
      </c>
      <c r="L34" s="9"/>
      <c r="M34" s="3" t="e">
        <f>VLOOKUP(L34,ESPNScores!$A$2:$B$133,2,FALSE)</f>
        <v>#N/A</v>
      </c>
      <c r="N34" s="9"/>
      <c r="O34" s="3" t="e">
        <f>VLOOKUP(N34,ESPNScores!$A$2:$B$133,2,FALSE)</f>
        <v>#N/A</v>
      </c>
      <c r="P34" s="9"/>
      <c r="Q34" s="3" t="e">
        <f>VLOOKUP(P34,ESPNScores!$A$2:$B$133,2,FALSE)</f>
        <v>#N/A</v>
      </c>
      <c r="R34" s="9"/>
      <c r="S34" s="3" t="e">
        <f>VLOOKUP(R34,ESPNScores!$A$2:$B$133,2,FALSE)</f>
        <v>#N/A</v>
      </c>
      <c r="T34" s="9"/>
      <c r="U34"/>
    </row>
    <row r="35" spans="2:22" ht="14.5" x14ac:dyDescent="0.35">
      <c r="B35" s="106" t="str">
        <f>ESPNScores!A3</f>
        <v>Viktor Hovland</v>
      </c>
      <c r="C35" s="77">
        <f>ESPNScores!B3</f>
        <v>-21</v>
      </c>
      <c r="D35" s="17"/>
      <c r="E35" s="83">
        <v>5</v>
      </c>
      <c r="F35" s="9"/>
      <c r="G35" s="3" t="e">
        <f>VLOOKUP(F35,ESPNScores!$A$2:$B$133,2,FALSE)</f>
        <v>#N/A</v>
      </c>
      <c r="H35" s="9"/>
      <c r="I35" s="3" t="e">
        <f>VLOOKUP(H35,ESPNScores!$A$2:$B$133,2,FALSE)</f>
        <v>#N/A</v>
      </c>
      <c r="J35" s="29"/>
      <c r="K35" s="3" t="e">
        <f>VLOOKUP(J35,ESPNScores!$A$2:$B$133,2,FALSE)</f>
        <v>#N/A</v>
      </c>
      <c r="L35" s="29"/>
      <c r="M35" s="3" t="e">
        <f>VLOOKUP(L35,ESPNScores!$A$2:$B$133,2,FALSE)</f>
        <v>#N/A</v>
      </c>
      <c r="N35" s="29"/>
      <c r="O35" s="3" t="e">
        <f>VLOOKUP(N35,ESPNScores!$A$2:$B$133,2,FALSE)</f>
        <v>#N/A</v>
      </c>
      <c r="P35" s="9"/>
      <c r="Q35" s="3" t="e">
        <f>VLOOKUP(P35,ESPNScores!$A$2:$B$133,2,FALSE)</f>
        <v>#N/A</v>
      </c>
      <c r="R35" s="29"/>
      <c r="S35" s="3" t="e">
        <f>VLOOKUP(R35,ESPNScores!$A$2:$B$133,2,FALSE)</f>
        <v>#N/A</v>
      </c>
      <c r="T35" s="29"/>
      <c r="U35"/>
    </row>
    <row r="36" spans="2:22" ht="14.5" x14ac:dyDescent="0.35">
      <c r="B36" s="106" t="str">
        <f>ESPNScores!A4</f>
        <v>Collin Morikawa</v>
      </c>
      <c r="C36" s="77">
        <f>ESPNScores!B4</f>
        <v>-20</v>
      </c>
      <c r="E36" s="83">
        <v>6</v>
      </c>
      <c r="F36" s="9"/>
      <c r="G36" s="3" t="e">
        <f>VLOOKUP(F36,ESPNScores!$A$2:$B$133,2,FALSE)</f>
        <v>#N/A</v>
      </c>
      <c r="H36" s="9"/>
      <c r="I36" s="3" t="e">
        <f>VLOOKUP(H36,ESPNScores!$A$2:$B$133,2,FALSE)</f>
        <v>#N/A</v>
      </c>
      <c r="J36" s="9"/>
      <c r="K36" s="3" t="e">
        <f>VLOOKUP(J36,ESPNScores!$A$2:$B$133,2,FALSE)</f>
        <v>#N/A</v>
      </c>
      <c r="L36" s="9"/>
      <c r="M36" s="3" t="e">
        <f>VLOOKUP(L36,ESPNScores!$A$2:$B$133,2,FALSE)</f>
        <v>#N/A</v>
      </c>
      <c r="N36" s="9"/>
      <c r="O36" s="3" t="e">
        <f>VLOOKUP(N36,ESPNScores!$A$2:$B$133,2,FALSE)</f>
        <v>#N/A</v>
      </c>
      <c r="P36" s="9"/>
      <c r="Q36" s="3" t="e">
        <f>VLOOKUP(P36,ESPNScores!$A$2:$B$133,2,FALSE)</f>
        <v>#N/A</v>
      </c>
      <c r="R36" s="9"/>
      <c r="S36" s="3" t="e">
        <f>VLOOKUP(R36,ESPNScores!$A$2:$B$133,2,FALSE)</f>
        <v>#N/A</v>
      </c>
      <c r="T36" s="9"/>
      <c r="U36"/>
    </row>
    <row r="37" spans="2:22" ht="14.5" x14ac:dyDescent="0.35">
      <c r="B37" s="106" t="str">
        <f>ESPNScores!A5</f>
        <v>Matt Fitzpatrick</v>
      </c>
      <c r="C37" s="77">
        <f>ESPNScores!B5</f>
        <v>-19</v>
      </c>
      <c r="E37" s="83">
        <v>7</v>
      </c>
      <c r="F37" s="9"/>
      <c r="G37" s="3" t="e">
        <f>VLOOKUP(F37,ESPNScores!$A$2:$B$133,2,FALSE)</f>
        <v>#N/A</v>
      </c>
      <c r="H37" s="9"/>
      <c r="I37" s="3" t="e">
        <f>VLOOKUP(H37,ESPNScores!$A$2:$B$133,2,FALSE)</f>
        <v>#N/A</v>
      </c>
      <c r="J37" s="9"/>
      <c r="K37" s="3" t="e">
        <f>VLOOKUP(J37,ESPNScores!$A$2:$B$133,2,FALSE)</f>
        <v>#N/A</v>
      </c>
      <c r="L37" s="9"/>
      <c r="M37" s="3" t="e">
        <f>VLOOKUP(L37,ESPNScores!$A$2:$B$133,2,FALSE)</f>
        <v>#N/A</v>
      </c>
      <c r="N37" s="9"/>
      <c r="O37" s="3" t="e">
        <f>VLOOKUP(N37,ESPNScores!$A$2:$B$133,2,FALSE)</f>
        <v>#N/A</v>
      </c>
      <c r="P37" s="9"/>
      <c r="Q37" s="3" t="e">
        <f>VLOOKUP(P37,ESPNScores!$A$2:$B$133,2,FALSE)</f>
        <v>#N/A</v>
      </c>
      <c r="R37" s="9"/>
      <c r="S37" s="3" t="e">
        <f>VLOOKUP(R37,ESPNScores!$A$2:$B$133,2,FALSE)</f>
        <v>#N/A</v>
      </c>
      <c r="T37" s="9"/>
      <c r="U37"/>
    </row>
    <row r="38" spans="2:22" ht="14.5" x14ac:dyDescent="0.35">
      <c r="B38" s="106" t="str">
        <f>ESPNScores!A6</f>
        <v>Wyndham Clark</v>
      </c>
      <c r="C38" s="77">
        <f>ESPNScores!B6</f>
        <v>-18</v>
      </c>
      <c r="E38" s="83">
        <v>8</v>
      </c>
      <c r="F38" s="9"/>
      <c r="G38" s="3" t="e">
        <f>VLOOKUP(F38,ESPNScores!$A$2:$B$133,2,FALSE)</f>
        <v>#N/A</v>
      </c>
      <c r="H38" s="9"/>
      <c r="I38" s="3" t="e">
        <f>VLOOKUP(H38,ESPNScores!$A$2:$B$133,2,FALSE)</f>
        <v>#N/A</v>
      </c>
      <c r="J38" s="9"/>
      <c r="K38" s="3" t="e">
        <f>VLOOKUP(J38,ESPNScores!$A$2:$B$133,2,FALSE)</f>
        <v>#N/A</v>
      </c>
      <c r="L38" s="9"/>
      <c r="M38" s="3" t="e">
        <f>VLOOKUP(L38,ESPNScores!$A$2:$B$133,2,FALSE)</f>
        <v>#N/A</v>
      </c>
      <c r="N38" s="9"/>
      <c r="O38" s="3" t="e">
        <f>VLOOKUP(N38,ESPNScores!$A$2:$B$133,2,FALSE)</f>
        <v>#N/A</v>
      </c>
      <c r="P38" s="9"/>
      <c r="Q38" s="3" t="e">
        <f>VLOOKUP(P38,ESPNScores!$A$2:$B$133,2,FALSE)</f>
        <v>#N/A</v>
      </c>
      <c r="R38" s="9"/>
      <c r="S38" s="3" t="e">
        <f>VLOOKUP(R38,ESPNScores!$A$2:$B$133,2,FALSE)</f>
        <v>#N/A</v>
      </c>
      <c r="T38" s="9"/>
      <c r="U38"/>
    </row>
    <row r="39" spans="2:22" ht="14.5" x14ac:dyDescent="0.35">
      <c r="B39" s="106" t="str">
        <f>ESPNScores!A7</f>
        <v>Akshay Bhatia</v>
      </c>
      <c r="C39" s="77">
        <f>ESPNScores!B7</f>
        <v>-18</v>
      </c>
      <c r="E39" s="83" t="s">
        <v>9</v>
      </c>
      <c r="F39" s="53"/>
      <c r="G39" s="3" t="e">
        <f>VLOOKUP(F39,ESPNScores!$A$2:$B$133,2,FALSE)</f>
        <v>#N/A</v>
      </c>
      <c r="H39" s="144"/>
      <c r="I39" s="3" t="e">
        <f>VLOOKUP(H39,ESPNScores!$A$2:$B$133,2,FALSE)</f>
        <v>#N/A</v>
      </c>
      <c r="J39" s="9"/>
      <c r="K39" s="3" t="e">
        <f>VLOOKUP(J39,ESPNScores!$A$2:$B$133,2,FALSE)</f>
        <v>#N/A</v>
      </c>
      <c r="L39" s="144"/>
      <c r="M39" s="3" t="e">
        <f>VLOOKUP(L39,ESPNScores!$A$2:$B$133,2,FALSE)</f>
        <v>#N/A</v>
      </c>
      <c r="N39" s="9"/>
      <c r="O39" s="3" t="e">
        <f>VLOOKUP(N39,ESPNScores!$A$2:$B$133,2,FALSE)</f>
        <v>#N/A</v>
      </c>
      <c r="P39" s="9"/>
      <c r="Q39" s="3" t="e">
        <f>VLOOKUP(P39,ESPNScores!$A$2:$B$133,2,FALSE)</f>
        <v>#N/A</v>
      </c>
      <c r="R39" s="9"/>
      <c r="S39" s="3" t="e">
        <f>VLOOKUP(R39,ESPNScores!$A$2:$B$133,2,FALSE)</f>
        <v>#N/A</v>
      </c>
      <c r="T39" s="102"/>
      <c r="U39"/>
    </row>
    <row r="40" spans="2:22" ht="14.5" x14ac:dyDescent="0.35">
      <c r="B40" s="106" t="str">
        <f>ESPNScores!A8</f>
        <v>Corey Conners</v>
      </c>
      <c r="C40" s="77">
        <f>ESPNScores!B8</f>
        <v>-17</v>
      </c>
      <c r="E40" s="83" t="s">
        <v>10</v>
      </c>
      <c r="F40" s="9"/>
      <c r="G40" s="3" t="e">
        <f>VLOOKUP(F40,ESPNScores!$A$2:$B$133,2,FALSE)</f>
        <v>#N/A</v>
      </c>
      <c r="H40" s="9"/>
      <c r="I40" s="3" t="e">
        <f>VLOOKUP(H40,ESPNScores!$A$2:$B$133,2,FALSE)</f>
        <v>#N/A</v>
      </c>
      <c r="J40" s="9"/>
      <c r="K40" s="3" t="e">
        <f>VLOOKUP(J40,ESPNScores!$A$2:$B$133,2,FALSE)</f>
        <v>#N/A</v>
      </c>
      <c r="L40" s="9"/>
      <c r="M40" s="3" t="e">
        <f>VLOOKUP(L40,ESPNScores!$A$2:$B$133,2,FALSE)</f>
        <v>#N/A</v>
      </c>
      <c r="N40" s="53"/>
      <c r="O40" s="3" t="e">
        <f>VLOOKUP(N40,ESPNScores!$A$2:$B$133,2,FALSE)</f>
        <v>#N/A</v>
      </c>
      <c r="P40" s="9"/>
      <c r="Q40" s="3" t="e">
        <f>VLOOKUP(P40,ESPNScores!$A$2:$B$133,2,FALSE)</f>
        <v>#N/A</v>
      </c>
      <c r="R40" s="9"/>
      <c r="S40" s="3" t="e">
        <f>VLOOKUP(R40,ESPNScores!$A$2:$B$133,2,FALSE)</f>
        <v>#N/A</v>
      </c>
      <c r="T40" s="9"/>
      <c r="U40"/>
    </row>
    <row r="41" spans="2:22" ht="14.5" x14ac:dyDescent="0.35">
      <c r="B41" s="106" t="str">
        <f>ESPNScores!A9</f>
        <v>Alex Fitzpatrick</v>
      </c>
      <c r="C41" s="77">
        <f>ESPNScores!B9</f>
        <v>-17</v>
      </c>
      <c r="E41" s="66"/>
      <c r="F41" s="78"/>
      <c r="G41" s="3" t="e">
        <f>VLOOKUP(F41,ESPNScores!$A$2:$B$133,2,FALSE)</f>
        <v>#N/A</v>
      </c>
      <c r="H41" s="78"/>
      <c r="I41" s="3" t="e">
        <f>VLOOKUP(H41,ESPNScores!$A$2:$B$133,2,FALSE)</f>
        <v>#N/A</v>
      </c>
      <c r="J41" s="78"/>
      <c r="K41" s="3" t="e">
        <f>VLOOKUP(J41,ESPNScores!$A$2:$B$133,2,FALSE)</f>
        <v>#N/A</v>
      </c>
      <c r="L41" s="78"/>
      <c r="M41" s="3" t="e">
        <f>VLOOKUP(L41,ESPNScores!$A$2:$B$133,2,FALSE)</f>
        <v>#N/A</v>
      </c>
      <c r="N41" s="78"/>
      <c r="O41" s="3" t="e">
        <f>VLOOKUP(N41,ESPNScores!$A$2:$B$133,2,FALSE)</f>
        <v>#N/A</v>
      </c>
      <c r="P41" s="78"/>
      <c r="Q41" s="3" t="e">
        <f>VLOOKUP(P41,ESPNScores!$A$2:$B$133,2,FALSE)</f>
        <v>#N/A</v>
      </c>
      <c r="R41" s="78"/>
      <c r="S41" s="3" t="e">
        <f>VLOOKUP(R41,ESPNScores!$A$2:$B$133,2,FALSE)</f>
        <v>#N/A</v>
      </c>
      <c r="T41" s="78"/>
      <c r="U41"/>
    </row>
    <row r="42" spans="2:22" ht="14.5" x14ac:dyDescent="0.35">
      <c r="B42" s="106" t="str">
        <f>ESPNScores!A10</f>
        <v>J.J. Spaun</v>
      </c>
      <c r="C42" s="77">
        <f>ESPNScores!B10</f>
        <v>-17</v>
      </c>
      <c r="E42" s="83"/>
      <c r="F42" s="29"/>
      <c r="G42" s="17"/>
      <c r="H42" s="9"/>
      <c r="I42" s="3"/>
      <c r="J42" s="9"/>
      <c r="K42" s="3"/>
      <c r="L42" s="9"/>
      <c r="M42" s="3"/>
      <c r="N42" s="9"/>
      <c r="O42" s="3"/>
      <c r="P42" s="9"/>
      <c r="Q42" s="3"/>
      <c r="R42" s="9"/>
      <c r="S42" s="3"/>
      <c r="U42" s="115"/>
      <c r="V42" s="114"/>
    </row>
    <row r="43" spans="2:22" ht="14.5" x14ac:dyDescent="0.35">
      <c r="B43" s="106" t="str">
        <f>ESPNScores!A11</f>
        <v>Robert MacIntyre</v>
      </c>
      <c r="C43" s="77">
        <f>ESPNScores!B11</f>
        <v>-16</v>
      </c>
      <c r="E43" s="82"/>
      <c r="F43" s="10" t="s">
        <v>162</v>
      </c>
      <c r="G43" s="11" t="e" cm="1">
        <f t="array" ref="G43">SUM(SMALL(IF(ISNUMBER(G44:G54), G44:G54), {1,2,3,4,5}))</f>
        <v>#NUM!</v>
      </c>
      <c r="H43" s="10" t="s">
        <v>181</v>
      </c>
      <c r="I43" s="11" t="e" cm="1">
        <f t="array" ref="I43">SUM(SMALL(IF(ISNUMBER(I44:I54), I44:I54), {1,2,3,4,5}))</f>
        <v>#NUM!</v>
      </c>
      <c r="J43" s="104" t="s">
        <v>169</v>
      </c>
      <c r="K43" s="11" t="e" cm="1">
        <f t="array" ref="K43">SUM(SMALL(IF(ISNUMBER(K44:K54), K44:K54), {1,2,3,4,5}))</f>
        <v>#NUM!</v>
      </c>
      <c r="L43" s="103" t="s">
        <v>168</v>
      </c>
      <c r="M43" s="11" t="e" cm="1">
        <f t="array" ref="M43">SUM(SMALL(IF(ISNUMBER(M44:M54), M44:M54), {1,2,3,4,5}))</f>
        <v>#NUM!</v>
      </c>
      <c r="N43" s="10" t="s">
        <v>163</v>
      </c>
      <c r="O43" s="11" t="e" cm="1">
        <f t="array" ref="O43">SUM(SMALL(IF(ISNUMBER(O44:O54), O44:O54), {1,2,3,4,5}))</f>
        <v>#NUM!</v>
      </c>
      <c r="P43" s="103" t="s">
        <v>164</v>
      </c>
      <c r="Q43" s="11" t="e" cm="1">
        <f t="array" ref="Q43">SUM(SMALL(IF(ISNUMBER(Q44:Q54), Q44:Q54), {1,2,3,4,5}))</f>
        <v>#NUM!</v>
      </c>
      <c r="R43" s="112" t="s">
        <v>166</v>
      </c>
      <c r="S43" s="113" cm="1">
        <f t="array" aca="1" ref="S43" ca="1">SUMPRODUCT(SMALL(S44:S53,ROW(INDIRECT("1:5"))))</f>
        <v>-98</v>
      </c>
      <c r="U43" s="112" t="s">
        <v>228</v>
      </c>
      <c r="V43" s="113" t="e" cm="1">
        <f t="array" aca="1" ref="V43" ca="1">SUMPRODUCT(SMALL(V44:V53,ROW(INDIRECT("1:5"))))</f>
        <v>#N/A</v>
      </c>
    </row>
    <row r="44" spans="2:22" ht="14.5" x14ac:dyDescent="0.35">
      <c r="B44" s="106" t="str">
        <f>ESPNScores!A12</f>
        <v>Ben Griffin</v>
      </c>
      <c r="C44" s="77">
        <f>ESPNScores!B12</f>
        <v>-16</v>
      </c>
      <c r="E44" s="83">
        <v>1</v>
      </c>
      <c r="F44" s="9"/>
      <c r="G44" s="3" t="e">
        <f>VLOOKUP(F44,ESPNScores!$A$2:$B$133,2,FALSE)</f>
        <v>#N/A</v>
      </c>
      <c r="I44" s="3" t="e">
        <f>VLOOKUP(H44,ESPNScores!$A$2:$B$133,2,FALSE)</f>
        <v>#N/A</v>
      </c>
      <c r="J44" s="9"/>
      <c r="K44" s="3" t="e">
        <f>VLOOKUP(J44,ESPNScores!$A$2:$B$133,2,FALSE)</f>
        <v>#N/A</v>
      </c>
      <c r="M44" s="3" t="e">
        <f>VLOOKUP(L44,ESPNScores!$A$2:$B$133,2,FALSE)</f>
        <v>#N/A</v>
      </c>
      <c r="O44" s="3" t="e">
        <f>VLOOKUP(N44,ESPNScores!$A$2:$B$133,2,FALSE)</f>
        <v>#N/A</v>
      </c>
      <c r="Q44" s="3" t="e">
        <f>VLOOKUP(P44,ESPNScores!$A$2:$B$133,2,FALSE)</f>
        <v>#N/A</v>
      </c>
      <c r="R44" s="120" t="str">
        <f>'Top 40'!$H$48</f>
        <v>Scottie Scheffler</v>
      </c>
      <c r="S44" s="115">
        <f>'Top 40'!B36</f>
        <v>-21</v>
      </c>
      <c r="U44" s="139"/>
      <c r="V44" s="115" t="e">
        <f>VLOOKUP(U44,ESPNScores!$A$2:$B$133,2,FALSE)</f>
        <v>#N/A</v>
      </c>
    </row>
    <row r="45" spans="2:22" ht="14.5" x14ac:dyDescent="0.35">
      <c r="B45" s="106" t="str">
        <f>ESPNScores!A13</f>
        <v>Russell Henley</v>
      </c>
      <c r="C45" s="77">
        <f>ESPNScores!B13</f>
        <v>-15</v>
      </c>
      <c r="E45" s="83">
        <v>2</v>
      </c>
      <c r="F45" s="9"/>
      <c r="G45" s="3" t="e">
        <f>VLOOKUP(F45,ESPNScores!$A$2:$B$133,2,FALSE)</f>
        <v>#N/A</v>
      </c>
      <c r="H45" s="9"/>
      <c r="I45" s="3" t="e">
        <f>VLOOKUP(H45,ESPNScores!$A$2:$B$133,2,FALSE)</f>
        <v>#N/A</v>
      </c>
      <c r="J45" s="9"/>
      <c r="K45" s="3" t="e">
        <f>VLOOKUP(J45,ESPNScores!$A$2:$B$133,2,FALSE)</f>
        <v>#N/A</v>
      </c>
      <c r="L45" s="9"/>
      <c r="M45" s="3" t="e">
        <f>VLOOKUP(L45,ESPNScores!$A$2:$B$133,2,FALSE)</f>
        <v>#N/A</v>
      </c>
      <c r="N45" s="9"/>
      <c r="O45" s="3" t="e">
        <f>VLOOKUP(N45,ESPNScores!$A$2:$B$133,2,FALSE)</f>
        <v>#N/A</v>
      </c>
      <c r="P45" s="9"/>
      <c r="Q45" s="3" t="e">
        <f>VLOOKUP(P45,ESPNScores!$A$2:$B$133,2,FALSE)</f>
        <v>#N/A</v>
      </c>
      <c r="R45" s="120" t="str">
        <f>'Top 40'!$H$53</f>
        <v>Collin Morikawa</v>
      </c>
      <c r="S45" s="115">
        <f>'Top 40'!B37</f>
        <v>-20</v>
      </c>
      <c r="U45" s="139"/>
      <c r="V45" s="115" t="e">
        <f>VLOOKUP(U45,ESPNScores!$A$2:$B$133,2,FALSE)</f>
        <v>#N/A</v>
      </c>
    </row>
    <row r="46" spans="2:22" ht="14.5" x14ac:dyDescent="0.35">
      <c r="B46" s="106" t="str">
        <f>ESPNScores!A14</f>
        <v>Sam Burns</v>
      </c>
      <c r="C46" s="77">
        <f>ESPNScores!B14</f>
        <v>-15</v>
      </c>
      <c r="E46" s="83">
        <v>3</v>
      </c>
      <c r="F46" s="9"/>
      <c r="G46" s="3" t="e">
        <f>VLOOKUP(F46,ESPNScores!$A$2:$B$133,2,FALSE)</f>
        <v>#N/A</v>
      </c>
      <c r="H46" s="9"/>
      <c r="I46" s="3" t="e">
        <f>VLOOKUP(H46,ESPNScores!$A$2:$B$133,2,FALSE)</f>
        <v>#N/A</v>
      </c>
      <c r="J46" s="9"/>
      <c r="K46" s="3" t="e">
        <f>VLOOKUP(J46,ESPNScores!$A$2:$B$133,2,FALSE)</f>
        <v>#N/A</v>
      </c>
      <c r="L46" s="9"/>
      <c r="M46" s="3" t="e">
        <f>VLOOKUP(L46,ESPNScores!$A$2:$B$133,2,FALSE)</f>
        <v>#N/A</v>
      </c>
      <c r="N46" s="9"/>
      <c r="O46" s="3" t="e">
        <f>VLOOKUP(N46,ESPNScores!$A$2:$B$133,2,FALSE)</f>
        <v>#N/A</v>
      </c>
      <c r="P46" s="9"/>
      <c r="Q46" s="3" t="e">
        <f>VLOOKUP(P46,ESPNScores!$A$2:$B$133,2,FALSE)</f>
        <v>#N/A</v>
      </c>
      <c r="R46" s="120" t="str">
        <f>'Top 40'!$H$58</f>
        <v>Ben Griffin</v>
      </c>
      <c r="S46" s="115">
        <f>'Top 40'!B38</f>
        <v>-16</v>
      </c>
      <c r="U46" s="139"/>
      <c r="V46" s="115" t="e">
        <f>VLOOKUP(U46,ESPNScores!$A$2:$B$133,2,FALSE)</f>
        <v>#N/A</v>
      </c>
    </row>
    <row r="47" spans="2:22" ht="14.5" x14ac:dyDescent="0.35">
      <c r="B47" s="106" t="str">
        <f>ESPNScores!A15</f>
        <v>Nicolai Højgaard</v>
      </c>
      <c r="C47" s="77">
        <f>ESPNScores!B15</f>
        <v>-14</v>
      </c>
      <c r="E47" s="83">
        <v>4</v>
      </c>
      <c r="F47" s="9"/>
      <c r="G47" s="3" t="e">
        <f>VLOOKUP(F47,ESPNScores!$A$2:$B$133,2,FALSE)</f>
        <v>#N/A</v>
      </c>
      <c r="H47" s="9"/>
      <c r="I47" s="3" t="e">
        <f>VLOOKUP(H47,ESPNScores!$A$2:$B$133,2,FALSE)</f>
        <v>#N/A</v>
      </c>
      <c r="J47" s="9"/>
      <c r="K47" s="3" t="e">
        <f>VLOOKUP(J47,ESPNScores!$A$2:$B$133,2,FALSE)</f>
        <v>#N/A</v>
      </c>
      <c r="L47" s="9"/>
      <c r="M47" s="3" t="e">
        <f>VLOOKUP(L47,ESPNScores!$A$2:$B$133,2,FALSE)</f>
        <v>#N/A</v>
      </c>
      <c r="N47" s="9"/>
      <c r="O47" s="3" t="e">
        <f>VLOOKUP(N47,ESPNScores!$A$2:$B$133,2,FALSE)</f>
        <v>#N/A</v>
      </c>
      <c r="P47" s="9"/>
      <c r="Q47" s="3" t="e">
        <f>VLOOKUP(P47,ESPNScores!$A$2:$B$133,2,FALSE)</f>
        <v>#N/A</v>
      </c>
      <c r="R47" s="120" t="str">
        <f>'Top 40'!$H$63</f>
        <v>Robert MacIntyre</v>
      </c>
      <c r="S47" s="115">
        <f>'Top 40'!B39</f>
        <v>-16</v>
      </c>
      <c r="U47" s="139"/>
      <c r="V47" s="115" t="e">
        <f>VLOOKUP(U47,ESPNScores!$A$2:$B$133,2,FALSE)</f>
        <v>#N/A</v>
      </c>
    </row>
    <row r="48" spans="2:22" ht="14.5" x14ac:dyDescent="0.35">
      <c r="B48" s="106" t="str">
        <f>ESPNScores!A16</f>
        <v>Keegan Bradley</v>
      </c>
      <c r="C48" s="77">
        <f>ESPNScores!B16</f>
        <v>-14</v>
      </c>
      <c r="E48" s="83">
        <v>5</v>
      </c>
      <c r="F48" s="9"/>
      <c r="G48" s="3" t="e">
        <f>VLOOKUP(F48,ESPNScores!$A$2:$B$133,2,FALSE)</f>
        <v>#N/A</v>
      </c>
      <c r="H48" s="9"/>
      <c r="I48" s="3" t="e">
        <f>VLOOKUP(H48,ESPNScores!$A$2:$B$133,2,FALSE)</f>
        <v>#N/A</v>
      </c>
      <c r="J48" s="9"/>
      <c r="K48" s="3" t="e">
        <f>VLOOKUP(J48,ESPNScores!$A$2:$B$133,2,FALSE)</f>
        <v>#N/A</v>
      </c>
      <c r="L48" s="9"/>
      <c r="M48" s="3" t="e">
        <f>VLOOKUP(L48,ESPNScores!$A$2:$B$133,2,FALSE)</f>
        <v>#N/A</v>
      </c>
      <c r="N48" s="9"/>
      <c r="O48" s="3" t="e">
        <f>VLOOKUP(N48,ESPNScores!$A$2:$B$133,2,FALSE)</f>
        <v>#N/A</v>
      </c>
      <c r="P48" s="9"/>
      <c r="Q48" s="3" t="e">
        <f>VLOOKUP(P48,ESPNScores!$A$2:$B$133,2,FALSE)</f>
        <v>#N/A</v>
      </c>
      <c r="R48" s="120" t="str">
        <f>'Top 40'!$H$68</f>
        <v>Hideki Matsuyama</v>
      </c>
      <c r="S48" s="115">
        <f>'Top 40'!B40</f>
        <v>-14</v>
      </c>
      <c r="U48" s="139"/>
      <c r="V48" s="115" t="e">
        <f>VLOOKUP(U48,ESPNScores!$A$2:$B$133,2,FALSE)</f>
        <v>#N/A</v>
      </c>
    </row>
    <row r="49" spans="2:25" ht="14.5" x14ac:dyDescent="0.35">
      <c r="B49" s="106" t="str">
        <f>ESPNScores!A17</f>
        <v>Denny McCarthy</v>
      </c>
      <c r="C49" s="77">
        <f>ESPNScores!B17</f>
        <v>-14</v>
      </c>
      <c r="E49" s="83">
        <v>6</v>
      </c>
      <c r="F49" s="9"/>
      <c r="G49" s="3" t="e">
        <f>VLOOKUP(F49,ESPNScores!$A$2:$B$133,2,FALSE)</f>
        <v>#N/A</v>
      </c>
      <c r="H49" s="9"/>
      <c r="I49" s="3" t="e">
        <f>VLOOKUP(H49,ESPNScores!$A$2:$B$133,2,FALSE)</f>
        <v>#N/A</v>
      </c>
      <c r="J49" s="9"/>
      <c r="K49" s="3" t="e">
        <f>VLOOKUP(J49,ESPNScores!$A$2:$B$133,2,FALSE)</f>
        <v>#N/A</v>
      </c>
      <c r="L49" s="9"/>
      <c r="M49" s="3" t="e">
        <f>VLOOKUP(L49,ESPNScores!$A$2:$B$133,2,FALSE)</f>
        <v>#N/A</v>
      </c>
      <c r="N49" s="9"/>
      <c r="O49" s="3" t="e">
        <f>VLOOKUP(N49,ESPNScores!$A$2:$B$133,2,FALSE)</f>
        <v>#N/A</v>
      </c>
      <c r="P49" s="9"/>
      <c r="Q49" s="3" t="e">
        <f>VLOOKUP(P49,ESPNScores!$A$2:$B$133,2,FALSE)</f>
        <v>#N/A</v>
      </c>
      <c r="R49" s="120" t="str">
        <f>'Top 40'!$H$73</f>
        <v>Akshay Bhatia</v>
      </c>
      <c r="S49" s="115">
        <f>'Top 40'!B41</f>
        <v>-18</v>
      </c>
      <c r="U49" s="139"/>
      <c r="V49" s="115" t="e">
        <f>VLOOKUP(U49,ESPNScores!$A$2:$B$133,2,FALSE)</f>
        <v>#N/A</v>
      </c>
    </row>
    <row r="50" spans="2:25" ht="14.5" x14ac:dyDescent="0.35">
      <c r="B50" s="106" t="str">
        <f>ESPNScores!A18</f>
        <v>Tommy Fleetwood</v>
      </c>
      <c r="C50" s="77">
        <f>ESPNScores!B18</f>
        <v>-14</v>
      </c>
      <c r="E50" s="83">
        <v>7</v>
      </c>
      <c r="F50" s="9"/>
      <c r="G50" s="3" t="e">
        <f>VLOOKUP(F50,ESPNScores!$A$2:$B$133,2,FALSE)</f>
        <v>#N/A</v>
      </c>
      <c r="H50" s="9"/>
      <c r="I50" s="3" t="e">
        <f>VLOOKUP(H50,ESPNScores!$A$2:$B$133,2,FALSE)</f>
        <v>#N/A</v>
      </c>
      <c r="J50" s="9"/>
      <c r="K50" s="3" t="e">
        <f>VLOOKUP(J50,ESPNScores!$A$2:$B$133,2,FALSE)</f>
        <v>#N/A</v>
      </c>
      <c r="L50" s="9"/>
      <c r="M50" s="3" t="e">
        <f>VLOOKUP(L50,ESPNScores!$A$2:$B$133,2,FALSE)</f>
        <v>#N/A</v>
      </c>
      <c r="N50" s="9"/>
      <c r="O50" s="3" t="e">
        <f>VLOOKUP(N50,ESPNScores!$A$2:$B$133,2,FALSE)</f>
        <v>#N/A</v>
      </c>
      <c r="P50" s="9"/>
      <c r="Q50" s="3" t="e">
        <f>VLOOKUP(P50,ESPNScores!$A$2:$B$133,2,FALSE)</f>
        <v>#N/A</v>
      </c>
      <c r="R50" s="120" t="str">
        <f>'Top 40'!$H$78</f>
        <v>Viktor Hovland</v>
      </c>
      <c r="S50" s="115">
        <f>'Top 40'!B42</f>
        <v>-21</v>
      </c>
      <c r="U50" s="139"/>
      <c r="V50" s="115" t="e">
        <f>VLOOKUP(U50,ESPNScores!$A$2:$B$133,2,FALSE)</f>
        <v>#N/A</v>
      </c>
    </row>
    <row r="51" spans="2:25" ht="14.5" x14ac:dyDescent="0.35">
      <c r="E51" s="83">
        <v>8</v>
      </c>
      <c r="F51" s="9"/>
      <c r="G51" s="3" t="e">
        <f>VLOOKUP(F51,ESPNScores!$A$2:$B$133,2,FALSE)</f>
        <v>#N/A</v>
      </c>
      <c r="H51" s="9"/>
      <c r="I51" s="3" t="e">
        <f>VLOOKUP(H51,ESPNScores!$A$2:$B$133,2,FALSE)</f>
        <v>#N/A</v>
      </c>
      <c r="J51" s="9"/>
      <c r="K51" s="3" t="e">
        <f>VLOOKUP(J51,ESPNScores!$A$2:$B$133,2,FALSE)</f>
        <v>#N/A</v>
      </c>
      <c r="L51" s="9"/>
      <c r="M51" s="3" t="e">
        <f>VLOOKUP(L51,ESPNScores!$A$2:$B$133,2,FALSE)</f>
        <v>#N/A</v>
      </c>
      <c r="N51" s="9"/>
      <c r="O51" s="3" t="e">
        <f>VLOOKUP(N51,ESPNScores!$A$2:$B$133,2,FALSE)</f>
        <v>#N/A</v>
      </c>
      <c r="P51" s="9"/>
      <c r="Q51" s="3" t="e">
        <f>VLOOKUP(P51,ESPNScores!$A$2:$B$133,2,FALSE)</f>
        <v>#N/A</v>
      </c>
      <c r="R51" s="120" t="str">
        <f>'Top 40'!$H$83</f>
        <v>Wyndham Clark</v>
      </c>
      <c r="S51" s="115">
        <f>'Top 40'!B43</f>
        <v>-18</v>
      </c>
      <c r="U51" s="139"/>
      <c r="V51" s="115" t="e">
        <f>VLOOKUP(U51,ESPNScores!$A$2:$B$133,2,FALSE)</f>
        <v>#N/A</v>
      </c>
    </row>
    <row r="52" spans="2:25" ht="14.5" x14ac:dyDescent="0.35">
      <c r="E52" s="83" t="s">
        <v>9</v>
      </c>
      <c r="F52" s="53"/>
      <c r="G52" s="3" t="e">
        <f>VLOOKUP(F52,ESPNScores!$A$2:$B$133,2,FALSE)</f>
        <v>#N/A</v>
      </c>
      <c r="H52" s="9"/>
      <c r="I52" s="3" t="e">
        <f>VLOOKUP(H52,ESPNScores!$A$2:$B$133,2,FALSE)</f>
        <v>#N/A</v>
      </c>
      <c r="J52" s="53"/>
      <c r="K52" s="3" t="e">
        <f>VLOOKUP(J52,ESPNScores!$A$2:$B$133,2,FALSE)</f>
        <v>#N/A</v>
      </c>
      <c r="L52" s="9"/>
      <c r="M52" s="3" t="e">
        <f>VLOOKUP(L52,ESPNScores!$A$2:$B$133,2,FALSE)</f>
        <v>#N/A</v>
      </c>
      <c r="N52" s="9"/>
      <c r="O52" s="3" t="e">
        <f>VLOOKUP(N52,ESPNScores!$A$2:$B$133,2,FALSE)</f>
        <v>#N/A</v>
      </c>
      <c r="P52" s="9"/>
      <c r="Q52" s="3" t="e">
        <f>VLOOKUP(P52,ESPNScores!$A$2:$B$133,2,FALSE)</f>
        <v>#N/A</v>
      </c>
      <c r="R52" s="114" t="str" cm="1">
        <f t="array" ref="R52">INDEX(
    _xlfn._xlws.SORT(
        _xlfn._xlws.FILTER(ESPNScores!$A$2:$B$73, ISNA(MATCH(ESPNScores!$A$2:$A$73, 'Top 40'!$C$48:$C$87, 0))),
        2, 1
    ),
    1, 1
)</f>
        <v>Corey Conners</v>
      </c>
      <c r="S52" s="115">
        <f>VLOOKUP(R52,ESPNScores!$A$2:$B$133,2,FALSE)</f>
        <v>-17</v>
      </c>
      <c r="U52" s="139"/>
      <c r="V52" s="115" t="e">
        <f>VLOOKUP(U52,ESPNScores!$A$2:$B$133,2,FALSE)</f>
        <v>#N/A</v>
      </c>
    </row>
    <row r="53" spans="2:25" ht="14.5" x14ac:dyDescent="0.35">
      <c r="B53" s="46" t="s">
        <v>111</v>
      </c>
      <c r="E53" s="83" t="s">
        <v>10</v>
      </c>
      <c r="F53" s="9"/>
      <c r="G53" s="3" t="e">
        <f>VLOOKUP(F53,ESPNScores!$A$2:$B$133,2,FALSE)</f>
        <v>#N/A</v>
      </c>
      <c r="H53" s="9"/>
      <c r="I53" s="3" t="e">
        <f>VLOOKUP(H53,ESPNScores!$A$2:$B$133,2,FALSE)</f>
        <v>#N/A</v>
      </c>
      <c r="J53" s="9"/>
      <c r="K53" s="3" t="e">
        <f>VLOOKUP(J53,ESPNScores!$A$2:$B$133,2,FALSE)</f>
        <v>#N/A</v>
      </c>
      <c r="L53" s="9"/>
      <c r="M53" s="3" t="e">
        <f>VLOOKUP(L53,ESPNScores!$A$2:$B$133,2,FALSE)</f>
        <v>#N/A</v>
      </c>
      <c r="N53" s="9"/>
      <c r="O53" s="3" t="e">
        <f>VLOOKUP(N53,ESPNScores!$A$2:$B$133,2,FALSE)</f>
        <v>#N/A</v>
      </c>
      <c r="P53" s="9"/>
      <c r="Q53" s="3" t="e">
        <f>VLOOKUP(P53,ESPNScores!$A$2:$B$133,2,FALSE)</f>
        <v>#N/A</v>
      </c>
      <c r="R53" s="114" t="str" cm="1">
        <f t="array" ref="R53">INDEX(
    _xlfn._xlws.SORT(
        _xlfn._xlws.FILTER(ESPNScores!$A$2:$B$73, ISNA(MATCH(ESPNScores!$A$2:$A$73, 'Top 40'!$C$48:$C$87, 0))),
        2, 1
    ),
    2, 1
)</f>
        <v>Alex Fitzpatrick</v>
      </c>
      <c r="S53" s="115">
        <f>VLOOKUP(R53,ESPNScores!$A$2:$B$133,2,FALSE)</f>
        <v>-17</v>
      </c>
      <c r="U53" s="139"/>
      <c r="V53" s="115" t="e">
        <f>VLOOKUP(U53,ESPNScores!$A$2:$B$133,2,FALSE)</f>
        <v>#N/A</v>
      </c>
    </row>
    <row r="54" spans="2:25" ht="14.5" x14ac:dyDescent="0.35">
      <c r="B54" s="76" t="str">
        <f>Status!C19</f>
        <v>06/28 21:45 EDT</v>
      </c>
      <c r="E54" s="50"/>
      <c r="F54" s="78"/>
      <c r="G54" s="3"/>
      <c r="H54" s="78"/>
      <c r="I54" s="3"/>
      <c r="J54" s="78"/>
      <c r="K54" s="3"/>
      <c r="L54" s="78"/>
      <c r="M54" s="3" t="e">
        <f>VLOOKUP(L54,ESPNScores!$A$2:$B$133,2,FALSE)</f>
        <v>#N/A</v>
      </c>
      <c r="N54" s="78"/>
      <c r="O54" s="3" t="e">
        <f>VLOOKUP(N54,ESPNScores!$A$2:$B$133,2,FALSE)</f>
        <v>#N/A</v>
      </c>
      <c r="P54" s="9"/>
      <c r="Q54" s="3"/>
      <c r="R54" s="28"/>
      <c r="S54" s="3"/>
      <c r="V54" s="9"/>
    </row>
    <row r="55" spans="2:25" x14ac:dyDescent="0.25">
      <c r="E55"/>
      <c r="G55" s="3"/>
      <c r="I55" s="3"/>
      <c r="K55" s="3"/>
      <c r="M55" s="3"/>
      <c r="O55" s="3"/>
      <c r="Q55" s="3"/>
      <c r="S55" s="3"/>
    </row>
    <row r="56" spans="2:25" x14ac:dyDescent="0.25">
      <c r="C56"/>
      <c r="D56"/>
      <c r="E56"/>
      <c r="G56"/>
      <c r="I56"/>
      <c r="K56"/>
      <c r="M56"/>
      <c r="O56"/>
      <c r="Q56"/>
      <c r="S56"/>
      <c r="U56"/>
    </row>
    <row r="57" spans="2:25" ht="13" x14ac:dyDescent="0.3">
      <c r="C57"/>
      <c r="D57"/>
      <c r="E57"/>
      <c r="F57" s="132" t="s">
        <v>227</v>
      </c>
      <c r="G57"/>
      <c r="I57"/>
      <c r="K57"/>
      <c r="M57"/>
      <c r="O57"/>
      <c r="Q57"/>
      <c r="S57"/>
      <c r="U57"/>
    </row>
    <row r="58" spans="2:25" ht="13" x14ac:dyDescent="0.3">
      <c r="C58"/>
      <c r="D58"/>
      <c r="E58"/>
      <c r="F58" s="132" t="s">
        <v>225</v>
      </c>
      <c r="G58"/>
      <c r="H58" s="18" t="s">
        <v>226</v>
      </c>
      <c r="I58" s="18" t="s">
        <v>243</v>
      </c>
      <c r="K58"/>
      <c r="M58" s="18" t="s">
        <v>244</v>
      </c>
      <c r="O58"/>
      <c r="Q58"/>
      <c r="S58" t="s">
        <v>250</v>
      </c>
      <c r="U58"/>
    </row>
    <row r="59" spans="2:25" ht="13" x14ac:dyDescent="0.3">
      <c r="E59" s="18"/>
      <c r="F59" s="133" t="s">
        <v>219</v>
      </c>
      <c r="G59" s="134" t="s">
        <v>55</v>
      </c>
      <c r="H59" s="129" t="s">
        <v>221</v>
      </c>
      <c r="I59" s="129" t="s">
        <v>240</v>
      </c>
      <c r="J59" s="129" t="s">
        <v>241</v>
      </c>
      <c r="K59" s="129" t="s">
        <v>242</v>
      </c>
      <c r="L59" s="130" t="s">
        <v>238</v>
      </c>
      <c r="M59" s="141" t="s">
        <v>240</v>
      </c>
      <c r="N59" s="129" t="s">
        <v>241</v>
      </c>
      <c r="O59" s="129" t="s">
        <v>242</v>
      </c>
      <c r="P59" s="130" t="s">
        <v>238</v>
      </c>
      <c r="Q59" s="3"/>
      <c r="S59" s="152" t="s">
        <v>252</v>
      </c>
      <c r="U59"/>
      <c r="V59" s="3"/>
    </row>
    <row r="60" spans="2:25" ht="13" x14ac:dyDescent="0.3">
      <c r="E60"/>
      <c r="F60" s="135" t="str">
        <f>F4</f>
        <v>Joe Magnetico</v>
      </c>
      <c r="G60" s="156">
        <f>G4</f>
        <v>-95</v>
      </c>
      <c r="H60" s="155">
        <v>-20</v>
      </c>
      <c r="I60" s="157">
        <f>G60</f>
        <v>-95</v>
      </c>
      <c r="J60" s="155"/>
      <c r="K60" s="155"/>
      <c r="L60" s="158"/>
      <c r="M60" s="157" t="e">
        <f>S60</f>
        <v>#NUM!</v>
      </c>
      <c r="O60" s="92"/>
      <c r="P60" s="159"/>
      <c r="Q60"/>
      <c r="S60" t="e">
        <f>_xlfn.RANK.EQ($G60,$C$5:$C$31,1)</f>
        <v>#NUM!</v>
      </c>
      <c r="U60"/>
    </row>
    <row r="61" spans="2:25" ht="13" x14ac:dyDescent="0.3">
      <c r="E61"/>
      <c r="F61" s="135" t="str">
        <f>H4</f>
        <v>Richard Webster</v>
      </c>
      <c r="G61" s="156" t="e">
        <f>I4</f>
        <v>#NUM!</v>
      </c>
      <c r="H61" s="155"/>
      <c r="I61" s="157" t="e">
        <f t="shared" ref="I61:I86" si="1">G61</f>
        <v>#NUM!</v>
      </c>
      <c r="J61" s="155"/>
      <c r="K61" s="155"/>
      <c r="L61" s="158"/>
      <c r="M61" s="157" t="e">
        <f t="shared" ref="M61:M86" si="2">S61</f>
        <v>#NUM!</v>
      </c>
      <c r="O61" s="92"/>
      <c r="P61" s="159"/>
      <c r="Q61"/>
      <c r="S61" t="e">
        <f t="shared" ref="S61:S86" si="3">_xlfn.RANK.EQ($G61,$C$5:$C$31,1)</f>
        <v>#NUM!</v>
      </c>
      <c r="U61"/>
    </row>
    <row r="62" spans="2:25" ht="13" x14ac:dyDescent="0.3">
      <c r="E62"/>
      <c r="F62" s="135" t="str">
        <f>J4</f>
        <v>Dean Nardone</v>
      </c>
      <c r="G62" s="156" t="e">
        <f>K4</f>
        <v>#NUM!</v>
      </c>
      <c r="H62" s="155"/>
      <c r="I62" s="157" t="e">
        <f t="shared" si="1"/>
        <v>#NUM!</v>
      </c>
      <c r="J62" s="155"/>
      <c r="K62" s="155"/>
      <c r="L62" s="158"/>
      <c r="M62" s="157" t="e">
        <f t="shared" si="2"/>
        <v>#NUM!</v>
      </c>
      <c r="O62" s="92"/>
      <c r="P62" s="159"/>
      <c r="Q62"/>
      <c r="S62" t="e">
        <f t="shared" si="3"/>
        <v>#NUM!</v>
      </c>
      <c r="U62"/>
    </row>
    <row r="63" spans="2:25" ht="13" x14ac:dyDescent="0.3">
      <c r="E63"/>
      <c r="F63" s="135" t="str">
        <f>L4</f>
        <v>Charlie Adams</v>
      </c>
      <c r="G63" s="156" t="e">
        <f>M4</f>
        <v>#NUM!</v>
      </c>
      <c r="H63" s="155"/>
      <c r="I63" s="157" t="e">
        <f t="shared" si="1"/>
        <v>#NUM!</v>
      </c>
      <c r="J63" s="155"/>
      <c r="K63" s="155"/>
      <c r="L63" s="158"/>
      <c r="M63" s="157" t="e">
        <f t="shared" si="2"/>
        <v>#NUM!</v>
      </c>
      <c r="O63" s="92"/>
      <c r="P63" s="159"/>
      <c r="Q63"/>
      <c r="S63" t="e">
        <f t="shared" si="3"/>
        <v>#NUM!</v>
      </c>
      <c r="U63"/>
      <c r="W63" s="3"/>
      <c r="X63" s="3"/>
      <c r="Y63" s="3"/>
    </row>
    <row r="64" spans="2:25" ht="13" x14ac:dyDescent="0.3">
      <c r="E64"/>
      <c r="F64" s="135" t="str">
        <f>N4</f>
        <v>Gary Casarsa</v>
      </c>
      <c r="G64" s="156" t="e">
        <f>O4</f>
        <v>#NUM!</v>
      </c>
      <c r="H64" s="155"/>
      <c r="I64" s="157" t="e">
        <f t="shared" si="1"/>
        <v>#NUM!</v>
      </c>
      <c r="J64" s="155"/>
      <c r="K64" s="155"/>
      <c r="L64" s="158"/>
      <c r="M64" s="157" t="e">
        <f t="shared" si="2"/>
        <v>#NUM!</v>
      </c>
      <c r="O64" s="92"/>
      <c r="P64" s="159"/>
      <c r="Q64"/>
      <c r="S64" t="e">
        <f t="shared" si="3"/>
        <v>#NUM!</v>
      </c>
      <c r="U64"/>
    </row>
    <row r="65" spans="2:21" ht="13" x14ac:dyDescent="0.3">
      <c r="B65" s="27"/>
      <c r="E65"/>
      <c r="F65" s="135" t="str">
        <f>P4</f>
        <v>Halley Ganges</v>
      </c>
      <c r="G65" s="156" t="e">
        <f>Q4</f>
        <v>#NUM!</v>
      </c>
      <c r="H65" s="155"/>
      <c r="I65" s="157" t="e">
        <f t="shared" si="1"/>
        <v>#NUM!</v>
      </c>
      <c r="J65" s="155"/>
      <c r="K65" s="155"/>
      <c r="L65" s="158"/>
      <c r="M65" s="157" t="e">
        <f t="shared" si="2"/>
        <v>#NUM!</v>
      </c>
      <c r="O65" s="92"/>
      <c r="P65" s="159"/>
      <c r="Q65"/>
      <c r="S65" t="e">
        <f t="shared" si="3"/>
        <v>#NUM!</v>
      </c>
      <c r="U65"/>
    </row>
    <row r="66" spans="2:21" ht="13" x14ac:dyDescent="0.3">
      <c r="E66"/>
      <c r="F66" s="135" t="str">
        <f>R4</f>
        <v>Matt Desai</v>
      </c>
      <c r="G66" s="156" t="e">
        <f>S4</f>
        <v>#NUM!</v>
      </c>
      <c r="H66" s="155"/>
      <c r="I66" s="157" t="e">
        <f t="shared" si="1"/>
        <v>#NUM!</v>
      </c>
      <c r="J66" s="155"/>
      <c r="K66" s="155"/>
      <c r="L66" s="158"/>
      <c r="M66" s="157" t="e">
        <f t="shared" si="2"/>
        <v>#NUM!</v>
      </c>
      <c r="O66" s="92"/>
      <c r="P66" s="159"/>
      <c r="Q66"/>
      <c r="S66" t="e">
        <f t="shared" si="3"/>
        <v>#NUM!</v>
      </c>
      <c r="U66"/>
    </row>
    <row r="67" spans="2:21" ht="13" x14ac:dyDescent="0.3">
      <c r="E67"/>
      <c r="F67" s="135" t="str">
        <f>F17</f>
        <v>Mike Coope</v>
      </c>
      <c r="G67" s="156" t="e">
        <f>G17</f>
        <v>#NUM!</v>
      </c>
      <c r="H67" s="155"/>
      <c r="I67" s="157" t="e">
        <f t="shared" si="1"/>
        <v>#NUM!</v>
      </c>
      <c r="J67" s="155"/>
      <c r="K67" s="155"/>
      <c r="L67" s="158"/>
      <c r="M67" s="157" t="e">
        <f t="shared" si="2"/>
        <v>#NUM!</v>
      </c>
      <c r="O67" s="92"/>
      <c r="P67" s="159"/>
      <c r="Q67"/>
      <c r="S67" t="e">
        <f t="shared" si="3"/>
        <v>#NUM!</v>
      </c>
      <c r="U67"/>
    </row>
    <row r="68" spans="2:21" ht="13" x14ac:dyDescent="0.3">
      <c r="B68" s="27"/>
      <c r="E68"/>
      <c r="F68" s="135" t="str">
        <f>H17</f>
        <v>Bill Seeger</v>
      </c>
      <c r="G68" s="156" t="e">
        <f>I17</f>
        <v>#NUM!</v>
      </c>
      <c r="H68" s="158"/>
      <c r="I68" s="157" t="e">
        <f t="shared" si="1"/>
        <v>#NUM!</v>
      </c>
      <c r="J68" s="155"/>
      <c r="K68" s="155"/>
      <c r="L68" s="158"/>
      <c r="M68" s="157" t="e">
        <f t="shared" si="2"/>
        <v>#NUM!</v>
      </c>
      <c r="O68" s="92"/>
      <c r="P68" s="159"/>
      <c r="Q68"/>
      <c r="S68" t="e">
        <f t="shared" si="3"/>
        <v>#NUM!</v>
      </c>
      <c r="U68"/>
    </row>
    <row r="69" spans="2:21" ht="13" x14ac:dyDescent="0.3">
      <c r="E69"/>
      <c r="F69" s="135" t="str">
        <f>J17</f>
        <v>Laurie Seeger</v>
      </c>
      <c r="G69" s="156" t="e">
        <f>K17</f>
        <v>#NUM!</v>
      </c>
      <c r="H69" s="155"/>
      <c r="I69" s="157" t="e">
        <f t="shared" si="1"/>
        <v>#NUM!</v>
      </c>
      <c r="J69" s="155"/>
      <c r="K69" s="155"/>
      <c r="L69" s="158"/>
      <c r="M69" s="157" t="e">
        <f t="shared" si="2"/>
        <v>#NUM!</v>
      </c>
      <c r="O69" s="92"/>
      <c r="P69" s="159"/>
      <c r="Q69"/>
      <c r="S69" t="e">
        <f t="shared" si="3"/>
        <v>#NUM!</v>
      </c>
      <c r="U69"/>
    </row>
    <row r="70" spans="2:21" ht="13" x14ac:dyDescent="0.3">
      <c r="B70" s="18"/>
      <c r="E70"/>
      <c r="F70" s="135" t="str">
        <f>L17</f>
        <v>Ann Heal</v>
      </c>
      <c r="G70" s="156" t="e">
        <f>M17</f>
        <v>#NUM!</v>
      </c>
      <c r="H70" s="155"/>
      <c r="I70" s="157" t="e">
        <f t="shared" si="1"/>
        <v>#NUM!</v>
      </c>
      <c r="J70" s="155"/>
      <c r="K70" s="155"/>
      <c r="L70" s="158"/>
      <c r="M70" s="157" t="e">
        <f t="shared" si="2"/>
        <v>#NUM!</v>
      </c>
      <c r="O70" s="92"/>
      <c r="P70" s="159"/>
      <c r="Q70"/>
      <c r="S70" t="e">
        <f t="shared" si="3"/>
        <v>#NUM!</v>
      </c>
      <c r="U70"/>
    </row>
    <row r="71" spans="2:21" ht="13" x14ac:dyDescent="0.3">
      <c r="B71" s="86"/>
      <c r="E71"/>
      <c r="F71" s="135" t="str">
        <f>N17</f>
        <v>Lorraine McGill</v>
      </c>
      <c r="G71" s="156" t="e">
        <f>O17</f>
        <v>#NUM!</v>
      </c>
      <c r="H71" s="155"/>
      <c r="I71" s="157" t="e">
        <f t="shared" si="1"/>
        <v>#NUM!</v>
      </c>
      <c r="J71" s="155"/>
      <c r="K71" s="155"/>
      <c r="L71" s="158"/>
      <c r="M71" s="157" t="e">
        <f t="shared" si="2"/>
        <v>#NUM!</v>
      </c>
      <c r="O71" s="92"/>
      <c r="P71" s="159"/>
      <c r="Q71"/>
      <c r="S71" t="e">
        <f t="shared" si="3"/>
        <v>#NUM!</v>
      </c>
      <c r="U71"/>
    </row>
    <row r="72" spans="2:21" ht="13" x14ac:dyDescent="0.3">
      <c r="F72" s="135" t="str">
        <f>P17</f>
        <v>Steve McFadden</v>
      </c>
      <c r="G72" s="156" t="e">
        <f>Q17</f>
        <v>#NUM!</v>
      </c>
      <c r="H72" s="155"/>
      <c r="I72" s="157" t="e">
        <f t="shared" si="1"/>
        <v>#NUM!</v>
      </c>
      <c r="J72" s="155"/>
      <c r="K72" s="155"/>
      <c r="L72" s="158"/>
      <c r="M72" s="157" t="e">
        <f t="shared" si="2"/>
        <v>#NUM!</v>
      </c>
      <c r="O72" s="92"/>
      <c r="P72" s="159"/>
      <c r="S72" t="e">
        <f t="shared" si="3"/>
        <v>#NUM!</v>
      </c>
      <c r="U72"/>
    </row>
    <row r="73" spans="2:21" ht="13" x14ac:dyDescent="0.3">
      <c r="F73" s="135" t="str">
        <f>R17</f>
        <v>Chris Callahan</v>
      </c>
      <c r="G73" s="156" t="e">
        <f>S17</f>
        <v>#NUM!</v>
      </c>
      <c r="H73" s="155"/>
      <c r="I73" s="157" t="e">
        <f t="shared" si="1"/>
        <v>#NUM!</v>
      </c>
      <c r="J73" s="155"/>
      <c r="K73" s="155"/>
      <c r="L73" s="158"/>
      <c r="M73" s="157" t="e">
        <f t="shared" si="2"/>
        <v>#NUM!</v>
      </c>
      <c r="O73" s="92"/>
      <c r="P73" s="159"/>
      <c r="S73" t="e">
        <f t="shared" si="3"/>
        <v>#NUM!</v>
      </c>
      <c r="U73"/>
    </row>
    <row r="74" spans="2:21" ht="13" x14ac:dyDescent="0.3">
      <c r="B74" s="18"/>
      <c r="F74" s="135" t="str">
        <f>F30</f>
        <v>Sean Christian</v>
      </c>
      <c r="G74" s="156" t="e">
        <f>G30</f>
        <v>#NUM!</v>
      </c>
      <c r="H74" s="155"/>
      <c r="I74" s="157" t="e">
        <f t="shared" si="1"/>
        <v>#NUM!</v>
      </c>
      <c r="J74" s="155"/>
      <c r="K74" s="155"/>
      <c r="L74" s="158"/>
      <c r="M74" s="157" t="e">
        <f t="shared" si="2"/>
        <v>#NUM!</v>
      </c>
      <c r="O74" s="92"/>
      <c r="P74" s="159"/>
      <c r="S74" t="e">
        <f t="shared" si="3"/>
        <v>#NUM!</v>
      </c>
      <c r="U74"/>
    </row>
    <row r="75" spans="2:21" ht="13" x14ac:dyDescent="0.3">
      <c r="B75" s="92"/>
      <c r="F75" s="135" t="str">
        <f>H30</f>
        <v>Mark Brenman</v>
      </c>
      <c r="G75" s="156" t="e">
        <f>I30</f>
        <v>#NUM!</v>
      </c>
      <c r="H75" s="155"/>
      <c r="I75" s="157" t="e">
        <f t="shared" si="1"/>
        <v>#NUM!</v>
      </c>
      <c r="J75" s="155"/>
      <c r="K75" s="155"/>
      <c r="L75" s="158"/>
      <c r="M75" s="157" t="e">
        <f t="shared" si="2"/>
        <v>#NUM!</v>
      </c>
      <c r="O75" s="92"/>
      <c r="P75" s="159"/>
      <c r="S75" t="e">
        <f t="shared" si="3"/>
        <v>#NUM!</v>
      </c>
      <c r="U75"/>
    </row>
    <row r="76" spans="2:21" ht="13" x14ac:dyDescent="0.3">
      <c r="F76" s="135" t="str">
        <f>J30</f>
        <v>Ken Webster</v>
      </c>
      <c r="G76" s="156" t="e">
        <f>K30</f>
        <v>#NUM!</v>
      </c>
      <c r="H76" s="155"/>
      <c r="I76" s="157" t="e">
        <f t="shared" si="1"/>
        <v>#NUM!</v>
      </c>
      <c r="J76" s="155"/>
      <c r="K76" s="155"/>
      <c r="L76" s="158"/>
      <c r="M76" s="157" t="e">
        <f t="shared" si="2"/>
        <v>#NUM!</v>
      </c>
      <c r="O76" s="92"/>
      <c r="P76" s="159"/>
      <c r="S76" t="e">
        <f t="shared" si="3"/>
        <v>#NUM!</v>
      </c>
      <c r="U76"/>
    </row>
    <row r="77" spans="2:21" ht="13" x14ac:dyDescent="0.3">
      <c r="F77" s="135" t="str">
        <f>L30</f>
        <v>Matt Myers</v>
      </c>
      <c r="G77" s="156" t="e">
        <f>M30</f>
        <v>#NUM!</v>
      </c>
      <c r="H77" s="155"/>
      <c r="I77" s="157" t="e">
        <f t="shared" si="1"/>
        <v>#NUM!</v>
      </c>
      <c r="J77" s="155"/>
      <c r="K77" s="155"/>
      <c r="L77" s="158"/>
      <c r="M77" s="157" t="e">
        <f t="shared" si="2"/>
        <v>#NUM!</v>
      </c>
      <c r="O77" s="92"/>
      <c r="P77" s="159"/>
      <c r="S77" t="e">
        <f t="shared" si="3"/>
        <v>#NUM!</v>
      </c>
      <c r="U77"/>
    </row>
    <row r="78" spans="2:21" ht="13" x14ac:dyDescent="0.3">
      <c r="F78" s="135" t="str">
        <f>N30</f>
        <v>Damon Chapman</v>
      </c>
      <c r="G78" s="156" t="e">
        <f>O30</f>
        <v>#NUM!</v>
      </c>
      <c r="H78" s="155"/>
      <c r="I78" s="157" t="e">
        <f t="shared" si="1"/>
        <v>#NUM!</v>
      </c>
      <c r="J78" s="155"/>
      <c r="K78" s="155"/>
      <c r="L78" s="158"/>
      <c r="M78" s="157" t="e">
        <f t="shared" si="2"/>
        <v>#NUM!</v>
      </c>
      <c r="O78" s="92"/>
      <c r="P78" s="159"/>
      <c r="S78" t="e">
        <f t="shared" si="3"/>
        <v>#NUM!</v>
      </c>
      <c r="U78"/>
    </row>
    <row r="79" spans="2:21" ht="13" x14ac:dyDescent="0.3">
      <c r="F79" s="135" t="str">
        <f>P30</f>
        <v>Chris Marinis</v>
      </c>
      <c r="G79" s="156" t="e">
        <f>Q30</f>
        <v>#NUM!</v>
      </c>
      <c r="H79" s="155"/>
      <c r="I79" s="157" t="e">
        <f t="shared" si="1"/>
        <v>#NUM!</v>
      </c>
      <c r="J79" s="155"/>
      <c r="K79" s="155"/>
      <c r="L79" s="158"/>
      <c r="M79" s="157" t="e">
        <f t="shared" si="2"/>
        <v>#NUM!</v>
      </c>
      <c r="O79" s="92"/>
      <c r="P79" s="159"/>
      <c r="S79" t="e">
        <f t="shared" si="3"/>
        <v>#NUM!</v>
      </c>
      <c r="U79"/>
    </row>
    <row r="80" spans="2:21" ht="13" x14ac:dyDescent="0.3">
      <c r="F80" s="135" t="str">
        <f>R30</f>
        <v>Anthony Neville</v>
      </c>
      <c r="G80" s="156" t="e">
        <f>S30</f>
        <v>#NUM!</v>
      </c>
      <c r="H80" s="155"/>
      <c r="I80" s="157" t="e">
        <f t="shared" si="1"/>
        <v>#NUM!</v>
      </c>
      <c r="J80" s="155"/>
      <c r="K80" s="155"/>
      <c r="L80" s="158"/>
      <c r="M80" s="157" t="e">
        <f t="shared" si="2"/>
        <v>#NUM!</v>
      </c>
      <c r="O80" s="92"/>
      <c r="P80" s="159"/>
      <c r="S80" t="e">
        <f t="shared" si="3"/>
        <v>#NUM!</v>
      </c>
      <c r="U80"/>
    </row>
    <row r="81" spans="6:21" ht="13" x14ac:dyDescent="0.3">
      <c r="F81" s="135" t="str">
        <f>F43</f>
        <v>Mike Hefner</v>
      </c>
      <c r="G81" s="156" t="e">
        <f>G43</f>
        <v>#NUM!</v>
      </c>
      <c r="H81" s="155"/>
      <c r="I81" s="157" t="e">
        <f t="shared" si="1"/>
        <v>#NUM!</v>
      </c>
      <c r="J81" s="155"/>
      <c r="K81" s="155"/>
      <c r="L81" s="158"/>
      <c r="M81" s="157" t="e">
        <f t="shared" si="2"/>
        <v>#NUM!</v>
      </c>
      <c r="O81" s="92"/>
      <c r="P81" s="159"/>
      <c r="S81" t="e">
        <f t="shared" si="3"/>
        <v>#NUM!</v>
      </c>
      <c r="U81"/>
    </row>
    <row r="82" spans="6:21" ht="13" x14ac:dyDescent="0.3">
      <c r="F82" s="135" t="str">
        <f>H43</f>
        <v>Karl Hellerich</v>
      </c>
      <c r="G82" s="156" t="e">
        <f>I43</f>
        <v>#NUM!</v>
      </c>
      <c r="H82" s="160"/>
      <c r="I82" s="157" t="e">
        <f t="shared" si="1"/>
        <v>#NUM!</v>
      </c>
      <c r="J82" s="155"/>
      <c r="K82" s="155"/>
      <c r="L82" s="158"/>
      <c r="M82" s="157" t="e">
        <f t="shared" si="2"/>
        <v>#NUM!</v>
      </c>
      <c r="O82" s="92"/>
      <c r="P82" s="159"/>
      <c r="S82" t="e">
        <f t="shared" si="3"/>
        <v>#NUM!</v>
      </c>
      <c r="U82"/>
    </row>
    <row r="83" spans="6:21" ht="13" x14ac:dyDescent="0.3">
      <c r="F83" s="135" t="str">
        <f>J43</f>
        <v>Regina Przywara</v>
      </c>
      <c r="G83" s="156" t="e">
        <f>K43</f>
        <v>#NUM!</v>
      </c>
      <c r="H83" s="155"/>
      <c r="I83" s="157" t="e">
        <f t="shared" si="1"/>
        <v>#NUM!</v>
      </c>
      <c r="J83" s="155"/>
      <c r="K83" s="155"/>
      <c r="L83" s="158"/>
      <c r="M83" s="157" t="e">
        <f t="shared" si="2"/>
        <v>#NUM!</v>
      </c>
      <c r="O83" s="92"/>
      <c r="P83" s="159"/>
      <c r="S83" t="e">
        <f t="shared" si="3"/>
        <v>#NUM!</v>
      </c>
      <c r="U83"/>
    </row>
    <row r="84" spans="6:21" ht="13" x14ac:dyDescent="0.3">
      <c r="F84" s="135" t="str">
        <f>L43</f>
        <v>Alicia Nangle</v>
      </c>
      <c r="G84" s="156" t="e">
        <f>M43</f>
        <v>#NUM!</v>
      </c>
      <c r="H84" s="155"/>
      <c r="I84" s="157" t="e">
        <f t="shared" si="1"/>
        <v>#NUM!</v>
      </c>
      <c r="J84" s="155"/>
      <c r="K84" s="155"/>
      <c r="L84" s="158"/>
      <c r="M84" s="157" t="e">
        <f t="shared" si="2"/>
        <v>#NUM!</v>
      </c>
      <c r="O84" s="92"/>
      <c r="P84" s="159"/>
      <c r="S84" t="e">
        <f t="shared" si="3"/>
        <v>#NUM!</v>
      </c>
      <c r="U84"/>
    </row>
    <row r="85" spans="6:21" ht="13" x14ac:dyDescent="0.3">
      <c r="F85" s="135" t="str">
        <f>N43</f>
        <v>Jimmy Barker</v>
      </c>
      <c r="G85" s="156" t="e">
        <f>O43</f>
        <v>#NUM!</v>
      </c>
      <c r="H85" s="155"/>
      <c r="I85" s="157" t="e">
        <f t="shared" si="1"/>
        <v>#NUM!</v>
      </c>
      <c r="J85" s="155"/>
      <c r="K85" s="155"/>
      <c r="L85" s="158"/>
      <c r="M85" s="157" t="e">
        <f t="shared" si="2"/>
        <v>#NUM!</v>
      </c>
      <c r="O85" s="92"/>
      <c r="P85" s="159"/>
      <c r="S85" t="e">
        <f t="shared" si="3"/>
        <v>#NUM!</v>
      </c>
      <c r="U85"/>
    </row>
    <row r="86" spans="6:21" ht="13" x14ac:dyDescent="0.3">
      <c r="F86" s="135" t="str">
        <f>P43</f>
        <v>Frank Prestifilippo</v>
      </c>
      <c r="G86" s="156" t="e">
        <f>Q43</f>
        <v>#NUM!</v>
      </c>
      <c r="H86" s="155"/>
      <c r="I86" s="92" t="e">
        <f t="shared" si="1"/>
        <v>#NUM!</v>
      </c>
      <c r="J86" s="155"/>
      <c r="K86" s="155"/>
      <c r="L86" s="155"/>
      <c r="M86" s="92" t="e">
        <f t="shared" si="2"/>
        <v>#NUM!</v>
      </c>
      <c r="O86" s="92"/>
      <c r="P86" s="159"/>
      <c r="S86" t="e">
        <f t="shared" si="3"/>
        <v>#NUM!</v>
      </c>
      <c r="U86"/>
    </row>
    <row r="87" spans="6:21" x14ac:dyDescent="0.25">
      <c r="F87" s="26"/>
      <c r="G87" s="20"/>
      <c r="H87" s="20"/>
      <c r="I87" s="20"/>
      <c r="J87" s="20"/>
      <c r="K87" s="194"/>
      <c r="L87" s="20"/>
      <c r="M87" s="194"/>
      <c r="N87" s="20"/>
      <c r="O87" s="194"/>
      <c r="P87" s="195"/>
      <c r="S87"/>
      <c r="U87"/>
    </row>
    <row r="88" spans="6:21" x14ac:dyDescent="0.25">
      <c r="G88"/>
      <c r="I88"/>
      <c r="S88"/>
      <c r="U88"/>
    </row>
    <row r="89" spans="6:21" x14ac:dyDescent="0.25">
      <c r="G89"/>
      <c r="I89"/>
    </row>
  </sheetData>
  <dataConsolidate/>
  <mergeCells count="3">
    <mergeCell ref="B1:D1"/>
    <mergeCell ref="E1:F1"/>
    <mergeCell ref="G1:H1"/>
  </mergeCells>
  <conditionalFormatting sqref="U4 F17 F32:F40 H32:H40 G32:G41 F31:H31 I31:I41 K31:K41 M31:M41 O31:O41 Q31:Q41 S31:S41 F5:U15 T31:T40 F4 P17 F30 F43 F18:T28 H4 J4 L4 N4 P4 R17 L17 J17 H17 H30 J30:J40 L30:L40 N30:N40 P30:P40 R30:R40 P43 N43 L43 J43 H43">
    <cfRule type="cellIs" dxfId="253" priority="155" operator="equal">
      <formula>50</formula>
    </cfRule>
  </conditionalFormatting>
  <conditionalFormatting sqref="H5:H15 J5:J15 L5:L15 N5:N15 P5:P15 T5:T15 R5:R15 H31:H41 J31:J41 L31:L41 N31:N41 P31:P41 R31:R41 F31:F41 F18:F28 H18:H28 L18:L28 N18:N28 P18:P28 R18:R28 J18:J28 T18:T28 U43 F5:F15">
    <cfRule type="expression" dxfId="252" priority="154">
      <formula>G5=50</formula>
    </cfRule>
  </conditionalFormatting>
  <conditionalFormatting sqref="F41 H41 J41 L41 N41 P41 R41 T41">
    <cfRule type="cellIs" dxfId="251" priority="148" operator="equal">
      <formula>50</formula>
    </cfRule>
  </conditionalFormatting>
  <conditionalFormatting sqref="G15 G28 I15 K15 M15 Q15 S15 U15 O15 I28 K28 M28 O28 Q28 S28 G41 I41 K41 M41 O41 Q41 S41">
    <cfRule type="expression" dxfId="250" priority="145">
      <formula>F15=""</formula>
    </cfRule>
  </conditionalFormatting>
  <conditionalFormatting sqref="D4:D10">
    <cfRule type="expression" dxfId="249" priority="144">
      <formula>WEEKDAY(TODAY()) =1</formula>
    </cfRule>
  </conditionalFormatting>
  <conditionalFormatting sqref="T31:T41">
    <cfRule type="expression" dxfId="248" priority="141">
      <formula>U31=50</formula>
    </cfRule>
  </conditionalFormatting>
  <conditionalFormatting sqref="F45:F53 H45:H53 G45:G54 F44:H44 I44:I54 J45:J53 L45:L53 K45:K54 J44:L44 M44:M53">
    <cfRule type="cellIs" dxfId="247" priority="139" operator="equal">
      <formula>50</formula>
    </cfRule>
  </conditionalFormatting>
  <conditionalFormatting sqref="H44:H54 F44:F54">
    <cfRule type="expression" dxfId="246" priority="138">
      <formula>G44=50</formula>
    </cfRule>
  </conditionalFormatting>
  <conditionalFormatting sqref="F54 H54">
    <cfRule type="cellIs" dxfId="245" priority="137" operator="equal">
      <formula>50</formula>
    </cfRule>
  </conditionalFormatting>
  <conditionalFormatting sqref="G54 I54">
    <cfRule type="expression" dxfId="244" priority="136">
      <formula>F54=""</formula>
    </cfRule>
  </conditionalFormatting>
  <conditionalFormatting sqref="L44:L54 J44:J54">
    <cfRule type="expression" dxfId="243" priority="135">
      <formula>K44=50</formula>
    </cfRule>
  </conditionalFormatting>
  <conditionalFormatting sqref="J54 L54">
    <cfRule type="cellIs" dxfId="242" priority="134" operator="equal">
      <formula>50</formula>
    </cfRule>
  </conditionalFormatting>
  <conditionalFormatting sqref="K54">
    <cfRule type="expression" dxfId="241" priority="133">
      <formula>J54=""</formula>
    </cfRule>
  </conditionalFormatting>
  <conditionalFormatting sqref="S52:S53">
    <cfRule type="cellIs" dxfId="240" priority="130" operator="equal">
      <formula>50</formula>
    </cfRule>
  </conditionalFormatting>
  <conditionalFormatting sqref="S43">
    <cfRule type="cellIs" dxfId="239" priority="128" operator="equal">
      <formula>50</formula>
    </cfRule>
  </conditionalFormatting>
  <conditionalFormatting sqref="S43">
    <cfRule type="expression" dxfId="238" priority="127">
      <formula>V43=50</formula>
    </cfRule>
  </conditionalFormatting>
  <conditionalFormatting sqref="N44:O53">
    <cfRule type="cellIs" dxfId="237" priority="126" operator="equal">
      <formula>50</formula>
    </cfRule>
  </conditionalFormatting>
  <conditionalFormatting sqref="N44:N53">
    <cfRule type="expression" dxfId="236" priority="125">
      <formula>O44=50</formula>
    </cfRule>
  </conditionalFormatting>
  <conditionalFormatting sqref="P44:Q53">
    <cfRule type="cellIs" dxfId="235" priority="124" operator="equal">
      <formula>50</formula>
    </cfRule>
  </conditionalFormatting>
  <conditionalFormatting sqref="P44:P53">
    <cfRule type="expression" dxfId="234" priority="123">
      <formula>Q44=50</formula>
    </cfRule>
  </conditionalFormatting>
  <conditionalFormatting sqref="F4 F17 F30 F43 B5:B31 U43 H4 J4 L4 N4 P4 R4 R17 P17 N17 L17 J17 H17 H30 J30 L30 N30 P30 R30 P43 N43 L43 J43 H43">
    <cfRule type="expression" dxfId="233" priority="122">
      <formula>C4&lt;=$C$10</formula>
    </cfRule>
  </conditionalFormatting>
  <conditionalFormatting sqref="R44:R53">
    <cfRule type="cellIs" dxfId="232" priority="120" operator="equal">
      <formula>$F$71</formula>
    </cfRule>
  </conditionalFormatting>
  <conditionalFormatting sqref="U43:V43 U44:U53">
    <cfRule type="cellIs" dxfId="231" priority="119" operator="equal">
      <formula>50</formula>
    </cfRule>
  </conditionalFormatting>
  <conditionalFormatting sqref="U44:U53">
    <cfRule type="expression" dxfId="230" priority="118">
      <formula>V44=50</formula>
    </cfRule>
  </conditionalFormatting>
  <conditionalFormatting sqref="V44:V53">
    <cfRule type="cellIs" dxfId="229" priority="117" operator="equal">
      <formula>50</formula>
    </cfRule>
  </conditionalFormatting>
  <conditionalFormatting sqref="V43">
    <cfRule type="expression" dxfId="228" priority="318">
      <formula>#REF!=50</formula>
    </cfRule>
  </conditionalFormatting>
  <conditionalFormatting sqref="V43">
    <cfRule type="expression" dxfId="227" priority="320">
      <formula>#REF!&lt;=$C$10</formula>
    </cfRule>
  </conditionalFormatting>
  <conditionalFormatting sqref="N54">
    <cfRule type="expression" dxfId="226" priority="89">
      <formula>O54=50</formula>
    </cfRule>
  </conditionalFormatting>
  <conditionalFormatting sqref="N54">
    <cfRule type="cellIs" dxfId="225" priority="88" operator="equal">
      <formula>50</formula>
    </cfRule>
  </conditionalFormatting>
  <conditionalFormatting sqref="O54">
    <cfRule type="cellIs" dxfId="224" priority="87" operator="equal">
      <formula>50</formula>
    </cfRule>
  </conditionalFormatting>
  <conditionalFormatting sqref="M54">
    <cfRule type="cellIs" dxfId="223" priority="86" operator="equal">
      <formula>50</formula>
    </cfRule>
  </conditionalFormatting>
  <conditionalFormatting sqref="F15">
    <cfRule type="cellIs" dxfId="222" priority="85" operator="equal">
      <formula>50</formula>
    </cfRule>
  </conditionalFormatting>
  <conditionalFormatting sqref="G4">
    <cfRule type="cellIs" dxfId="221" priority="84" operator="equal">
      <formula>50</formula>
    </cfRule>
  </conditionalFormatting>
  <conditionalFormatting sqref="G4">
    <cfRule type="expression" dxfId="220" priority="83">
      <formula>H4=50</formula>
    </cfRule>
  </conditionalFormatting>
  <conditionalFormatting sqref="G4">
    <cfRule type="expression" dxfId="219" priority="82">
      <formula>H4&lt;=$C$10</formula>
    </cfRule>
  </conditionalFormatting>
  <conditionalFormatting sqref="I4">
    <cfRule type="cellIs" dxfId="218" priority="81" operator="equal">
      <formula>50</formula>
    </cfRule>
  </conditionalFormatting>
  <conditionalFormatting sqref="I4">
    <cfRule type="expression" dxfId="217" priority="80">
      <formula>J4=50</formula>
    </cfRule>
  </conditionalFormatting>
  <conditionalFormatting sqref="I4">
    <cfRule type="expression" dxfId="216" priority="79">
      <formula>J4&lt;=$C$10</formula>
    </cfRule>
  </conditionalFormatting>
  <conditionalFormatting sqref="K4">
    <cfRule type="cellIs" dxfId="215" priority="78" operator="equal">
      <formula>50</formula>
    </cfRule>
  </conditionalFormatting>
  <conditionalFormatting sqref="K4">
    <cfRule type="expression" dxfId="214" priority="77">
      <formula>L4=50</formula>
    </cfRule>
  </conditionalFormatting>
  <conditionalFormatting sqref="K4">
    <cfRule type="expression" dxfId="213" priority="76">
      <formula>L4&lt;=$C$10</formula>
    </cfRule>
  </conditionalFormatting>
  <conditionalFormatting sqref="M4">
    <cfRule type="cellIs" dxfId="212" priority="75" operator="equal">
      <formula>50</formula>
    </cfRule>
  </conditionalFormatting>
  <conditionalFormatting sqref="M4">
    <cfRule type="expression" dxfId="211" priority="74">
      <formula>N4=50</formula>
    </cfRule>
  </conditionalFormatting>
  <conditionalFormatting sqref="M4">
    <cfRule type="expression" dxfId="210" priority="73">
      <formula>N4&lt;=$C$10</formula>
    </cfRule>
  </conditionalFormatting>
  <conditionalFormatting sqref="O4">
    <cfRule type="cellIs" dxfId="209" priority="72" operator="equal">
      <formula>50</formula>
    </cfRule>
  </conditionalFormatting>
  <conditionalFormatting sqref="O4">
    <cfRule type="expression" dxfId="208" priority="71">
      <formula>P4=50</formula>
    </cfRule>
  </conditionalFormatting>
  <conditionalFormatting sqref="O4">
    <cfRule type="expression" dxfId="207" priority="70">
      <formula>P4&lt;=$C$10</formula>
    </cfRule>
  </conditionalFormatting>
  <conditionalFormatting sqref="Q4">
    <cfRule type="cellIs" dxfId="206" priority="69" operator="equal">
      <formula>50</formula>
    </cfRule>
  </conditionalFormatting>
  <conditionalFormatting sqref="Q4">
    <cfRule type="expression" dxfId="205" priority="68">
      <formula>R4=50</formula>
    </cfRule>
  </conditionalFormatting>
  <conditionalFormatting sqref="Q4">
    <cfRule type="expression" dxfId="204" priority="67">
      <formula>R4&lt;=$C$10</formula>
    </cfRule>
  </conditionalFormatting>
  <conditionalFormatting sqref="S4">
    <cfRule type="cellIs" dxfId="203" priority="66" operator="equal">
      <formula>50</formula>
    </cfRule>
  </conditionalFormatting>
  <conditionalFormatting sqref="S4">
    <cfRule type="expression" dxfId="202" priority="65">
      <formula>T4=50</formula>
    </cfRule>
  </conditionalFormatting>
  <conditionalFormatting sqref="S4">
    <cfRule type="expression" dxfId="201" priority="64">
      <formula>T4&lt;=$C$10</formula>
    </cfRule>
  </conditionalFormatting>
  <conditionalFormatting sqref="S17">
    <cfRule type="cellIs" dxfId="200" priority="63" operator="equal">
      <formula>50</formula>
    </cfRule>
  </conditionalFormatting>
  <conditionalFormatting sqref="S17">
    <cfRule type="expression" dxfId="199" priority="62">
      <formula>T17=50</formula>
    </cfRule>
  </conditionalFormatting>
  <conditionalFormatting sqref="S17">
    <cfRule type="expression" dxfId="198" priority="61">
      <formula>T17&lt;=$C$10</formula>
    </cfRule>
  </conditionalFormatting>
  <conditionalFormatting sqref="Q17">
    <cfRule type="cellIs" dxfId="197" priority="60" operator="equal">
      <formula>50</formula>
    </cfRule>
  </conditionalFormatting>
  <conditionalFormatting sqref="Q17">
    <cfRule type="expression" dxfId="196" priority="59">
      <formula>R17=50</formula>
    </cfRule>
  </conditionalFormatting>
  <conditionalFormatting sqref="Q17">
    <cfRule type="expression" dxfId="195" priority="58">
      <formula>R17&lt;=$C$10</formula>
    </cfRule>
  </conditionalFormatting>
  <conditionalFormatting sqref="O17">
    <cfRule type="cellIs" dxfId="194" priority="57" operator="equal">
      <formula>50</formula>
    </cfRule>
  </conditionalFormatting>
  <conditionalFormatting sqref="O17">
    <cfRule type="expression" dxfId="193" priority="56">
      <formula>P17=50</formula>
    </cfRule>
  </conditionalFormatting>
  <conditionalFormatting sqref="O17">
    <cfRule type="expression" dxfId="192" priority="55">
      <formula>P17&lt;=$C$10</formula>
    </cfRule>
  </conditionalFormatting>
  <conditionalFormatting sqref="M17">
    <cfRule type="cellIs" dxfId="191" priority="51" operator="equal">
      <formula>50</formula>
    </cfRule>
  </conditionalFormatting>
  <conditionalFormatting sqref="M17">
    <cfRule type="expression" dxfId="190" priority="50">
      <formula>N17=50</formula>
    </cfRule>
  </conditionalFormatting>
  <conditionalFormatting sqref="M17">
    <cfRule type="expression" dxfId="189" priority="49">
      <formula>N17&lt;=$C$10</formula>
    </cfRule>
  </conditionalFormatting>
  <conditionalFormatting sqref="K17">
    <cfRule type="cellIs" dxfId="188" priority="48" operator="equal">
      <formula>50</formula>
    </cfRule>
  </conditionalFormatting>
  <conditionalFormatting sqref="K17">
    <cfRule type="expression" dxfId="187" priority="47">
      <formula>L17=50</formula>
    </cfRule>
  </conditionalFormatting>
  <conditionalFormatting sqref="K17">
    <cfRule type="expression" dxfId="186" priority="46">
      <formula>L17&lt;=$C$10</formula>
    </cfRule>
  </conditionalFormatting>
  <conditionalFormatting sqref="I17">
    <cfRule type="cellIs" dxfId="185" priority="45" operator="equal">
      <formula>50</formula>
    </cfRule>
  </conditionalFormatting>
  <conditionalFormatting sqref="I17">
    <cfRule type="expression" dxfId="184" priority="44">
      <formula>J17=50</formula>
    </cfRule>
  </conditionalFormatting>
  <conditionalFormatting sqref="I17">
    <cfRule type="expression" dxfId="183" priority="43">
      <formula>J17&lt;=$C$10</formula>
    </cfRule>
  </conditionalFormatting>
  <conditionalFormatting sqref="G17">
    <cfRule type="cellIs" dxfId="182" priority="42" operator="equal">
      <formula>50</formula>
    </cfRule>
  </conditionalFormatting>
  <conditionalFormatting sqref="G17">
    <cfRule type="expression" dxfId="181" priority="41">
      <formula>H17=50</formula>
    </cfRule>
  </conditionalFormatting>
  <conditionalFormatting sqref="G17">
    <cfRule type="expression" dxfId="180" priority="40">
      <formula>H17&lt;=$C$10</formula>
    </cfRule>
  </conditionalFormatting>
  <conditionalFormatting sqref="G30">
    <cfRule type="cellIs" dxfId="179" priority="39" operator="equal">
      <formula>50</formula>
    </cfRule>
  </conditionalFormatting>
  <conditionalFormatting sqref="G30">
    <cfRule type="expression" dxfId="178" priority="38">
      <formula>H30=50</formula>
    </cfRule>
  </conditionalFormatting>
  <conditionalFormatting sqref="G30">
    <cfRule type="expression" dxfId="177" priority="37">
      <formula>H30&lt;=$C$10</formula>
    </cfRule>
  </conditionalFormatting>
  <conditionalFormatting sqref="I30">
    <cfRule type="cellIs" dxfId="176" priority="36" operator="equal">
      <formula>50</formula>
    </cfRule>
  </conditionalFormatting>
  <conditionalFormatting sqref="I30">
    <cfRule type="expression" dxfId="175" priority="35">
      <formula>J30=50</formula>
    </cfRule>
  </conditionalFormatting>
  <conditionalFormatting sqref="I30">
    <cfRule type="expression" dxfId="174" priority="34">
      <formula>J30&lt;=$C$10</formula>
    </cfRule>
  </conditionalFormatting>
  <conditionalFormatting sqref="K30">
    <cfRule type="cellIs" dxfId="173" priority="33" operator="equal">
      <formula>50</formula>
    </cfRule>
  </conditionalFormatting>
  <conditionalFormatting sqref="K30">
    <cfRule type="expression" dxfId="172" priority="32">
      <formula>L30=50</formula>
    </cfRule>
  </conditionalFormatting>
  <conditionalFormatting sqref="K30">
    <cfRule type="expression" dxfId="171" priority="31">
      <formula>L30&lt;=$C$10</formula>
    </cfRule>
  </conditionalFormatting>
  <conditionalFormatting sqref="M30">
    <cfRule type="cellIs" dxfId="170" priority="30" operator="equal">
      <formula>50</formula>
    </cfRule>
  </conditionalFormatting>
  <conditionalFormatting sqref="M30">
    <cfRule type="expression" dxfId="169" priority="29">
      <formula>N30=50</formula>
    </cfRule>
  </conditionalFormatting>
  <conditionalFormatting sqref="M30">
    <cfRule type="expression" dxfId="168" priority="28">
      <formula>N30&lt;=$C$10</formula>
    </cfRule>
  </conditionalFormatting>
  <conditionalFormatting sqref="O30">
    <cfRule type="cellIs" dxfId="167" priority="27" operator="equal">
      <formula>50</formula>
    </cfRule>
  </conditionalFormatting>
  <conditionalFormatting sqref="O30">
    <cfRule type="expression" dxfId="166" priority="26">
      <formula>P30=50</formula>
    </cfRule>
  </conditionalFormatting>
  <conditionalFormatting sqref="O30">
    <cfRule type="expression" dxfId="165" priority="25">
      <formula>P30&lt;=$C$10</formula>
    </cfRule>
  </conditionalFormatting>
  <conditionalFormatting sqref="Q30">
    <cfRule type="cellIs" dxfId="164" priority="24" operator="equal">
      <formula>50</formula>
    </cfRule>
  </conditionalFormatting>
  <conditionalFormatting sqref="Q30">
    <cfRule type="expression" dxfId="163" priority="23">
      <formula>R30=50</formula>
    </cfRule>
  </conditionalFormatting>
  <conditionalFormatting sqref="Q30">
    <cfRule type="expression" dxfId="162" priority="22">
      <formula>R30&lt;=$C$10</formula>
    </cfRule>
  </conditionalFormatting>
  <conditionalFormatting sqref="S30">
    <cfRule type="cellIs" dxfId="161" priority="21" operator="equal">
      <formula>50</formula>
    </cfRule>
  </conditionalFormatting>
  <conditionalFormatting sqref="S30">
    <cfRule type="expression" dxfId="160" priority="20">
      <formula>T30=50</formula>
    </cfRule>
  </conditionalFormatting>
  <conditionalFormatting sqref="S30">
    <cfRule type="expression" dxfId="159" priority="19">
      <formula>T30&lt;=$C$10</formula>
    </cfRule>
  </conditionalFormatting>
  <conditionalFormatting sqref="Q43">
    <cfRule type="cellIs" dxfId="158" priority="18" operator="equal">
      <formula>50</formula>
    </cfRule>
  </conditionalFormatting>
  <conditionalFormatting sqref="Q43">
    <cfRule type="expression" dxfId="157" priority="17">
      <formula>R43=50</formula>
    </cfRule>
  </conditionalFormatting>
  <conditionalFormatting sqref="Q43">
    <cfRule type="expression" dxfId="156" priority="16">
      <formula>R43&lt;=$C$10</formula>
    </cfRule>
  </conditionalFormatting>
  <conditionalFormatting sqref="O43">
    <cfRule type="cellIs" dxfId="155" priority="15" operator="equal">
      <formula>50</formula>
    </cfRule>
  </conditionalFormatting>
  <conditionalFormatting sqref="O43">
    <cfRule type="expression" dxfId="154" priority="14">
      <formula>P43=50</formula>
    </cfRule>
  </conditionalFormatting>
  <conditionalFormatting sqref="O43">
    <cfRule type="expression" dxfId="153" priority="13">
      <formula>P43&lt;=$C$10</formula>
    </cfRule>
  </conditionalFormatting>
  <conditionalFormatting sqref="M43">
    <cfRule type="cellIs" dxfId="152" priority="12" operator="equal">
      <formula>50</formula>
    </cfRule>
  </conditionalFormatting>
  <conditionalFormatting sqref="M43">
    <cfRule type="expression" dxfId="151" priority="11">
      <formula>N43=50</formula>
    </cfRule>
  </conditionalFormatting>
  <conditionalFormatting sqref="M43">
    <cfRule type="expression" dxfId="150" priority="10">
      <formula>N43&lt;=$C$10</formula>
    </cfRule>
  </conditionalFormatting>
  <conditionalFormatting sqref="K43">
    <cfRule type="cellIs" dxfId="149" priority="9" operator="equal">
      <formula>50</formula>
    </cfRule>
  </conditionalFormatting>
  <conditionalFormatting sqref="K43">
    <cfRule type="expression" dxfId="148" priority="8">
      <formula>L43=50</formula>
    </cfRule>
  </conditionalFormatting>
  <conditionalFormatting sqref="K43">
    <cfRule type="expression" dxfId="147" priority="7">
      <formula>L43&lt;=$C$10</formula>
    </cfRule>
  </conditionalFormatting>
  <conditionalFormatting sqref="I43">
    <cfRule type="cellIs" dxfId="146" priority="6" operator="equal">
      <formula>50</formula>
    </cfRule>
  </conditionalFormatting>
  <conditionalFormatting sqref="I43">
    <cfRule type="expression" dxfId="145" priority="5">
      <formula>J43=50</formula>
    </cfRule>
  </conditionalFormatting>
  <conditionalFormatting sqref="I43">
    <cfRule type="expression" dxfId="144" priority="4">
      <formula>J43&lt;=$C$10</formula>
    </cfRule>
  </conditionalFormatting>
  <conditionalFormatting sqref="G43">
    <cfRule type="cellIs" dxfId="143" priority="3" operator="equal">
      <formula>50</formula>
    </cfRule>
  </conditionalFormatting>
  <conditionalFormatting sqref="G43">
    <cfRule type="expression" dxfId="142" priority="2">
      <formula>H43=50</formula>
    </cfRule>
  </conditionalFormatting>
  <conditionalFormatting sqref="G43">
    <cfRule type="expression" dxfId="141" priority="1">
      <formula>H43&lt;=$C$10</formula>
    </cfRule>
  </conditionalFormatting>
  <dataValidations count="2">
    <dataValidation type="list" allowBlank="1" showInputMessage="1" showErrorMessage="1" sqref="V54 P54 R54 T54" xr:uid="{21087C3D-5DF3-4CE7-8E33-5BADB65ACAB3}">
      <formula1>#REF!</formula1>
    </dataValidation>
    <dataValidation type="list" allowBlank="1" showInputMessage="1" showErrorMessage="1" sqref="F13:F14 H13:H14 J13:J14 L13:L14 N13:N14 P13:P14 R13:R14 F26:F27 H26:H27 J26:J27 L26:L27 N26:N27 P26:P27 R26:R27 F39:F40 H39:H40 J39:J40 L39:L40 N39:N40 P39:P40 R39:R40 F52:F53 H52:H53 J52:J53 L52:L53 N52:N53 P52:P53 U52:U53" xr:uid="{3B05C043-F204-4CF7-8255-461AE48A02E8}">
      <formula1>NotTop40</formula1>
    </dataValidation>
  </dataValidations>
  <hyperlinks>
    <hyperlink ref="B33" r:id="rId1" xr:uid="{28A3F6BE-F8DC-4EC6-983E-2A541DE08E5C}"/>
    <hyperlink ref="B53" r:id="rId2" xr:uid="{5B9387ED-7B3E-467C-B1C0-3F9D3003683F}"/>
    <hyperlink ref="E1:F1" r:id="rId3" display="Standings by Round" xr:uid="{583FE633-E95A-4B18-B69D-16AA7D6E0B7E}"/>
  </hyperlinks>
  <pageMargins left="0.7" right="0.7" top="0.75" bottom="0.75" header="0.3" footer="0.3"/>
  <pageSetup orientation="portrait" r:id="rId4"/>
  <webPublishItems count="1">
    <webPublishItem id="4458" divId="JoeMagneticoMicro_4458" sourceType="range" sourceRef="A1:S54" destinationFile="C:\pga\html\JoeMagnetico.htm"/>
  </webPublishItems>
  <extLst>
    <ext xmlns:x14="http://schemas.microsoft.com/office/spreadsheetml/2009/9/main" uri="{CCE6A557-97BC-4b89-ADB6-D9C93CAAB3DF}">
      <x14:dataValidations xmlns:xm="http://schemas.microsoft.com/office/excel/2006/main" count="10">
        <x14:dataValidation type="list" allowBlank="1" showInputMessage="1" showErrorMessage="1" xr:uid="{9B78D90A-9029-42F5-9793-23DF5B2ECB19}">
          <x14:formula1>
            <xm:f>'Top 40'!$C$4:$G$4</xm:f>
          </x14:formula1>
          <xm:sqref>F6 H6 J6 P19 N6 P6 L6 N19 F42:F43 P32 R32 R19 H19 L19 T6 J19 F32 H32 N32 L32 J32 F19 T32 P45 H42 U45 N42:N43 R42 J42 H45 J45 R6 F45 L42 L45 T42 P42 N45 T19</xm:sqref>
        </x14:dataValidation>
        <x14:dataValidation type="list" allowBlank="1" showInputMessage="1" showErrorMessage="1" xr:uid="{C05221AF-6963-49D1-B669-59831D7536BC}">
          <x14:formula1>
            <xm:f>'Top 40'!$C$6:$G$6</xm:f>
          </x14:formula1>
          <xm:sqref>F8 H8 J8 N8 L8 L47 P34 P21 R34 P8 L21 R21 L34 J21 H21 F21 F34 H34 J34 N34 N21 T8 P47 T34 F47 R8 U47 H47 J47 N47 T21</xm:sqref>
        </x14:dataValidation>
        <x14:dataValidation type="list" allowBlank="1" showInputMessage="1" showErrorMessage="1" xr:uid="{67AC5EEA-49D1-40D5-8C88-C40205610EF4}">
          <x14:formula1>
            <xm:f>'Top 40'!$C$5:$G$5</xm:f>
          </x14:formula1>
          <xm:sqref>J20 F20 H33 J33 N33 L7 F7 H7 J7 N7 J46 F33 L33 P33 R20 P20 N20 L20 H20 T7 R33 P7 T33 P46 R7 H46 L46 U46 F46 N46 T20</xm:sqref>
        </x14:dataValidation>
        <x14:dataValidation type="list" allowBlank="1" showInputMessage="1" showErrorMessage="1" xr:uid="{903B624A-620F-441F-9B56-C4B22BF37CC6}">
          <x14:formula1>
            <xm:f>'Top 40'!$C$3:$G$3</xm:f>
          </x14:formula1>
          <xm:sqref>F5 R31 H5 J5 N18 H18 R5 N31 J31 P5 P31 J18 R18 L31 L18 P18 H31 F18 F31 L5 P44 T5 N5 T31 U44 H44 F44 L44 J44 N44 T18</xm:sqref>
        </x14:dataValidation>
        <x14:dataValidation type="list" allowBlank="1" showInputMessage="1" showErrorMessage="1" xr:uid="{5B6D396E-498C-46EF-A6A6-952A91002672}">
          <x14:formula1>
            <xm:f>'Top 40'!$C$10:$G$10</xm:f>
          </x14:formula1>
          <xm:sqref>L51 T12 N51 F51 H51 T25 J51 R12 F12 H12 J12 L12 N12 P12 U51 P51 P38 R38 J25 R25 P25 N25 L25 H25 F25 F38 H38 J38 L38 N38 T38</xm:sqref>
        </x14:dataValidation>
        <x14:dataValidation type="list" allowBlank="1" showInputMessage="1" showErrorMessage="1" xr:uid="{12D3274A-7112-4A60-AFDA-251475C6120B}">
          <x14:formula1>
            <xm:f>'Top 40'!$C$9:$G$9</xm:f>
          </x14:formula1>
          <xm:sqref>F11 R11 J11 L11 N11 L50 F24 T11 R37 P37 R24 P11 P24 J24 L24 N24 F37 H24 H37 L37 N37 J37 P50 T37 N50 H11 U50 F50 J50 H50 T24</xm:sqref>
        </x14:dataValidation>
        <x14:dataValidation type="list" allowBlank="1" showInputMessage="1" showErrorMessage="1" xr:uid="{605C3671-1CE6-4838-BC2E-BBD0D69C632E}">
          <x14:formula1>
            <xm:f>'Top 40'!$C$8:$G$8</xm:f>
          </x14:formula1>
          <xm:sqref>F10 H10 J10 L10 N10 L49 P10 R36 T10 R23 P23 N23 P36 H23 L23 F23 F36 J23 L36 H36 N36 J36 P49 T36 N49 R10 F49 U49 J49 H49 T23</xm:sqref>
        </x14:dataValidation>
        <x14:dataValidation type="list" allowBlank="1" showInputMessage="1" showErrorMessage="1" xr:uid="{854CF1D3-FFA8-48AF-9B3C-5D80E58E5F47}">
          <x14:formula1>
            <xm:f>'Top 40'!$C$7:$G$7</xm:f>
          </x14:formula1>
          <xm:sqref>L48 J48 H48 F48 F35 H35 J35 L35 N35 P35 R35 T22 U48 R22 P22 N22 L22 J22 H22 F22 F9 H9 J9 L9 N9 P9 R9 T9 N48 P48 T35</xm:sqref>
        </x14:dataValidation>
        <x14:dataValidation type="list" allowBlank="1" showInputMessage="1" showErrorMessage="1" xr:uid="{36CBB0CF-188F-458F-A1FD-072071AB3B9B}">
          <x14:formula1>
            <xm:f>eField!$A$2:$A$77</xm:f>
          </x14:formula1>
          <xm:sqref>H54 N54 J54 R41 F54 T39:T41 T26:T28 H15 J15 L15 N15 P15 T13:T15 R15 F28 H28 J28 L28 N28 P28 R28 F41 H41 J41 L41 N41 P41 L54</xm:sqref>
        </x14:dataValidation>
        <x14:dataValidation type="list" allowBlank="1" showInputMessage="1" showErrorMessage="1" xr:uid="{80682DF5-89D9-4286-8C31-9CC0944034A1}">
          <x14:formula1>
            <xm:f>eField!$A$2:$A$75</xm:f>
          </x14:formula1>
          <xm:sqref>F15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90"/>
  <sheetViews>
    <sheetView zoomScaleNormal="100" workbookViewId="0">
      <pane ySplit="1" topLeftCell="A2" activePane="bottomLeft" state="frozen"/>
      <selection pane="bottomLeft" activeCell="A2" sqref="A2"/>
    </sheetView>
  </sheetViews>
  <sheetFormatPr defaultColWidth="8.54296875" defaultRowHeight="12.5" x14ac:dyDescent="0.25"/>
  <cols>
    <col min="1" max="1" width="2.81640625" customWidth="1"/>
    <col min="2" max="2" width="17.1796875" customWidth="1"/>
    <col min="3" max="3" width="5.1796875" style="3" customWidth="1"/>
    <col min="4" max="4" width="5.453125" style="3" customWidth="1"/>
    <col min="5" max="5" width="6.54296875" style="3" customWidth="1"/>
    <col min="6" max="6" width="19" customWidth="1"/>
    <col min="7" max="7" width="7.54296875" style="2" customWidth="1"/>
    <col min="8" max="8" width="19" customWidth="1"/>
    <col min="9" max="9" width="7.54296875" style="2" customWidth="1"/>
    <col min="10" max="10" width="19" customWidth="1"/>
    <col min="11" max="11" width="7.54296875" style="2" customWidth="1"/>
    <col min="12" max="12" width="19" customWidth="1"/>
    <col min="13" max="13" width="7.54296875" style="2" customWidth="1"/>
    <col min="14" max="14" width="19" customWidth="1"/>
    <col min="15" max="15" width="7.54296875" style="2" customWidth="1"/>
    <col min="16" max="16" width="19" customWidth="1"/>
    <col min="17" max="17" width="7.54296875" style="2" customWidth="1"/>
    <col min="18" max="18" width="19" customWidth="1"/>
    <col min="19" max="19" width="7.54296875" style="2" customWidth="1"/>
    <col min="20" max="20" width="19" customWidth="1"/>
    <col min="21" max="21" width="7.54296875" style="3" customWidth="1"/>
    <col min="22" max="22" width="9.26953125" customWidth="1"/>
    <col min="23" max="23" width="18.26953125" style="3" customWidth="1"/>
  </cols>
  <sheetData>
    <row r="1" spans="1:35" ht="19.5" customHeight="1" x14ac:dyDescent="0.3">
      <c r="B1" s="197" t="s">
        <v>260</v>
      </c>
      <c r="C1" s="197"/>
      <c r="D1" s="197"/>
      <c r="E1" s="198" t="s">
        <v>261</v>
      </c>
      <c r="F1" s="199"/>
      <c r="G1" s="200" t="s">
        <v>262</v>
      </c>
      <c r="H1" s="201"/>
    </row>
    <row r="3" spans="1:35" s="91" customFormat="1" ht="20.5" customHeight="1" x14ac:dyDescent="0.25">
      <c r="A3" s="89"/>
      <c r="B3" s="192" t="s">
        <v>257</v>
      </c>
      <c r="C3" s="105" t="str">
        <f>Status!C19</f>
        <v>06/28 21:45 EDT</v>
      </c>
      <c r="D3" s="88"/>
      <c r="E3" s="90"/>
      <c r="I3" s="88"/>
      <c r="K3" s="88"/>
      <c r="M3" s="88"/>
      <c r="O3" s="88"/>
      <c r="Q3" s="88"/>
      <c r="S3" s="88"/>
      <c r="U3" s="88"/>
      <c r="W3" s="88"/>
    </row>
    <row r="4" spans="1:35" s="7" customFormat="1" ht="13" x14ac:dyDescent="0.3">
      <c r="B4" s="41" t="s">
        <v>1</v>
      </c>
      <c r="C4" s="42"/>
      <c r="D4" s="123" t="s">
        <v>68</v>
      </c>
      <c r="E4" s="12"/>
      <c r="F4" s="10" t="s">
        <v>189</v>
      </c>
      <c r="G4" s="11" cm="1">
        <f t="array" ref="G4">SUM(SMALL(IF(ISNUMBER(G5:G15), G5:G15), {1,2,3,4,5}))</f>
        <v>-93</v>
      </c>
      <c r="H4" s="10" t="s">
        <v>190</v>
      </c>
      <c r="I4" s="11" t="e" cm="1">
        <f t="array" ref="I4">SUM(SMALL(IF(ISNUMBER(I5:I15), I5:I15), {1,2,3,4,5}))</f>
        <v>#NUM!</v>
      </c>
      <c r="J4" s="10" t="s">
        <v>191</v>
      </c>
      <c r="K4" s="11" t="e" cm="1">
        <f t="array" ref="K4">SUM(SMALL(IF(ISNUMBER(K5:K15), K5:K15), {1,2,3,4,5}))</f>
        <v>#NUM!</v>
      </c>
      <c r="L4" s="10" t="s">
        <v>192</v>
      </c>
      <c r="M4" s="11" t="e" cm="1">
        <f t="array" ref="M4">SUM(SMALL(IF(ISNUMBER(M5:M15), M5:M15), {1,2,3,4,5}))</f>
        <v>#NUM!</v>
      </c>
      <c r="N4" s="10" t="s">
        <v>193</v>
      </c>
      <c r="O4" s="11" t="e" cm="1">
        <f t="array" ref="O4">SUM(SMALL(IF(ISNUMBER(O5:O15), O5:O15), {1,2,3,4,5}))</f>
        <v>#NUM!</v>
      </c>
      <c r="P4" s="10" t="s">
        <v>194</v>
      </c>
      <c r="Q4" s="11" t="e" cm="1">
        <f t="array" ref="Q4">SUM(SMALL(IF(ISNUMBER(Q5:Q15), Q5:Q15), {1,2,3,4,5}))</f>
        <v>#NUM!</v>
      </c>
      <c r="R4" s="10" t="s">
        <v>195</v>
      </c>
      <c r="S4" s="11" t="e" cm="1">
        <f t="array" ref="S4">SUM(SMALL(IF(ISNUMBER(S5:S15), S5:S15), {1,2,3,4,5}))</f>
        <v>#NUM!</v>
      </c>
      <c r="T4" s="10" t="s">
        <v>196</v>
      </c>
      <c r="U4" s="11" t="e" cm="1">
        <f t="array" ref="U4">SUM(SMALL(IF(ISNUMBER(U5:U15), U5:U15), {1,2,3,4,5}))</f>
        <v>#NUM!</v>
      </c>
    </row>
    <row r="5" spans="1:35" ht="14.5" x14ac:dyDescent="0.35">
      <c r="B5" s="43" t="str" cm="1">
        <f t="array" ref="B5:C34">_xlfn._xlws.SORT(F60:G89,2,1,FALSE)</f>
        <v>Dick Webster</v>
      </c>
      <c r="C5" s="44">
        <v>-93</v>
      </c>
      <c r="D5" s="124">
        <f>VLOOKUP($B5,$F$60:$H$89,3,)</f>
        <v>-19</v>
      </c>
      <c r="E5" s="13">
        <v>1</v>
      </c>
      <c r="F5" t="s">
        <v>24</v>
      </c>
      <c r="G5" s="3">
        <f>VLOOKUP(F5,ESPNScores!$A$2:$B$133,2,FALSE)</f>
        <v>-21</v>
      </c>
      <c r="H5" s="9"/>
      <c r="I5" s="3" t="e">
        <f>VLOOKUP(H5,ESPNScores!$A$2:$B$133,2,FALSE)</f>
        <v>#N/A</v>
      </c>
      <c r="J5" s="9"/>
      <c r="K5" s="3" t="e">
        <f>VLOOKUP(J5,ESPNScores!$A$2:$B$133,2,FALSE)</f>
        <v>#N/A</v>
      </c>
      <c r="L5" s="9"/>
      <c r="M5" s="3" t="e">
        <f>VLOOKUP(L5,ESPNScores!$A$2:$B$133,2,FALSE)</f>
        <v>#N/A</v>
      </c>
      <c r="O5" s="3" t="e">
        <f>VLOOKUP(N5,ESPNScores!$A$2:$B$133,2,FALSE)</f>
        <v>#N/A</v>
      </c>
      <c r="P5" s="9"/>
      <c r="Q5" s="3" t="e">
        <f>VLOOKUP(P5,ESPNScores!$A$2:$B$133,2,FALSE)</f>
        <v>#N/A</v>
      </c>
      <c r="S5" s="3" t="e">
        <f>VLOOKUP(R5,ESPNScores!$A$2:$B$133,2,FALSE)</f>
        <v>#N/A</v>
      </c>
      <c r="T5" s="9"/>
      <c r="U5" s="3" t="e">
        <f>VLOOKUP(T5,ESPNScores!$A$2:$B$133,2,FALSE)</f>
        <v>#N/A</v>
      </c>
    </row>
    <row r="6" spans="1:35" ht="14.5" x14ac:dyDescent="0.35">
      <c r="B6" s="43" t="str">
        <v>Riley Mattson</v>
      </c>
      <c r="C6" s="44" t="e">
        <v>#NUM!</v>
      </c>
      <c r="D6" s="124">
        <f t="shared" ref="D6:D10" si="0">VLOOKUP($B6,$F$60:$H$89,3,)</f>
        <v>0</v>
      </c>
      <c r="E6" s="13">
        <v>2</v>
      </c>
      <c r="F6" t="s">
        <v>118</v>
      </c>
      <c r="G6" s="3">
        <f>VLOOKUP(F6,ESPNScores!$A$2:$B$133,2,FALSE)</f>
        <v>-17</v>
      </c>
      <c r="H6" s="29"/>
      <c r="I6" s="3" t="e">
        <f>VLOOKUP(H6,ESPNScores!$A$2:$B$133,2,FALSE)</f>
        <v>#N/A</v>
      </c>
      <c r="J6" s="9"/>
      <c r="K6" s="3" t="e">
        <f>VLOOKUP(J6,ESPNScores!$A$2:$B$133,2,FALSE)</f>
        <v>#N/A</v>
      </c>
      <c r="L6" s="9"/>
      <c r="M6" s="3" t="e">
        <f>VLOOKUP(L6,ESPNScores!$A$2:$B$133,2,FALSE)</f>
        <v>#N/A</v>
      </c>
      <c r="N6" s="9"/>
      <c r="O6" s="3" t="e">
        <f>VLOOKUP(N6,ESPNScores!$A$2:$B$133,2,FALSE)</f>
        <v>#N/A</v>
      </c>
      <c r="P6" s="9"/>
      <c r="Q6" s="3" t="e">
        <f>VLOOKUP(P6,ESPNScores!$A$2:$B$133,2,FALSE)</f>
        <v>#N/A</v>
      </c>
      <c r="S6" s="3" t="e">
        <f>VLOOKUP(R6,ESPNScores!$A$2:$B$133,2,FALSE)</f>
        <v>#N/A</v>
      </c>
      <c r="T6" s="9"/>
      <c r="U6" s="3" t="e">
        <f>VLOOKUP(T6,ESPNScores!$A$2:$B$133,2,FALSE)</f>
        <v>#N/A</v>
      </c>
    </row>
    <row r="7" spans="1:35" ht="14.5" x14ac:dyDescent="0.35">
      <c r="B7" s="43" t="str">
        <v>Judd Holiday</v>
      </c>
      <c r="C7" s="44" t="e">
        <v>#NUM!</v>
      </c>
      <c r="D7" s="124">
        <f t="shared" si="0"/>
        <v>0</v>
      </c>
      <c r="E7" s="13">
        <v>3</v>
      </c>
      <c r="F7" t="s">
        <v>73</v>
      </c>
      <c r="G7" s="3">
        <f>VLOOKUP(F7,ESPNScores!$A$2:$B$133,2,FALSE)</f>
        <v>-16</v>
      </c>
      <c r="H7" s="29"/>
      <c r="I7" s="3" t="e">
        <f>VLOOKUP(H7,ESPNScores!$A$2:$B$133,2,FALSE)</f>
        <v>#N/A</v>
      </c>
      <c r="J7" s="9"/>
      <c r="K7" s="3" t="e">
        <f>VLOOKUP(J7,ESPNScores!$A$2:$B$133,2,FALSE)</f>
        <v>#N/A</v>
      </c>
      <c r="L7" s="9"/>
      <c r="M7" s="3" t="e">
        <f>VLOOKUP(L7,ESPNScores!$A$2:$B$133,2,FALSE)</f>
        <v>#N/A</v>
      </c>
      <c r="N7" s="9"/>
      <c r="O7" s="3" t="e">
        <f>VLOOKUP(N7,ESPNScores!$A$2:$B$133,2,FALSE)</f>
        <v>#N/A</v>
      </c>
      <c r="P7" s="9"/>
      <c r="Q7" s="3" t="e">
        <f>VLOOKUP(P7,ESPNScores!$A$2:$B$133,2,FALSE)</f>
        <v>#N/A</v>
      </c>
      <c r="S7" s="3" t="e">
        <f>VLOOKUP(R7,ESPNScores!$A$2:$B$133,2,FALSE)</f>
        <v>#N/A</v>
      </c>
      <c r="T7" s="9"/>
      <c r="U7" s="3" t="e">
        <f>VLOOKUP(T7,ESPNScores!$A$2:$B$133,2,FALSE)</f>
        <v>#N/A</v>
      </c>
    </row>
    <row r="8" spans="1:35" ht="14.5" x14ac:dyDescent="0.35">
      <c r="B8" s="43" t="str">
        <v>Jack Donasky</v>
      </c>
      <c r="C8" s="44" t="e">
        <v>#NUM!</v>
      </c>
      <c r="D8" s="124">
        <f t="shared" si="0"/>
        <v>0</v>
      </c>
      <c r="E8" s="13">
        <v>4</v>
      </c>
      <c r="F8" t="s">
        <v>62</v>
      </c>
      <c r="G8" s="3">
        <f>VLOOKUP(F8,ESPNScores!$A$2:$B$133,2,FALSE)</f>
        <v>-6</v>
      </c>
      <c r="H8" s="29"/>
      <c r="I8" s="3" t="e">
        <f>VLOOKUP(H8,ESPNScores!$A$2:$B$133,2,FALSE)</f>
        <v>#N/A</v>
      </c>
      <c r="J8" s="9"/>
      <c r="K8" s="3" t="e">
        <f>VLOOKUP(J8,ESPNScores!$A$2:$B$133,2,FALSE)</f>
        <v>#N/A</v>
      </c>
      <c r="L8" s="9"/>
      <c r="M8" s="3" t="e">
        <f>VLOOKUP(L8,ESPNScores!$A$2:$B$133,2,FALSE)</f>
        <v>#N/A</v>
      </c>
      <c r="N8" s="9"/>
      <c r="O8" s="3" t="e">
        <f>VLOOKUP(N8,ESPNScores!$A$2:$B$133,2,FALSE)</f>
        <v>#N/A</v>
      </c>
      <c r="P8" s="9"/>
      <c r="Q8" s="3" t="e">
        <f>VLOOKUP(P8,ESPNScores!$A$2:$B$133,2,FALSE)</f>
        <v>#N/A</v>
      </c>
      <c r="S8" s="3" t="e">
        <f>VLOOKUP(R8,ESPNScores!$A$2:$B$133,2,FALSE)</f>
        <v>#N/A</v>
      </c>
      <c r="T8" s="9"/>
      <c r="U8" s="3" t="e">
        <f>VLOOKUP(T8,ESPNScores!$A$2:$B$133,2,FALSE)</f>
        <v>#N/A</v>
      </c>
    </row>
    <row r="9" spans="1:35" ht="14.5" x14ac:dyDescent="0.35">
      <c r="B9" s="43" t="str">
        <v>Fred Allen</v>
      </c>
      <c r="C9" s="44" t="e">
        <v>#NUM!</v>
      </c>
      <c r="D9" s="124">
        <f t="shared" si="0"/>
        <v>0</v>
      </c>
      <c r="E9" s="13">
        <v>5</v>
      </c>
      <c r="F9" t="s">
        <v>46</v>
      </c>
      <c r="G9" s="3">
        <f>VLOOKUP(F9,ESPNScores!$A$2:$B$133,2,FALSE)</f>
        <v>-10</v>
      </c>
      <c r="H9" s="29"/>
      <c r="I9" s="3" t="e">
        <f>VLOOKUP(H9,ESPNScores!$A$2:$B$133,2,FALSE)</f>
        <v>#N/A</v>
      </c>
      <c r="J9" s="9"/>
      <c r="K9" s="3" t="e">
        <f>VLOOKUP(J9,ESPNScores!$A$2:$B$133,2,FALSE)</f>
        <v>#N/A</v>
      </c>
      <c r="L9" s="29"/>
      <c r="M9" s="3" t="e">
        <f>VLOOKUP(L9,ESPNScores!$A$2:$B$133,2,FALSE)</f>
        <v>#N/A</v>
      </c>
      <c r="N9" s="29"/>
      <c r="O9" s="3" t="e">
        <f>VLOOKUP(N9,ESPNScores!$A$2:$B$133,2,FALSE)</f>
        <v>#N/A</v>
      </c>
      <c r="P9" s="9"/>
      <c r="Q9" s="3" t="e">
        <f>VLOOKUP(P9,ESPNScores!$A$2:$B$133,2,FALSE)</f>
        <v>#N/A</v>
      </c>
      <c r="S9" s="3" t="e">
        <f>VLOOKUP(R9,ESPNScores!$A$2:$B$133,2,FALSE)</f>
        <v>#N/A</v>
      </c>
      <c r="T9" s="9"/>
      <c r="U9" s="3" t="e">
        <f>VLOOKUP(T9,ESPNScores!$A$2:$B$133,2,FALSE)</f>
        <v>#N/A</v>
      </c>
    </row>
    <row r="10" spans="1:35" ht="14.5" x14ac:dyDescent="0.35">
      <c r="B10" s="43" t="str">
        <v>Linda Hill</v>
      </c>
      <c r="C10" s="44" t="e">
        <v>#NUM!</v>
      </c>
      <c r="D10" s="124">
        <f t="shared" si="0"/>
        <v>0</v>
      </c>
      <c r="E10" s="13">
        <v>6</v>
      </c>
      <c r="F10" t="s">
        <v>74</v>
      </c>
      <c r="G10" s="3">
        <f>VLOOKUP(F10,ESPNScores!$A$2:$B$133,2,FALSE)</f>
        <v>-18</v>
      </c>
      <c r="H10" s="29"/>
      <c r="I10" s="3" t="e">
        <f>VLOOKUP(H10,ESPNScores!$A$2:$B$133,2,FALSE)</f>
        <v>#N/A</v>
      </c>
      <c r="J10" s="9"/>
      <c r="K10" s="3" t="e">
        <f>VLOOKUP(J10,ESPNScores!$A$2:$B$133,2,FALSE)</f>
        <v>#N/A</v>
      </c>
      <c r="L10" s="9"/>
      <c r="M10" s="3" t="e">
        <f>VLOOKUP(L10,ESPNScores!$A$2:$B$133,2,FALSE)</f>
        <v>#N/A</v>
      </c>
      <c r="N10" s="9"/>
      <c r="O10" s="3" t="e">
        <f>VLOOKUP(N10,ESPNScores!$A$2:$B$133,2,FALSE)</f>
        <v>#N/A</v>
      </c>
      <c r="P10" s="9"/>
      <c r="Q10" s="3" t="e">
        <f>VLOOKUP(P10,ESPNScores!$A$2:$B$133,2,FALSE)</f>
        <v>#N/A</v>
      </c>
      <c r="S10" s="3" t="e">
        <f>VLOOKUP(R10,ESPNScores!$A$2:$B$133,2,FALSE)</f>
        <v>#N/A</v>
      </c>
      <c r="T10" s="9"/>
      <c r="U10" s="3" t="e">
        <f>VLOOKUP(T10,ESPNScores!$A$2:$B$133,2,FALSE)</f>
        <v>#N/A</v>
      </c>
    </row>
    <row r="11" spans="1:35" ht="14.5" x14ac:dyDescent="0.35">
      <c r="B11" s="43" t="str">
        <v>Allan Armstrong</v>
      </c>
      <c r="C11" s="44" t="e">
        <v>#NUM!</v>
      </c>
      <c r="D11" s="55"/>
      <c r="E11" s="13">
        <v>7</v>
      </c>
      <c r="F11" t="s">
        <v>43</v>
      </c>
      <c r="G11" s="3">
        <f>VLOOKUP(F11,ESPNScores!$A$2:$B$133,2,FALSE)</f>
        <v>-21</v>
      </c>
      <c r="H11" s="9"/>
      <c r="I11" s="3" t="e">
        <f>VLOOKUP(H11,ESPNScores!$A$2:$B$133,2,FALSE)</f>
        <v>#N/A</v>
      </c>
      <c r="J11" s="9"/>
      <c r="K11" s="3" t="e">
        <f>VLOOKUP(J11,ESPNScores!$A$2:$B$133,2,FALSE)</f>
        <v>#N/A</v>
      </c>
      <c r="L11" s="9"/>
      <c r="M11" s="3" t="e">
        <f>VLOOKUP(L11,ESPNScores!$A$2:$B$133,2,FALSE)</f>
        <v>#N/A</v>
      </c>
      <c r="N11" s="9"/>
      <c r="O11" s="3" t="e">
        <f>VLOOKUP(N11,ESPNScores!$A$2:$B$133,2,FALSE)</f>
        <v>#N/A</v>
      </c>
      <c r="P11" s="9"/>
      <c r="Q11" s="3" t="e">
        <f>VLOOKUP(P11,ESPNScores!$A$2:$B$133,2,FALSE)</f>
        <v>#N/A</v>
      </c>
      <c r="S11" s="3" t="e">
        <f>VLOOKUP(R11,ESPNScores!$A$2:$B$133,2,FALSE)</f>
        <v>#N/A</v>
      </c>
      <c r="T11" s="9"/>
      <c r="U11" s="3" t="e">
        <f>VLOOKUP(T11,ESPNScores!$A$2:$B$133,2,FALSE)</f>
        <v>#N/A</v>
      </c>
    </row>
    <row r="12" spans="1:35" ht="14.5" x14ac:dyDescent="0.35">
      <c r="B12" s="43" t="str">
        <v>John Horvath</v>
      </c>
      <c r="C12" s="44" t="e">
        <v>#NUM!</v>
      </c>
      <c r="D12" s="55"/>
      <c r="E12" s="13">
        <v>8</v>
      </c>
      <c r="F12" t="s">
        <v>44</v>
      </c>
      <c r="G12" s="3">
        <f>VLOOKUP(F12,ESPNScores!$A$2:$B$133,2,FALSE)</f>
        <v>-14</v>
      </c>
      <c r="H12" s="9"/>
      <c r="I12" s="3" t="e">
        <f>VLOOKUP(H12,ESPNScores!$A$2:$B$133,2,FALSE)</f>
        <v>#N/A</v>
      </c>
      <c r="J12" s="9"/>
      <c r="K12" s="3" t="e">
        <f>VLOOKUP(J12,ESPNScores!$A$2:$B$133,2,FALSE)</f>
        <v>#N/A</v>
      </c>
      <c r="L12" s="9"/>
      <c r="M12" s="3" t="e">
        <f>VLOOKUP(L12,ESPNScores!$A$2:$B$133,2,FALSE)</f>
        <v>#N/A</v>
      </c>
      <c r="N12" s="9"/>
      <c r="O12" s="3" t="e">
        <f>VLOOKUP(N12,ESPNScores!$A$2:$B$133,2,FALSE)</f>
        <v>#N/A</v>
      </c>
      <c r="P12" s="9"/>
      <c r="Q12" s="3" t="e">
        <f>VLOOKUP(P12,ESPNScores!$A$2:$B$133,2,FALSE)</f>
        <v>#N/A</v>
      </c>
      <c r="R12" s="9"/>
      <c r="S12" s="3" t="e">
        <f>VLOOKUP(R12,ESPNScores!$A$2:$B$133,2,FALSE)</f>
        <v>#N/A</v>
      </c>
      <c r="T12" s="9"/>
      <c r="U12" s="3" t="e">
        <f>VLOOKUP(T12,ESPNScores!$A$2:$B$133,2,FALSE)</f>
        <v>#N/A</v>
      </c>
    </row>
    <row r="13" spans="1:35" ht="14.5" x14ac:dyDescent="0.35">
      <c r="B13" s="43" t="str">
        <v>Craig Chernick</v>
      </c>
      <c r="C13" s="44" t="e">
        <v>#NUM!</v>
      </c>
      <c r="D13" s="33"/>
      <c r="E13" s="13" t="s">
        <v>9</v>
      </c>
      <c r="F13" t="s">
        <v>266</v>
      </c>
      <c r="G13" s="3">
        <f>VLOOKUP(F13,ESPNScores!$A$2:$B$133,2,FALSE)</f>
        <v>-8</v>
      </c>
      <c r="H13" s="53"/>
      <c r="I13" s="3" t="e">
        <f>VLOOKUP(H13,ESPNScores!$A$2:$B$133,2,FALSE)</f>
        <v>#N/A</v>
      </c>
      <c r="J13" s="29"/>
      <c r="K13" s="3" t="e">
        <f>VLOOKUP(J13,ESPNScores!$A$2:$B$133,2,FALSE)</f>
        <v>#N/A</v>
      </c>
      <c r="L13" s="9"/>
      <c r="M13" s="3" t="e">
        <f>VLOOKUP(L13,ESPNScores!$A$2:$B$133,2,FALSE)</f>
        <v>#N/A</v>
      </c>
      <c r="N13" s="9"/>
      <c r="O13" s="3" t="e">
        <f>VLOOKUP(N13,ESPNScores!$A$2:$B$133,2,FALSE)</f>
        <v>#N/A</v>
      </c>
      <c r="P13" s="9"/>
      <c r="Q13" s="3" t="e">
        <f>VLOOKUP(P13,ESPNScores!$A$2:$B$133,2,FALSE)</f>
        <v>#N/A</v>
      </c>
      <c r="S13" s="3" t="e">
        <f>VLOOKUP(R13,ESPNScores!$A$2:$B$133,2,FALSE)</f>
        <v>#N/A</v>
      </c>
      <c r="T13" s="144"/>
      <c r="U13" s="3" t="e">
        <f>VLOOKUP(T13,ESPNScores!$A$2:$B$133,2,FALSE)</f>
        <v>#N/A</v>
      </c>
    </row>
    <row r="14" spans="1:35" ht="14.5" x14ac:dyDescent="0.35">
      <c r="B14" s="43" t="str">
        <v>Wally Rush</v>
      </c>
      <c r="C14" s="44" t="e">
        <v>#NUM!</v>
      </c>
      <c r="D14" s="33"/>
      <c r="E14" s="13" t="s">
        <v>10</v>
      </c>
      <c r="F14" t="s">
        <v>124</v>
      </c>
      <c r="G14" s="3">
        <f>VLOOKUP(F14,ESPNScores!$A$2:$B$133,2,FALSE)</f>
        <v>-14</v>
      </c>
      <c r="H14" s="53"/>
      <c r="I14" s="3" t="e">
        <f>VLOOKUP(H14,ESPNScores!$A$2:$B$133,2,FALSE)</f>
        <v>#N/A</v>
      </c>
      <c r="J14" s="144"/>
      <c r="K14" s="3" t="e">
        <f>VLOOKUP(J14,ESPNScores!$A$2:$B$133,2,FALSE)</f>
        <v>#N/A</v>
      </c>
      <c r="L14" s="9"/>
      <c r="M14" s="3" t="e">
        <f>VLOOKUP(L14,ESPNScores!$A$2:$B$133,2,FALSE)</f>
        <v>#N/A</v>
      </c>
      <c r="N14" s="18"/>
      <c r="O14" s="3" t="e">
        <f>VLOOKUP(N14,ESPNScores!$A$2:$B$133,2,FALSE)</f>
        <v>#N/A</v>
      </c>
      <c r="P14" s="9"/>
      <c r="Q14" s="3" t="e">
        <f>VLOOKUP(P14,ESPNScores!$A$2:$B$133,2,FALSE)</f>
        <v>#N/A</v>
      </c>
      <c r="R14" s="18"/>
      <c r="S14" s="3" t="e">
        <f>VLOOKUP(R14,ESPNScores!$A$2:$B$133,2,FALSE)</f>
        <v>#N/A</v>
      </c>
      <c r="T14" s="9"/>
      <c r="U14" s="3" t="e">
        <f>VLOOKUP(T14,ESPNScores!$A$2:$B$133,2,FALSE)</f>
        <v>#N/A</v>
      </c>
    </row>
    <row r="15" spans="1:35" ht="14.5" x14ac:dyDescent="0.35">
      <c r="B15" s="43" t="str">
        <v>Allyn Dean</v>
      </c>
      <c r="C15" s="44" t="e">
        <v>#NUM!</v>
      </c>
      <c r="D15" s="33"/>
      <c r="F15" s="80"/>
      <c r="G15" s="3" t="e">
        <f>VLOOKUP(F15,ESPNScores!$A$2:$B$133,2,FALSE)</f>
        <v>#N/A</v>
      </c>
      <c r="H15" s="78"/>
      <c r="I15" s="3" t="e">
        <f>VLOOKUP(H15,ESPNScores!$A$2:$B$133,2,FALSE)</f>
        <v>#N/A</v>
      </c>
      <c r="J15" s="78"/>
      <c r="K15" s="3" t="e">
        <f>VLOOKUP(J15,ESPNScores!$A$2:$B$133,2,FALSE)</f>
        <v>#N/A</v>
      </c>
      <c r="L15" s="78"/>
      <c r="M15" s="3" t="e">
        <f>VLOOKUP(L15,ESPNScores!$A$2:$B$133,2,FALSE)</f>
        <v>#N/A</v>
      </c>
      <c r="N15" s="79"/>
      <c r="O15" s="3" t="e">
        <f>VLOOKUP(N15,ESPNScores!$A$2:$B$133,2,FALSE)</f>
        <v>#N/A</v>
      </c>
      <c r="P15" s="78"/>
      <c r="Q15" s="3" t="e">
        <f>VLOOKUP(P15,ESPNScores!$A$2:$B$133,2,FALSE)</f>
        <v>#N/A</v>
      </c>
      <c r="R15" s="79"/>
      <c r="S15" s="3" t="e">
        <f>VLOOKUP(R15,ESPNScores!$A$2:$B$133,2,FALSE)</f>
        <v>#N/A</v>
      </c>
      <c r="T15" s="78"/>
      <c r="U15" s="3" t="e">
        <f>VLOOKUP(T15,ESPNScores!$A$2:$B$133,2,FALSE)</f>
        <v>#N/A</v>
      </c>
    </row>
    <row r="16" spans="1:35" s="7" customFormat="1" ht="14.5" x14ac:dyDescent="0.35">
      <c r="B16" s="43" t="str">
        <v>Ed Bernau</v>
      </c>
      <c r="C16" s="44" t="e">
        <v>#NUM!</v>
      </c>
      <c r="D16" s="33"/>
      <c r="E16" s="14"/>
      <c r="F16" s="47"/>
      <c r="G16" s="47"/>
      <c r="H16"/>
      <c r="I16" s="3"/>
      <c r="J16" s="47"/>
      <c r="K16" s="47"/>
      <c r="L16" s="47"/>
      <c r="M16" s="47"/>
      <c r="N16"/>
      <c r="O16" s="2"/>
      <c r="P16"/>
      <c r="Q16" s="2"/>
      <c r="R16"/>
      <c r="S16" s="3"/>
      <c r="T16"/>
      <c r="U16" s="3"/>
      <c r="V16"/>
      <c r="W16" s="3"/>
      <c r="X16"/>
      <c r="Y16"/>
      <c r="Z16"/>
      <c r="AA16"/>
      <c r="AB16"/>
      <c r="AC16"/>
      <c r="AD16"/>
      <c r="AE16"/>
      <c r="AF16"/>
      <c r="AG16"/>
      <c r="AH16"/>
      <c r="AI16"/>
    </row>
    <row r="17" spans="2:35" ht="13" x14ac:dyDescent="0.3">
      <c r="B17" s="43" t="str">
        <v>Cal Dillabaugh</v>
      </c>
      <c r="C17" s="44" t="e">
        <v>#NUM!</v>
      </c>
      <c r="D17" s="33"/>
      <c r="E17" s="12"/>
      <c r="F17" s="10" t="s">
        <v>197</v>
      </c>
      <c r="G17" s="11" t="e" cm="1">
        <f t="array" ref="G17">SUM(SMALL(IF(ISNUMBER(G18:G28), G18:G28), {1,2,3,4,5}))</f>
        <v>#NUM!</v>
      </c>
      <c r="H17" s="10" t="s">
        <v>198</v>
      </c>
      <c r="I17" s="11" t="e" cm="1">
        <f t="array" ref="I17">SUM(SMALL(IF(ISNUMBER(I18:I28), I18:I28), {1,2,3,4,5}))</f>
        <v>#NUM!</v>
      </c>
      <c r="J17" s="10" t="s">
        <v>217</v>
      </c>
      <c r="K17" s="11" t="e" cm="1">
        <f t="array" ref="K17">SUM(SMALL(IF(ISNUMBER(K18:K28), K18:K28), {1,2,3,4,5}))</f>
        <v>#NUM!</v>
      </c>
      <c r="L17" s="10" t="s">
        <v>199</v>
      </c>
      <c r="M17" s="11" t="e" cm="1">
        <f t="array" ref="M17">SUM(SMALL(IF(ISNUMBER(M18:M28), M18:M28), {1,2,3,4,5}))</f>
        <v>#NUM!</v>
      </c>
      <c r="N17" s="10" t="s">
        <v>200</v>
      </c>
      <c r="O17" s="11" t="e" cm="1">
        <f t="array" ref="O17">SUM(SMALL(IF(ISNUMBER(O18:O28), O18:O28), {1,2,3,4,5}))</f>
        <v>#NUM!</v>
      </c>
      <c r="P17" s="10" t="s">
        <v>201</v>
      </c>
      <c r="Q17" s="11" t="e" cm="1">
        <f t="array" ref="Q17">SUM(SMALL(IF(ISNUMBER(Q18:Q28), Q18:Q28), {1,2,3,4,5}))</f>
        <v>#NUM!</v>
      </c>
      <c r="R17" s="10" t="s">
        <v>202</v>
      </c>
      <c r="S17" s="11" t="e" cm="1">
        <f t="array" ref="S17">SUM(SMALL(IF(ISNUMBER(S18:S28), S18:S28), {1,2,3,4,5}))</f>
        <v>#NUM!</v>
      </c>
      <c r="T17" s="10" t="s">
        <v>203</v>
      </c>
      <c r="U17" s="11" t="e" cm="1">
        <f t="array" ref="U17">SUM(SMALL(IF(ISNUMBER(U18:U28), U18:U28), {1,2,3,4,5}))</f>
        <v>#NUM!</v>
      </c>
      <c r="V17" s="7"/>
      <c r="W17" s="7"/>
      <c r="X17" s="7"/>
      <c r="Y17" s="7"/>
      <c r="Z17" s="7"/>
      <c r="AA17" s="7"/>
      <c r="AB17" s="7"/>
      <c r="AC17" s="7"/>
      <c r="AD17" s="7"/>
      <c r="AE17" s="7"/>
      <c r="AF17" s="7"/>
      <c r="AG17" s="7"/>
      <c r="AH17" s="7"/>
      <c r="AI17" s="7"/>
    </row>
    <row r="18" spans="2:35" ht="14.5" x14ac:dyDescent="0.35">
      <c r="B18" s="43" t="str">
        <v>Ben Hill</v>
      </c>
      <c r="C18" s="44" t="e">
        <v>#NUM!</v>
      </c>
      <c r="D18" s="33"/>
      <c r="E18" s="13">
        <v>1</v>
      </c>
      <c r="F18" s="9"/>
      <c r="G18" s="3" t="e">
        <f>VLOOKUP(F18,ESPNScores!$A$2:$B$133,2,FALSE)</f>
        <v>#N/A</v>
      </c>
      <c r="H18" s="9"/>
      <c r="I18" s="3" t="e">
        <f>VLOOKUP(H18,ESPNScores!$A$2:$B$133,2,FALSE)</f>
        <v>#N/A</v>
      </c>
      <c r="J18" s="9"/>
      <c r="K18" s="3" t="e">
        <f>VLOOKUP(J18,ESPNScores!$A$2:$B$133,2,FALSE)</f>
        <v>#N/A</v>
      </c>
      <c r="L18" s="9"/>
      <c r="M18" s="3" t="e">
        <f>VLOOKUP(L18,ESPNScores!$A$2:$B$133,2,FALSE)</f>
        <v>#N/A</v>
      </c>
      <c r="O18" s="3" t="e">
        <f>VLOOKUP(N18,ESPNScores!$A$2:$B$133,2,FALSE)</f>
        <v>#N/A</v>
      </c>
      <c r="P18" s="9"/>
      <c r="Q18" s="3" t="e">
        <f>VLOOKUP(P18,ESPNScores!$A$2:$B$133,2,FALSE)</f>
        <v>#N/A</v>
      </c>
      <c r="S18" s="3" t="e">
        <f>VLOOKUP(R18,ESPNScores!$A$2:$B$133,2,FALSE)</f>
        <v>#N/A</v>
      </c>
      <c r="T18" s="9"/>
      <c r="U18" s="3" t="e">
        <f>VLOOKUP(T18,ESPNScores!$A$2:$B$133,2,FALSE)</f>
        <v>#N/A</v>
      </c>
    </row>
    <row r="19" spans="2:35" ht="14.5" x14ac:dyDescent="0.35">
      <c r="B19" s="43" t="str">
        <v>Greg Fish</v>
      </c>
      <c r="C19" s="44" t="e">
        <v>#NUM!</v>
      </c>
      <c r="D19" s="33"/>
      <c r="E19" s="13">
        <v>2</v>
      </c>
      <c r="F19" s="9"/>
      <c r="G19" s="3" t="e">
        <f>VLOOKUP(F19,ESPNScores!$A$2:$B$133,2,FALSE)</f>
        <v>#N/A</v>
      </c>
      <c r="H19" s="9"/>
      <c r="I19" s="3" t="e">
        <f>VLOOKUP(H19,ESPNScores!$A$2:$B$133,2,FALSE)</f>
        <v>#N/A</v>
      </c>
      <c r="J19" s="9"/>
      <c r="K19" s="3" t="e">
        <f>VLOOKUP(J19,ESPNScores!$A$2:$B$133,2,FALSE)</f>
        <v>#N/A</v>
      </c>
      <c r="L19" s="9"/>
      <c r="M19" s="3" t="e">
        <f>VLOOKUP(L19,ESPNScores!$A$2:$B$133,2,FALSE)</f>
        <v>#N/A</v>
      </c>
      <c r="N19" s="9"/>
      <c r="O19" s="3" t="e">
        <f>VLOOKUP(N19,ESPNScores!$A$2:$B$133,2,FALSE)</f>
        <v>#N/A</v>
      </c>
      <c r="P19" s="9"/>
      <c r="Q19" s="3" t="e">
        <f>VLOOKUP(P19,ESPNScores!$A$2:$B$133,2,FALSE)</f>
        <v>#N/A</v>
      </c>
      <c r="R19" s="9"/>
      <c r="S19" s="3" t="e">
        <f>VLOOKUP(R19,ESPNScores!$A$2:$B$133,2,FALSE)</f>
        <v>#N/A</v>
      </c>
      <c r="T19" s="9"/>
      <c r="U19" s="3" t="e">
        <f>VLOOKUP(T19,ESPNScores!$A$2:$B$133,2,FALSE)</f>
        <v>#N/A</v>
      </c>
    </row>
    <row r="20" spans="2:35" ht="14.5" x14ac:dyDescent="0.35">
      <c r="B20" s="43" t="str">
        <v>Jeff Richard</v>
      </c>
      <c r="C20" s="44" t="e">
        <v>#NUM!</v>
      </c>
      <c r="D20" s="33"/>
      <c r="E20" s="13">
        <v>3</v>
      </c>
      <c r="F20" s="9"/>
      <c r="G20" s="3" t="e">
        <f>VLOOKUP(F20,ESPNScores!$A$2:$B$133,2,FALSE)</f>
        <v>#N/A</v>
      </c>
      <c r="H20" s="9"/>
      <c r="I20" s="3" t="e">
        <f>VLOOKUP(H20,ESPNScores!$A$2:$B$133,2,FALSE)</f>
        <v>#N/A</v>
      </c>
      <c r="J20" s="9"/>
      <c r="K20" s="3" t="e">
        <f>VLOOKUP(J20,ESPNScores!$A$2:$B$133,2,FALSE)</f>
        <v>#N/A</v>
      </c>
      <c r="L20" s="9"/>
      <c r="M20" s="3" t="e">
        <f>VLOOKUP(L20,ESPNScores!$A$2:$B$133,2,FALSE)</f>
        <v>#N/A</v>
      </c>
      <c r="N20" s="9"/>
      <c r="O20" s="3" t="e">
        <f>VLOOKUP(N20,ESPNScores!$A$2:$B$133,2,FALSE)</f>
        <v>#N/A</v>
      </c>
      <c r="P20" s="9"/>
      <c r="Q20" s="3" t="e">
        <f>VLOOKUP(P20,ESPNScores!$A$2:$B$133,2,FALSE)</f>
        <v>#N/A</v>
      </c>
      <c r="R20" s="9"/>
      <c r="S20" s="3" t="e">
        <f>VLOOKUP(R20,ESPNScores!$A$2:$B$133,2,FALSE)</f>
        <v>#N/A</v>
      </c>
      <c r="T20" s="9"/>
      <c r="U20" s="3" t="e">
        <f>VLOOKUP(T20,ESPNScores!$A$2:$B$133,2,FALSE)</f>
        <v>#N/A</v>
      </c>
    </row>
    <row r="21" spans="2:35" ht="14.5" x14ac:dyDescent="0.35">
      <c r="B21" s="43" t="str">
        <v>Rob Rakusin</v>
      </c>
      <c r="C21" s="44" t="e">
        <v>#NUM!</v>
      </c>
      <c r="D21" s="33"/>
      <c r="E21" s="13">
        <v>4</v>
      </c>
      <c r="F21" s="9"/>
      <c r="G21" s="3" t="e">
        <f>VLOOKUP(F21,ESPNScores!$A$2:$B$133,2,FALSE)</f>
        <v>#N/A</v>
      </c>
      <c r="H21" s="9"/>
      <c r="I21" s="3" t="e">
        <f>VLOOKUP(H21,ESPNScores!$A$2:$B$133,2,FALSE)</f>
        <v>#N/A</v>
      </c>
      <c r="J21" s="9"/>
      <c r="K21" s="3" t="e">
        <f>VLOOKUP(J21,ESPNScores!$A$2:$B$133,2,FALSE)</f>
        <v>#N/A</v>
      </c>
      <c r="L21" s="9"/>
      <c r="M21" s="3" t="e">
        <f>VLOOKUP(L21,ESPNScores!$A$2:$B$133,2,FALSE)</f>
        <v>#N/A</v>
      </c>
      <c r="N21" s="9"/>
      <c r="O21" s="3" t="e">
        <f>VLOOKUP(N21,ESPNScores!$A$2:$B$133,2,FALSE)</f>
        <v>#N/A</v>
      </c>
      <c r="P21" s="9"/>
      <c r="Q21" s="3" t="e">
        <f>VLOOKUP(P21,ESPNScores!$A$2:$B$133,2,FALSE)</f>
        <v>#N/A</v>
      </c>
      <c r="R21" s="9"/>
      <c r="S21" s="3" t="e">
        <f>VLOOKUP(R21,ESPNScores!$A$2:$B$133,2,FALSE)</f>
        <v>#N/A</v>
      </c>
      <c r="T21" s="9"/>
      <c r="U21" s="3" t="e">
        <f>VLOOKUP(T21,ESPNScores!$A$2:$B$133,2,FALSE)</f>
        <v>#N/A</v>
      </c>
    </row>
    <row r="22" spans="2:35" ht="14.5" x14ac:dyDescent="0.35">
      <c r="B22" s="43" t="str">
        <v>Leonard Howell</v>
      </c>
      <c r="C22" s="44" t="e">
        <v>#NUM!</v>
      </c>
      <c r="D22" s="33"/>
      <c r="E22" s="13">
        <v>5</v>
      </c>
      <c r="G22" s="3" t="e">
        <f>VLOOKUP(F22,ESPNScores!$A$2:$B$133,2,FALSE)</f>
        <v>#N/A</v>
      </c>
      <c r="H22" s="54"/>
      <c r="I22" s="3" t="e">
        <f>VLOOKUP(H22,ESPNScores!$A$2:$B$133,2,FALSE)</f>
        <v>#N/A</v>
      </c>
      <c r="J22" s="9"/>
      <c r="K22" s="3" t="e">
        <f>VLOOKUP(J22,ESPNScores!$A$2:$B$133,2,FALSE)</f>
        <v>#N/A</v>
      </c>
      <c r="L22" s="9"/>
      <c r="M22" s="3" t="e">
        <f>VLOOKUP(L22,ESPNScores!$A$2:$B$133,2,FALSE)</f>
        <v>#N/A</v>
      </c>
      <c r="N22" s="9"/>
      <c r="O22" s="3" t="e">
        <f>VLOOKUP(N22,ESPNScores!$A$2:$B$133,2,FALSE)</f>
        <v>#N/A</v>
      </c>
      <c r="P22" s="9"/>
      <c r="Q22" s="3" t="e">
        <f>VLOOKUP(P22,ESPNScores!$A$2:$B$133,2,FALSE)</f>
        <v>#N/A</v>
      </c>
      <c r="R22" s="29"/>
      <c r="S22" s="3" t="e">
        <f>VLOOKUP(R22,ESPNScores!$A$2:$B$133,2,FALSE)</f>
        <v>#N/A</v>
      </c>
      <c r="T22" s="9"/>
      <c r="U22" s="3" t="e">
        <f>VLOOKUP(T22,ESPNScores!$A$2:$B$133,2,FALSE)</f>
        <v>#N/A</v>
      </c>
    </row>
    <row r="23" spans="2:35" ht="14.5" x14ac:dyDescent="0.35">
      <c r="B23" s="43" t="str">
        <v>Kevin Eliason</v>
      </c>
      <c r="C23" s="44" t="e">
        <v>#NUM!</v>
      </c>
      <c r="D23" s="33"/>
      <c r="E23" s="13">
        <v>6</v>
      </c>
      <c r="F23" s="9"/>
      <c r="G23" s="3" t="e">
        <f>VLOOKUP(F23,ESPNScores!$A$2:$B$133,2,FALSE)</f>
        <v>#N/A</v>
      </c>
      <c r="H23" s="9"/>
      <c r="I23" s="3" t="e">
        <f>VLOOKUP(H23,ESPNScores!$A$2:$B$133,2,FALSE)</f>
        <v>#N/A</v>
      </c>
      <c r="J23" s="9"/>
      <c r="K23" s="3" t="e">
        <f>VLOOKUP(J23,ESPNScores!$A$2:$B$133,2,FALSE)</f>
        <v>#N/A</v>
      </c>
      <c r="L23" s="9"/>
      <c r="M23" s="3" t="e">
        <f>VLOOKUP(L23,ESPNScores!$A$2:$B$133,2,FALSE)</f>
        <v>#N/A</v>
      </c>
      <c r="N23" s="9"/>
      <c r="O23" s="3" t="e">
        <f>VLOOKUP(N23,ESPNScores!$A$2:$B$133,2,FALSE)</f>
        <v>#N/A</v>
      </c>
      <c r="P23" s="9"/>
      <c r="Q23" s="3" t="e">
        <f>VLOOKUP(P23,ESPNScores!$A$2:$B$133,2,FALSE)</f>
        <v>#N/A</v>
      </c>
      <c r="R23" s="9"/>
      <c r="S23" s="3" t="e">
        <f>VLOOKUP(R23,ESPNScores!$A$2:$B$133,2,FALSE)</f>
        <v>#N/A</v>
      </c>
      <c r="T23" s="9"/>
      <c r="U23" s="3" t="e">
        <f>VLOOKUP(T23,ESPNScores!$A$2:$B$133,2,FALSE)</f>
        <v>#N/A</v>
      </c>
    </row>
    <row r="24" spans="2:35" ht="14.5" x14ac:dyDescent="0.35">
      <c r="B24" s="43" t="str">
        <v>Ben Balme</v>
      </c>
      <c r="C24" s="44" t="e">
        <v>#NUM!</v>
      </c>
      <c r="D24" s="33"/>
      <c r="E24" s="13">
        <v>7</v>
      </c>
      <c r="F24" s="9"/>
      <c r="G24" s="3" t="e">
        <f>VLOOKUP(F24,ESPNScores!$A$2:$B$133,2,FALSE)</f>
        <v>#N/A</v>
      </c>
      <c r="H24" s="9"/>
      <c r="I24" s="3" t="e">
        <f>VLOOKUP(H24,ESPNScores!$A$2:$B$133,2,FALSE)</f>
        <v>#N/A</v>
      </c>
      <c r="J24" s="9"/>
      <c r="K24" s="3" t="e">
        <f>VLOOKUP(J24,ESPNScores!$A$2:$B$133,2,FALSE)</f>
        <v>#N/A</v>
      </c>
      <c r="L24" s="9"/>
      <c r="M24" s="3" t="e">
        <f>VLOOKUP(L24,ESPNScores!$A$2:$B$133,2,FALSE)</f>
        <v>#N/A</v>
      </c>
      <c r="N24" s="9"/>
      <c r="O24" s="3" t="e">
        <f>VLOOKUP(N24,ESPNScores!$A$2:$B$133,2,FALSE)</f>
        <v>#N/A</v>
      </c>
      <c r="P24" s="9"/>
      <c r="Q24" s="3" t="e">
        <f>VLOOKUP(P24,ESPNScores!$A$2:$B$133,2,FALSE)</f>
        <v>#N/A</v>
      </c>
      <c r="R24" s="9"/>
      <c r="S24" s="3" t="e">
        <f>VLOOKUP(R24,ESPNScores!$A$2:$B$133,2,FALSE)</f>
        <v>#N/A</v>
      </c>
      <c r="T24" s="9"/>
      <c r="U24" s="3" t="e">
        <f>VLOOKUP(T24,ESPNScores!$A$2:$B$133,2,FALSE)</f>
        <v>#N/A</v>
      </c>
    </row>
    <row r="25" spans="2:35" ht="14.5" x14ac:dyDescent="0.35">
      <c r="B25" s="43" t="str">
        <v>Mike McElroy</v>
      </c>
      <c r="C25" s="44" t="e">
        <v>#NUM!</v>
      </c>
      <c r="D25" s="33"/>
      <c r="E25" s="13">
        <v>8</v>
      </c>
      <c r="F25" s="9"/>
      <c r="G25" s="3" t="e">
        <f>VLOOKUP(F25,ESPNScores!$A$2:$B$133,2,FALSE)</f>
        <v>#N/A</v>
      </c>
      <c r="H25" s="9"/>
      <c r="I25" s="3" t="e">
        <f>VLOOKUP(H25,ESPNScores!$A$2:$B$133,2,FALSE)</f>
        <v>#N/A</v>
      </c>
      <c r="J25" s="9"/>
      <c r="K25" s="3" t="e">
        <f>VLOOKUP(J25,ESPNScores!$A$2:$B$133,2,FALSE)</f>
        <v>#N/A</v>
      </c>
      <c r="L25" s="9"/>
      <c r="M25" s="3" t="e">
        <f>VLOOKUP(L25,ESPNScores!$A$2:$B$133,2,FALSE)</f>
        <v>#N/A</v>
      </c>
      <c r="N25" s="9"/>
      <c r="O25" s="3" t="e">
        <f>VLOOKUP(N25,ESPNScores!$A$2:$B$133,2,FALSE)</f>
        <v>#N/A</v>
      </c>
      <c r="P25" s="9"/>
      <c r="Q25" s="3" t="e">
        <f>VLOOKUP(P25,ESPNScores!$A$2:$B$133,2,FALSE)</f>
        <v>#N/A</v>
      </c>
      <c r="R25" s="9"/>
      <c r="S25" s="3" t="e">
        <f>VLOOKUP(R25,ESPNScores!$A$2:$B$133,2,FALSE)</f>
        <v>#N/A</v>
      </c>
      <c r="T25" s="9"/>
      <c r="U25" s="3" t="e">
        <f>VLOOKUP(T25,ESPNScores!$A$2:$B$133,2,FALSE)</f>
        <v>#N/A</v>
      </c>
    </row>
    <row r="26" spans="2:35" ht="14.5" x14ac:dyDescent="0.35">
      <c r="B26" s="43" t="str">
        <v>Doug Hitchman</v>
      </c>
      <c r="C26" s="44" t="e">
        <v>#NUM!</v>
      </c>
      <c r="D26" s="33"/>
      <c r="E26" s="13" t="s">
        <v>9</v>
      </c>
      <c r="F26" s="9"/>
      <c r="G26" s="3" t="e">
        <f>VLOOKUP(F26,ESPNScores!$A$2:$B$133,2,FALSE)</f>
        <v>#N/A</v>
      </c>
      <c r="H26" s="9"/>
      <c r="I26" s="3" t="e">
        <f>VLOOKUP(H26,ESPNScores!$A$2:$B$133,2,FALSE)</f>
        <v>#N/A</v>
      </c>
      <c r="J26" s="9"/>
      <c r="K26" s="3" t="e">
        <f>VLOOKUP(J26,ESPNScores!$A$2:$B$133,2,FALSE)</f>
        <v>#N/A</v>
      </c>
      <c r="L26" s="9"/>
      <c r="M26" s="3" t="e">
        <f>VLOOKUP(L26,ESPNScores!$A$2:$B$133,2,FALSE)</f>
        <v>#N/A</v>
      </c>
      <c r="N26" s="9"/>
      <c r="O26" s="3" t="e">
        <f>VLOOKUP(N26,ESPNScores!$A$2:$B$133,2,FALSE)</f>
        <v>#N/A</v>
      </c>
      <c r="P26" s="9"/>
      <c r="Q26" s="3" t="e">
        <f>VLOOKUP(P26,ESPNScores!$A$2:$B$133,2,FALSE)</f>
        <v>#N/A</v>
      </c>
      <c r="S26" s="3" t="e">
        <f>VLOOKUP(R26,ESPNScores!$A$2:$B$133,2,FALSE)</f>
        <v>#N/A</v>
      </c>
      <c r="T26" s="9"/>
      <c r="U26" s="3" t="e">
        <f>VLOOKUP(T26,ESPNScores!$A$2:$B$133,2,FALSE)</f>
        <v>#N/A</v>
      </c>
    </row>
    <row r="27" spans="2:35" ht="14.5" x14ac:dyDescent="0.35">
      <c r="B27" s="43" t="str">
        <v>Jasper Hempel</v>
      </c>
      <c r="C27" s="44" t="e">
        <v>#NUM!</v>
      </c>
      <c r="D27" s="14"/>
      <c r="E27" s="13" t="s">
        <v>10</v>
      </c>
      <c r="F27" s="53"/>
      <c r="G27" s="3" t="e">
        <f>VLOOKUP(F27,ESPNScores!$A$2:$B$133,2,FALSE)</f>
        <v>#N/A</v>
      </c>
      <c r="H27" s="9"/>
      <c r="I27" s="3" t="e">
        <f>VLOOKUP(H27,ESPNScores!$A$2:$B$133,2,FALSE)</f>
        <v>#N/A</v>
      </c>
      <c r="J27" s="9"/>
      <c r="K27" s="3" t="e">
        <f>VLOOKUP(J27,ESPNScores!$A$2:$B$133,2,FALSE)</f>
        <v>#N/A</v>
      </c>
      <c r="L27" s="29"/>
      <c r="M27" s="3" t="e">
        <f>VLOOKUP(L27,ESPNScores!$A$2:$B$133,2,FALSE)</f>
        <v>#N/A</v>
      </c>
      <c r="N27" s="9"/>
      <c r="O27" s="3" t="e">
        <f>VLOOKUP(N27,ESPNScores!$A$2:$B$133,2,FALSE)</f>
        <v>#N/A</v>
      </c>
      <c r="P27" s="29"/>
      <c r="Q27" s="3" t="e">
        <f>VLOOKUP(P27,ESPNScores!$A$2:$B$133,2,FALSE)</f>
        <v>#N/A</v>
      </c>
      <c r="R27" s="53"/>
      <c r="S27" s="3" t="e">
        <f>VLOOKUP(R27,ESPNScores!$A$2:$B$133,2,FALSE)</f>
        <v>#N/A</v>
      </c>
      <c r="T27" s="9"/>
      <c r="U27" s="3" t="e">
        <f>VLOOKUP(T27,ESPNScores!$A$2:$B$133,2,FALSE)</f>
        <v>#N/A</v>
      </c>
    </row>
    <row r="28" spans="2:35" s="7" customFormat="1" ht="14.5" x14ac:dyDescent="0.35">
      <c r="B28" s="43" t="str">
        <v>Carol Langer</v>
      </c>
      <c r="C28" s="44" t="e">
        <v>#NUM!</v>
      </c>
      <c r="D28" s="50"/>
      <c r="E28" s="14"/>
      <c r="F28" s="78"/>
      <c r="G28" s="3" t="e">
        <f>VLOOKUP(F28,ESPNScores!$A$2:$B$133,2,FALSE)</f>
        <v>#N/A</v>
      </c>
      <c r="H28" s="78"/>
      <c r="I28" s="3" t="e">
        <f>VLOOKUP(H28,ESPNScores!$A$2:$B$133,2,FALSE)</f>
        <v>#N/A</v>
      </c>
      <c r="J28" s="78"/>
      <c r="K28" s="3" t="e">
        <f>VLOOKUP(J28,ESPNScores!$A$2:$B$133,2,FALSE)</f>
        <v>#N/A</v>
      </c>
      <c r="L28" s="78"/>
      <c r="M28" s="3" t="e">
        <f>VLOOKUP(L28,ESPNScores!$A$2:$B$133,2,FALSE)</f>
        <v>#N/A</v>
      </c>
      <c r="N28" s="78"/>
      <c r="O28" s="3" t="e">
        <f>VLOOKUP(N28,ESPNScores!$A$2:$B$133,2,FALSE)</f>
        <v>#N/A</v>
      </c>
      <c r="P28" s="78"/>
      <c r="Q28" s="3" t="e">
        <f>VLOOKUP(P28,ESPNScores!$A$2:$B$133,2,FALSE)</f>
        <v>#N/A</v>
      </c>
      <c r="R28" s="78"/>
      <c r="S28" s="3" t="e">
        <f>VLOOKUP(R28,ESPNScores!$A$2:$B$133,2,FALSE)</f>
        <v>#N/A</v>
      </c>
      <c r="T28" s="78"/>
      <c r="U28" s="3" t="e">
        <f>VLOOKUP(T28,ESPNScores!$A$2:$B$133,2,FALSE)</f>
        <v>#N/A</v>
      </c>
      <c r="V28"/>
      <c r="W28"/>
      <c r="X28"/>
      <c r="Y28"/>
      <c r="Z28"/>
      <c r="AA28"/>
      <c r="AB28"/>
      <c r="AC28"/>
      <c r="AD28"/>
      <c r="AE28"/>
      <c r="AF28"/>
      <c r="AG28"/>
      <c r="AH28"/>
      <c r="AI28"/>
    </row>
    <row r="29" spans="2:35" x14ac:dyDescent="0.25">
      <c r="B29" s="43" t="str">
        <v>Gary Weiss</v>
      </c>
      <c r="C29" s="44" t="e">
        <v>#NUM!</v>
      </c>
      <c r="D29" s="50"/>
      <c r="F29" s="24"/>
      <c r="W29"/>
    </row>
    <row r="30" spans="2:35" ht="13" x14ac:dyDescent="0.3">
      <c r="B30" s="43" t="str">
        <v>Mark Steigmeyer</v>
      </c>
      <c r="C30" s="44" t="e">
        <v>#NUM!</v>
      </c>
      <c r="D30" s="14"/>
      <c r="E30" s="12"/>
      <c r="F30" s="10" t="s">
        <v>206</v>
      </c>
      <c r="G30" s="11" t="e" cm="1">
        <f t="array" ref="G30">SUM(SMALL(IF(ISNUMBER(G31:G41), G31:G41), {1,2,3,4,5}))</f>
        <v>#NUM!</v>
      </c>
      <c r="H30" s="10" t="s">
        <v>207</v>
      </c>
      <c r="I30" s="11" t="e" cm="1">
        <f t="array" ref="I30">SUM(SMALL(IF(ISNUMBER(I31:I41), I31:I41), {1,2,3,4,5}))</f>
        <v>#NUM!</v>
      </c>
      <c r="J30" s="10" t="s">
        <v>208</v>
      </c>
      <c r="K30" s="11" t="e" cm="1">
        <f t="array" ref="K30">SUM(SMALL(IF(ISNUMBER(K31:K41), K31:K41), {1,2,3,4,5}))</f>
        <v>#NUM!</v>
      </c>
      <c r="L30" s="10" t="s">
        <v>209</v>
      </c>
      <c r="M30" s="11" t="e" cm="1">
        <f t="array" ref="M30">SUM(SMALL(IF(ISNUMBER(M31:M41), M31:M41), {1,2,3,4,5}))</f>
        <v>#NUM!</v>
      </c>
      <c r="N30" s="10" t="s">
        <v>210</v>
      </c>
      <c r="O30" s="11" t="e" cm="1">
        <f t="array" ref="O30">SUM(SMALL(IF(ISNUMBER(O31:O41), O31:O41), {1,2,3,4,5}))</f>
        <v>#NUM!</v>
      </c>
      <c r="P30" s="10" t="s">
        <v>211</v>
      </c>
      <c r="Q30" s="11" t="e" cm="1">
        <f t="array" ref="Q30">SUM(SMALL(IF(ISNUMBER(Q31:Q41), Q31:Q41), {1,2,3,4,5}))</f>
        <v>#NUM!</v>
      </c>
      <c r="R30" s="10" t="s">
        <v>205</v>
      </c>
      <c r="S30" s="11" t="e" cm="1">
        <f t="array" ref="S30">SUM(SMALL(IF(ISNUMBER(S31:S41), S31:S41), {1,2,3,4,5}))</f>
        <v>#NUM!</v>
      </c>
      <c r="T30" s="10" t="s">
        <v>204</v>
      </c>
      <c r="U30" s="11" t="e" cm="1">
        <f t="array" ref="U30">SUM(SMALL(IF(ISNUMBER(U31:U41), U31:U41), {1,2,3,4,5}))</f>
        <v>#NUM!</v>
      </c>
      <c r="W30"/>
      <c r="AA30" s="7"/>
      <c r="AB30" s="7"/>
      <c r="AC30" s="7"/>
      <c r="AD30" s="7"/>
      <c r="AE30" s="7"/>
      <c r="AF30" s="7"/>
      <c r="AG30" s="7"/>
      <c r="AH30" s="7"/>
      <c r="AI30" s="7"/>
    </row>
    <row r="31" spans="2:35" ht="14.5" x14ac:dyDescent="0.35">
      <c r="B31" s="43" t="str">
        <v>Jerry Stabile</v>
      </c>
      <c r="C31" s="44" t="e">
        <v>#NUM!</v>
      </c>
      <c r="D31" s="44"/>
      <c r="E31" s="13">
        <v>1</v>
      </c>
      <c r="F31" s="9"/>
      <c r="G31" s="3" t="e">
        <f>VLOOKUP(F31,ESPNScores!$A$2:$B$133,2,FALSE)</f>
        <v>#N/A</v>
      </c>
      <c r="I31" s="3" t="e">
        <f>VLOOKUP(H31,ESPNScores!$A$2:$B$133,2,FALSE)</f>
        <v>#N/A</v>
      </c>
      <c r="J31" s="9"/>
      <c r="K31" s="3" t="e">
        <f>VLOOKUP(J31,ESPNScores!$A$2:$B$133,2,FALSE)</f>
        <v>#N/A</v>
      </c>
      <c r="L31" s="9"/>
      <c r="M31" s="3" t="e">
        <f>VLOOKUP(L31,ESPNScores!$A$2:$B$133,2,FALSE)</f>
        <v>#N/A</v>
      </c>
      <c r="N31" s="9"/>
      <c r="O31" s="3" t="e">
        <f>VLOOKUP(N31,ESPNScores!$A$2:$B$133,2,FALSE)</f>
        <v>#N/A</v>
      </c>
      <c r="P31" s="9"/>
      <c r="Q31" s="3" t="e">
        <f>VLOOKUP(P31,ESPNScores!$A$2:$B$133,2,FALSE)</f>
        <v>#N/A</v>
      </c>
      <c r="R31" s="9"/>
      <c r="S31" s="3" t="e">
        <f>VLOOKUP(R31,ESPNScores!$A$2:$B$133,2,FALSE)</f>
        <v>#N/A</v>
      </c>
      <c r="T31" s="9"/>
      <c r="U31" s="3" t="e">
        <f>VLOOKUP(T31,ESPNScores!$A$2:$B$133,2,FALSE)</f>
        <v>#N/A</v>
      </c>
      <c r="W31"/>
    </row>
    <row r="32" spans="2:35" ht="14.5" x14ac:dyDescent="0.35">
      <c r="B32" s="43" t="str">
        <v>Rod Cruickshank</v>
      </c>
      <c r="C32" s="44" t="e">
        <v>#NUM!</v>
      </c>
      <c r="D32" s="51"/>
      <c r="E32" s="13">
        <v>2</v>
      </c>
      <c r="F32" s="9"/>
      <c r="G32" s="3" t="e">
        <f>VLOOKUP(F32,ESPNScores!$A$2:$B$133,2,FALSE)</f>
        <v>#N/A</v>
      </c>
      <c r="H32" s="9"/>
      <c r="I32" s="3" t="e">
        <f>VLOOKUP(H32,ESPNScores!$A$2:$B$133,2,FALSE)</f>
        <v>#N/A</v>
      </c>
      <c r="J32" s="9"/>
      <c r="K32" s="3" t="e">
        <f>VLOOKUP(J32,ESPNScores!$A$2:$B$133,2,FALSE)</f>
        <v>#N/A</v>
      </c>
      <c r="L32" s="9"/>
      <c r="M32" s="3" t="e">
        <f>VLOOKUP(L32,ESPNScores!$A$2:$B$133,2,FALSE)</f>
        <v>#N/A</v>
      </c>
      <c r="N32" s="9"/>
      <c r="O32" s="3" t="e">
        <f>VLOOKUP(N32,ESPNScores!$A$2:$B$133,2,FALSE)</f>
        <v>#N/A</v>
      </c>
      <c r="P32" s="9"/>
      <c r="Q32" s="3" t="e">
        <f>VLOOKUP(P32,ESPNScores!$A$2:$B$133,2,FALSE)</f>
        <v>#N/A</v>
      </c>
      <c r="R32" s="9"/>
      <c r="S32" s="3" t="e">
        <f>VLOOKUP(R32,ESPNScores!$A$2:$B$133,2,FALSE)</f>
        <v>#N/A</v>
      </c>
      <c r="T32" s="9"/>
      <c r="U32" s="3" t="e">
        <f>VLOOKUP(T32,ESPNScores!$A$2:$B$133,2,FALSE)</f>
        <v>#N/A</v>
      </c>
      <c r="W32"/>
    </row>
    <row r="33" spans="2:24" ht="14.5" x14ac:dyDescent="0.35">
      <c r="B33" s="43" t="str">
        <v>Kevin Isaacson</v>
      </c>
      <c r="C33" s="44" t="e">
        <v>#NUM!</v>
      </c>
      <c r="D33" s="51"/>
      <c r="E33" s="13">
        <v>3</v>
      </c>
      <c r="F33" s="9"/>
      <c r="G33" s="3" t="e">
        <f>VLOOKUP(F33,ESPNScores!$A$2:$B$133,2,FALSE)</f>
        <v>#N/A</v>
      </c>
      <c r="H33" s="9"/>
      <c r="I33" s="3" t="e">
        <f>VLOOKUP(H33,ESPNScores!$A$2:$B$133,2,FALSE)</f>
        <v>#N/A</v>
      </c>
      <c r="J33" s="9"/>
      <c r="K33" s="3" t="e">
        <f>VLOOKUP(J33,ESPNScores!$A$2:$B$133,2,FALSE)</f>
        <v>#N/A</v>
      </c>
      <c r="L33" s="9"/>
      <c r="M33" s="3" t="e">
        <f>VLOOKUP(L33,ESPNScores!$A$2:$B$133,2,FALSE)</f>
        <v>#N/A</v>
      </c>
      <c r="N33" s="9"/>
      <c r="O33" s="3" t="e">
        <f>VLOOKUP(N33,ESPNScores!$A$2:$B$133,2,FALSE)</f>
        <v>#N/A</v>
      </c>
      <c r="P33" s="9"/>
      <c r="Q33" s="3" t="e">
        <f>VLOOKUP(P33,ESPNScores!$A$2:$B$133,2,FALSE)</f>
        <v>#N/A</v>
      </c>
      <c r="R33" s="9"/>
      <c r="S33" s="3" t="e">
        <f>VLOOKUP(R33,ESPNScores!$A$2:$B$133,2,FALSE)</f>
        <v>#N/A</v>
      </c>
      <c r="T33" s="9"/>
      <c r="U33" s="3" t="e">
        <f>VLOOKUP(T33,ESPNScores!$A$2:$B$133,2,FALSE)</f>
        <v>#N/A</v>
      </c>
      <c r="W33"/>
    </row>
    <row r="34" spans="2:24" ht="14.5" x14ac:dyDescent="0.35">
      <c r="B34" s="75" t="str">
        <v>Dan Jones</v>
      </c>
      <c r="C34" s="45" t="e">
        <v>#NUM!</v>
      </c>
      <c r="D34" s="73"/>
      <c r="E34" s="13">
        <v>4</v>
      </c>
      <c r="F34" s="9"/>
      <c r="G34" s="3" t="e">
        <f>VLOOKUP(F34,ESPNScores!$A$2:$B$133,2,FALSE)</f>
        <v>#N/A</v>
      </c>
      <c r="H34" s="9"/>
      <c r="I34" s="3" t="e">
        <f>VLOOKUP(H34,ESPNScores!$A$2:$B$133,2,FALSE)</f>
        <v>#N/A</v>
      </c>
      <c r="J34" s="9"/>
      <c r="K34" s="3" t="e">
        <f>VLOOKUP(J34,ESPNScores!$A$2:$B$133,2,FALSE)</f>
        <v>#N/A</v>
      </c>
      <c r="L34" s="9"/>
      <c r="M34" s="3" t="e">
        <f>VLOOKUP(L34,ESPNScores!$A$2:$B$133,2,FALSE)</f>
        <v>#N/A</v>
      </c>
      <c r="N34" s="9"/>
      <c r="O34" s="3" t="e">
        <f>VLOOKUP(N34,ESPNScores!$A$2:$B$133,2,FALSE)</f>
        <v>#N/A</v>
      </c>
      <c r="P34" s="9"/>
      <c r="Q34" s="3" t="e">
        <f>VLOOKUP(P34,ESPNScores!$A$2:$B$133,2,FALSE)</f>
        <v>#N/A</v>
      </c>
      <c r="R34" s="9"/>
      <c r="S34" s="3" t="e">
        <f>VLOOKUP(R34,ESPNScores!$A$2:$B$133,2,FALSE)</f>
        <v>#N/A</v>
      </c>
      <c r="T34" s="9"/>
      <c r="U34" s="3" t="e">
        <f>VLOOKUP(T34,ESPNScores!$A$2:$B$133,2,FALSE)</f>
        <v>#N/A</v>
      </c>
      <c r="W34"/>
    </row>
    <row r="35" spans="2:24" ht="14.5" x14ac:dyDescent="0.35">
      <c r="E35" s="83">
        <v>5</v>
      </c>
      <c r="F35" s="9"/>
      <c r="G35" s="3" t="e">
        <f>VLOOKUP(F35,ESPNScores!$A$2:$B$133,2,FALSE)</f>
        <v>#N/A</v>
      </c>
      <c r="H35" s="9"/>
      <c r="I35" s="3" t="e">
        <f>VLOOKUP(H35,ESPNScores!$A$2:$B$133,2,FALSE)</f>
        <v>#N/A</v>
      </c>
      <c r="J35" s="29"/>
      <c r="K35" s="3" t="e">
        <f>VLOOKUP(J35,ESPNScores!$A$2:$B$133,2,FALSE)</f>
        <v>#N/A</v>
      </c>
      <c r="L35" s="29"/>
      <c r="M35" s="3" t="e">
        <f>VLOOKUP(L35,ESPNScores!$A$2:$B$133,2,FALSE)</f>
        <v>#N/A</v>
      </c>
      <c r="N35" s="29"/>
      <c r="O35" s="3" t="e">
        <f>VLOOKUP(N35,ESPNScores!$A$2:$B$133,2,FALSE)</f>
        <v>#N/A</v>
      </c>
      <c r="P35" s="9"/>
      <c r="Q35" s="3" t="e">
        <f>VLOOKUP(P35,ESPNScores!$A$2:$B$133,2,FALSE)</f>
        <v>#N/A</v>
      </c>
      <c r="R35" s="9"/>
      <c r="S35" s="3" t="e">
        <f>VLOOKUP(R35,ESPNScores!$A$2:$B$133,2,FALSE)</f>
        <v>#N/A</v>
      </c>
      <c r="T35" s="9"/>
      <c r="U35" s="3" t="e">
        <f>VLOOKUP(T35,ESPNScores!$A$2:$B$133,2,FALSE)</f>
        <v>#N/A</v>
      </c>
      <c r="W35"/>
    </row>
    <row r="36" spans="2:24" ht="14.5" x14ac:dyDescent="0.35">
      <c r="B36" s="46" t="s">
        <v>107</v>
      </c>
      <c r="E36" s="83">
        <v>6</v>
      </c>
      <c r="F36" s="9"/>
      <c r="G36" s="3" t="e">
        <f>VLOOKUP(F36,ESPNScores!$A$2:$B$133,2,FALSE)</f>
        <v>#N/A</v>
      </c>
      <c r="H36" s="9"/>
      <c r="I36" s="3" t="e">
        <f>VLOOKUP(H36,ESPNScores!$A$2:$B$133,2,FALSE)</f>
        <v>#N/A</v>
      </c>
      <c r="J36" s="9"/>
      <c r="K36" s="3" t="e">
        <f>VLOOKUP(J36,ESPNScores!$A$2:$B$133,2,FALSE)</f>
        <v>#N/A</v>
      </c>
      <c r="L36" s="9"/>
      <c r="M36" s="3" t="e">
        <f>VLOOKUP(L36,ESPNScores!$A$2:$B$133,2,FALSE)</f>
        <v>#N/A</v>
      </c>
      <c r="N36" s="9"/>
      <c r="O36" s="3" t="e">
        <f>VLOOKUP(N36,ESPNScores!$A$2:$B$133,2,FALSE)</f>
        <v>#N/A</v>
      </c>
      <c r="P36" s="9"/>
      <c r="Q36" s="3" t="e">
        <f>VLOOKUP(P36,ESPNScores!$A$2:$B$133,2,FALSE)</f>
        <v>#N/A</v>
      </c>
      <c r="R36" s="9"/>
      <c r="S36" s="3" t="e">
        <f>VLOOKUP(R36,ESPNScores!$A$2:$B$133,2,FALSE)</f>
        <v>#N/A</v>
      </c>
      <c r="T36" s="9"/>
      <c r="U36" s="3" t="e">
        <f>VLOOKUP(T36,ESPNScores!$A$2:$B$133,2,FALSE)</f>
        <v>#N/A</v>
      </c>
      <c r="W36"/>
    </row>
    <row r="37" spans="2:24" ht="14.5" x14ac:dyDescent="0.35">
      <c r="B37" s="106" t="str">
        <f>ESPNScores!A2</f>
        <v>Scottie Scheffler</v>
      </c>
      <c r="C37" s="77">
        <f>ESPNScores!B2</f>
        <v>-21</v>
      </c>
      <c r="E37" s="83">
        <v>7</v>
      </c>
      <c r="F37" s="9"/>
      <c r="G37" s="3" t="e">
        <f>VLOOKUP(F37,ESPNScores!$A$2:$B$133,2,FALSE)</f>
        <v>#N/A</v>
      </c>
      <c r="H37" s="9"/>
      <c r="I37" s="3" t="e">
        <f>VLOOKUP(H37,ESPNScores!$A$2:$B$133,2,FALSE)</f>
        <v>#N/A</v>
      </c>
      <c r="J37" s="9"/>
      <c r="K37" s="3" t="e">
        <f>VLOOKUP(J37,ESPNScores!$A$2:$B$133,2,FALSE)</f>
        <v>#N/A</v>
      </c>
      <c r="L37" s="9"/>
      <c r="M37" s="3" t="e">
        <f>VLOOKUP(L37,ESPNScores!$A$2:$B$133,2,FALSE)</f>
        <v>#N/A</v>
      </c>
      <c r="N37" s="9"/>
      <c r="O37" s="3" t="e">
        <f>VLOOKUP(N37,ESPNScores!$A$2:$B$133,2,FALSE)</f>
        <v>#N/A</v>
      </c>
      <c r="P37" s="9"/>
      <c r="Q37" s="3" t="e">
        <f>VLOOKUP(P37,ESPNScores!$A$2:$B$133,2,FALSE)</f>
        <v>#N/A</v>
      </c>
      <c r="R37" s="9"/>
      <c r="S37" s="3" t="e">
        <f>VLOOKUP(R37,ESPNScores!$A$2:$B$133,2,FALSE)</f>
        <v>#N/A</v>
      </c>
      <c r="T37" s="9"/>
      <c r="U37" s="3" t="e">
        <f>VLOOKUP(T37,ESPNScores!$A$2:$B$133,2,FALSE)</f>
        <v>#N/A</v>
      </c>
      <c r="W37"/>
    </row>
    <row r="38" spans="2:24" ht="14.5" x14ac:dyDescent="0.35">
      <c r="B38" s="106" t="str">
        <f>ESPNScores!A3</f>
        <v>Viktor Hovland</v>
      </c>
      <c r="C38" s="77">
        <f>ESPNScores!B3</f>
        <v>-21</v>
      </c>
      <c r="E38" s="83">
        <v>8</v>
      </c>
      <c r="F38" s="9"/>
      <c r="G38" s="3" t="e">
        <f>VLOOKUP(F38,ESPNScores!$A$2:$B$133,2,FALSE)</f>
        <v>#N/A</v>
      </c>
      <c r="H38" s="9"/>
      <c r="I38" s="3" t="e">
        <f>VLOOKUP(H38,ESPNScores!$A$2:$B$133,2,FALSE)</f>
        <v>#N/A</v>
      </c>
      <c r="J38" s="9"/>
      <c r="K38" s="3" t="e">
        <f>VLOOKUP(J38,ESPNScores!$A$2:$B$133,2,FALSE)</f>
        <v>#N/A</v>
      </c>
      <c r="L38" s="9"/>
      <c r="M38" s="3" t="e">
        <f>VLOOKUP(L38,ESPNScores!$A$2:$B$133,2,FALSE)</f>
        <v>#N/A</v>
      </c>
      <c r="N38" s="9"/>
      <c r="O38" s="3" t="e">
        <f>VLOOKUP(N38,ESPNScores!$A$2:$B$133,2,FALSE)</f>
        <v>#N/A</v>
      </c>
      <c r="P38" s="9"/>
      <c r="Q38" s="3" t="e">
        <f>VLOOKUP(P38,ESPNScores!$A$2:$B$133,2,FALSE)</f>
        <v>#N/A</v>
      </c>
      <c r="R38" s="9"/>
      <c r="S38" s="3" t="e">
        <f>VLOOKUP(R38,ESPNScores!$A$2:$B$133,2,FALSE)</f>
        <v>#N/A</v>
      </c>
      <c r="T38" s="9"/>
      <c r="U38" s="3" t="e">
        <f>VLOOKUP(T38,ESPNScores!$A$2:$B$133,2,FALSE)</f>
        <v>#N/A</v>
      </c>
      <c r="W38"/>
    </row>
    <row r="39" spans="2:24" ht="14.5" x14ac:dyDescent="0.35">
      <c r="B39" s="106" t="str">
        <f>ESPNScores!A4</f>
        <v>Collin Morikawa</v>
      </c>
      <c r="C39" s="77">
        <f>ESPNScores!B4</f>
        <v>-20</v>
      </c>
      <c r="E39" s="83" t="s">
        <v>9</v>
      </c>
      <c r="F39" s="53"/>
      <c r="G39" s="3" t="e">
        <f>VLOOKUP(F39,ESPNScores!$A$2:$B$133,2,FALSE)</f>
        <v>#N/A</v>
      </c>
      <c r="H39" s="9"/>
      <c r="I39" s="3" t="e">
        <f>VLOOKUP(H39,ESPNScores!$A$2:$B$133,2,FALSE)</f>
        <v>#N/A</v>
      </c>
      <c r="J39" s="9"/>
      <c r="K39" s="3" t="e">
        <f>VLOOKUP(J39,ESPNScores!$A$2:$B$133,2,FALSE)</f>
        <v>#N/A</v>
      </c>
      <c r="L39" s="29"/>
      <c r="M39" s="3" t="e">
        <f>VLOOKUP(L39,ESPNScores!$A$2:$B$133,2,FALSE)</f>
        <v>#N/A</v>
      </c>
      <c r="N39" s="9"/>
      <c r="O39" s="3" t="e">
        <f>VLOOKUP(N39,ESPNScores!$A$2:$B$133,2,FALSE)</f>
        <v>#N/A</v>
      </c>
      <c r="P39" s="9"/>
      <c r="Q39" s="3" t="e">
        <f>VLOOKUP(P39,ESPNScores!$A$2:$B$133,2,FALSE)</f>
        <v>#N/A</v>
      </c>
      <c r="R39" s="9"/>
      <c r="S39" s="3" t="e">
        <f>VLOOKUP(R39,ESPNScores!$A$2:$B$133,2,FALSE)</f>
        <v>#N/A</v>
      </c>
      <c r="T39" s="9"/>
      <c r="U39" s="3" t="e">
        <f>VLOOKUP(T39,ESPNScores!$A$2:$B$133,2,FALSE)</f>
        <v>#N/A</v>
      </c>
      <c r="W39"/>
    </row>
    <row r="40" spans="2:24" ht="14.5" x14ac:dyDescent="0.35">
      <c r="B40" s="106" t="str">
        <f>ESPNScores!A5</f>
        <v>Matt Fitzpatrick</v>
      </c>
      <c r="C40" s="77">
        <f>ESPNScores!B5</f>
        <v>-19</v>
      </c>
      <c r="E40" s="83" t="s">
        <v>10</v>
      </c>
      <c r="F40" s="53"/>
      <c r="G40" s="3" t="e">
        <f>VLOOKUP(F40,ESPNScores!$A$2:$B$133,2,FALSE)</f>
        <v>#N/A</v>
      </c>
      <c r="H40" s="53"/>
      <c r="I40" s="3" t="e">
        <f>VLOOKUP(H40,ESPNScores!$A$2:$B$133,2,FALSE)</f>
        <v>#N/A</v>
      </c>
      <c r="J40" s="9"/>
      <c r="K40" s="3" t="e">
        <f>VLOOKUP(J40,ESPNScores!$A$2:$B$133,2,FALSE)</f>
        <v>#N/A</v>
      </c>
      <c r="L40" s="53"/>
      <c r="M40" s="3" t="e">
        <f>VLOOKUP(L40,ESPNScores!$A$2:$B$133,2,FALSE)</f>
        <v>#N/A</v>
      </c>
      <c r="N40" s="9"/>
      <c r="O40" s="3" t="e">
        <f>VLOOKUP(N40,ESPNScores!$A$2:$B$133,2,FALSE)</f>
        <v>#N/A</v>
      </c>
      <c r="P40" s="53"/>
      <c r="Q40" s="3" t="e">
        <f>VLOOKUP(P40,ESPNScores!$A$2:$B$133,2,FALSE)</f>
        <v>#N/A</v>
      </c>
      <c r="R40" s="53"/>
      <c r="S40" s="3" t="e">
        <f>VLOOKUP(R40,ESPNScores!$A$2:$B$133,2,FALSE)</f>
        <v>#N/A</v>
      </c>
      <c r="T40" s="9"/>
      <c r="U40" s="3" t="e">
        <f>VLOOKUP(T40,ESPNScores!$A$2:$B$133,2,FALSE)</f>
        <v>#N/A</v>
      </c>
      <c r="W40"/>
    </row>
    <row r="41" spans="2:24" ht="14.5" x14ac:dyDescent="0.35">
      <c r="B41" s="106" t="str">
        <f>ESPNScores!A6</f>
        <v>Wyndham Clark</v>
      </c>
      <c r="C41" s="77">
        <f>ESPNScores!B6</f>
        <v>-18</v>
      </c>
      <c r="E41" s="84"/>
      <c r="F41" s="81"/>
      <c r="G41" s="3" t="e">
        <f>VLOOKUP(F41,ESPNScores!$A$2:$B$133,2,FALSE)</f>
        <v>#N/A</v>
      </c>
      <c r="H41" s="78"/>
      <c r="I41" s="3" t="e">
        <f>VLOOKUP(H41,ESPNScores!$A$2:$B$133,2,FALSE)</f>
        <v>#N/A</v>
      </c>
      <c r="J41" s="78"/>
      <c r="K41" s="3" t="e">
        <f>VLOOKUP(J41,ESPNScores!$A$2:$B$133,2,FALSE)</f>
        <v>#N/A</v>
      </c>
      <c r="L41" s="78"/>
      <c r="M41" s="3" t="e">
        <f>VLOOKUP(L41,ESPNScores!$A$2:$B$133,2,FALSE)</f>
        <v>#N/A</v>
      </c>
      <c r="N41" s="78"/>
      <c r="O41" s="3" t="e">
        <f>VLOOKUP(N41,ESPNScores!$A$2:$B$133,2,FALSE)</f>
        <v>#N/A</v>
      </c>
      <c r="P41" s="53"/>
      <c r="Q41" s="3" t="e">
        <f>VLOOKUP(P41,ESPNScores!$A$2:$B$133,2,FALSE)</f>
        <v>#N/A</v>
      </c>
      <c r="R41" s="78"/>
      <c r="S41" s="3" t="e">
        <f>VLOOKUP(R41,ESPNScores!$A$2:$B$133,2,FALSE)</f>
        <v>#N/A</v>
      </c>
      <c r="T41" s="78"/>
      <c r="U41" s="3" t="e">
        <f>VLOOKUP(T41,ESPNScores!$A$2:$B$133,2,FALSE)</f>
        <v>#N/A</v>
      </c>
      <c r="W41" s="115"/>
      <c r="X41" s="114"/>
    </row>
    <row r="42" spans="2:24" x14ac:dyDescent="0.25">
      <c r="B42" s="106" t="str">
        <f>ESPNScores!A7</f>
        <v>Akshay Bhatia</v>
      </c>
      <c r="C42" s="77">
        <f>ESPNScores!B7</f>
        <v>-18</v>
      </c>
      <c r="E42" s="51"/>
      <c r="F42" s="24"/>
      <c r="W42" s="115"/>
      <c r="X42" s="114"/>
    </row>
    <row r="43" spans="2:24" ht="13" x14ac:dyDescent="0.3">
      <c r="B43" s="106" t="str">
        <f>ESPNScores!A8</f>
        <v>Corey Conners</v>
      </c>
      <c r="C43" s="77">
        <f>ESPNScores!B8</f>
        <v>-17</v>
      </c>
      <c r="E43" s="82"/>
      <c r="F43" s="10" t="s">
        <v>212</v>
      </c>
      <c r="G43" s="11" t="e" cm="1">
        <f t="array" ref="G43">SUM(SMALL(IF(ISNUMBER(G44:G54), G44:G54), {1,2,3,4,5}))</f>
        <v>#NUM!</v>
      </c>
      <c r="H43" s="10" t="s">
        <v>213</v>
      </c>
      <c r="I43" s="11" t="e" cm="1">
        <f t="array" ref="I43">SUM(SMALL(IF(ISNUMBER(I44:I54), I44:I54), {1,2,3,4,5}))</f>
        <v>#NUM!</v>
      </c>
      <c r="J43" s="10" t="s">
        <v>214</v>
      </c>
      <c r="K43" s="11" t="e" cm="1">
        <f t="array" ref="K43">SUM(SMALL(IF(ISNUMBER(K44:K54), K44:K54), {1,2,3,4,5}))</f>
        <v>#NUM!</v>
      </c>
      <c r="L43" s="10" t="s">
        <v>215</v>
      </c>
      <c r="M43" s="11" t="e" cm="1">
        <f t="array" ref="M43">SUM(SMALL(IF(ISNUMBER(M44:M54), M44:M54), {1,2,3,4,5}))</f>
        <v>#NUM!</v>
      </c>
      <c r="N43" s="10" t="s">
        <v>216</v>
      </c>
      <c r="O43" s="11" t="e" cm="1">
        <f t="array" ref="O43">SUM(SMALL(IF(ISNUMBER(O44:O54), O44:O54), {1,2,3,4,5}))</f>
        <v>#NUM!</v>
      </c>
      <c r="P43" s="10" t="s">
        <v>218</v>
      </c>
      <c r="Q43" s="11" t="e" cm="1">
        <f t="array" ref="Q43">SUM(SMALL(IF(ISNUMBER(Q44:Q54), Q44:Q54), {1,2,3,4,5}))</f>
        <v>#NUM!</v>
      </c>
      <c r="R43" s="7"/>
      <c r="S43" s="1"/>
      <c r="T43" s="112" t="s">
        <v>165</v>
      </c>
      <c r="U43" s="113" cm="1">
        <f t="array" aca="1" ref="U43" ca="1">SUMPRODUCT(SMALL(U44:U53,ROW(INDIRECT("1:5"))))</f>
        <v>-98</v>
      </c>
      <c r="V43" s="7"/>
      <c r="W43" s="112" t="s">
        <v>228</v>
      </c>
      <c r="X43" s="113" t="e" cm="1">
        <f t="array" aca="1" ref="X43" ca="1">SUMPRODUCT(SMALL(X44:X53,ROW(INDIRECT("1:5"))))</f>
        <v>#N/A</v>
      </c>
    </row>
    <row r="44" spans="2:24" ht="14.5" x14ac:dyDescent="0.35">
      <c r="B44" s="106" t="str">
        <f>ESPNScores!A9</f>
        <v>Alex Fitzpatrick</v>
      </c>
      <c r="C44" s="77">
        <f>ESPNScores!B9</f>
        <v>-17</v>
      </c>
      <c r="E44" s="83">
        <v>1</v>
      </c>
      <c r="F44" s="9"/>
      <c r="G44" s="3" t="e">
        <f>VLOOKUP(F44,ESPNScores!$A$2:$B$133,2,FALSE)</f>
        <v>#N/A</v>
      </c>
      <c r="I44" s="3" t="e">
        <f>VLOOKUP(H44,ESPNScores!$A$2:$B$133,2,FALSE)</f>
        <v>#N/A</v>
      </c>
      <c r="J44" s="9"/>
      <c r="K44" s="3" t="e">
        <f>VLOOKUP(J44,ESPNScores!$A$2:$B$133,2,FALSE)</f>
        <v>#N/A</v>
      </c>
      <c r="L44" s="9"/>
      <c r="M44" s="3" t="e">
        <f>VLOOKUP(L44,ESPNScores!$A$2:$B$133,2,FALSE)</f>
        <v>#N/A</v>
      </c>
      <c r="N44" s="9"/>
      <c r="O44" s="3" t="e">
        <f>VLOOKUP(N44,ESPNScores!$A$2:$B$133,2,FALSE)</f>
        <v>#N/A</v>
      </c>
      <c r="P44" s="9"/>
      <c r="Q44" s="3" t="e">
        <f>VLOOKUP(P44,ESPNScores!$A$2:$B$133,2,FALSE)</f>
        <v>#N/A</v>
      </c>
      <c r="R44" s="9"/>
      <c r="S44" s="3"/>
      <c r="T44" s="120" t="str">
        <f>'Top 40'!$H$48</f>
        <v>Scottie Scheffler</v>
      </c>
      <c r="U44" s="115">
        <f>'Top 40'!B36</f>
        <v>-21</v>
      </c>
      <c r="V44" s="9"/>
      <c r="W44" s="139"/>
      <c r="X44" s="115" t="e">
        <f>VLOOKUP(W44,ESPNScores!$A$2:$B$133,2,FALSE)</f>
        <v>#N/A</v>
      </c>
    </row>
    <row r="45" spans="2:24" ht="14.5" x14ac:dyDescent="0.35">
      <c r="B45" s="106" t="str">
        <f>ESPNScores!A10</f>
        <v>J.J. Spaun</v>
      </c>
      <c r="C45" s="77">
        <f>ESPNScores!B10</f>
        <v>-17</v>
      </c>
      <c r="E45" s="83">
        <v>2</v>
      </c>
      <c r="F45" s="9"/>
      <c r="G45" s="3" t="e">
        <f>VLOOKUP(F45,ESPNScores!$A$2:$B$133,2,FALSE)</f>
        <v>#N/A</v>
      </c>
      <c r="H45" s="9"/>
      <c r="I45" s="3" t="e">
        <f>VLOOKUP(H45,ESPNScores!$A$2:$B$133,2,FALSE)</f>
        <v>#N/A</v>
      </c>
      <c r="J45" s="9"/>
      <c r="K45" s="3" t="e">
        <f>VLOOKUP(J45,ESPNScores!$A$2:$B$133,2,FALSE)</f>
        <v>#N/A</v>
      </c>
      <c r="L45" s="9"/>
      <c r="M45" s="3" t="e">
        <f>VLOOKUP(L45,ESPNScores!$A$2:$B$133,2,FALSE)</f>
        <v>#N/A</v>
      </c>
      <c r="N45" s="9"/>
      <c r="O45" s="3" t="e">
        <f>VLOOKUP(N45,ESPNScores!$A$2:$B$133,2,FALSE)</f>
        <v>#N/A</v>
      </c>
      <c r="P45" s="9"/>
      <c r="Q45" s="3" t="e">
        <f>VLOOKUP(P45,ESPNScores!$A$2:$B$133,2,FALSE)</f>
        <v>#N/A</v>
      </c>
      <c r="R45" s="9"/>
      <c r="S45" s="3"/>
      <c r="T45" s="120" t="str">
        <f>'Top 40'!$H$53</f>
        <v>Collin Morikawa</v>
      </c>
      <c r="U45" s="115">
        <f>'Top 40'!B37</f>
        <v>-20</v>
      </c>
      <c r="V45" s="9"/>
      <c r="W45" s="139"/>
      <c r="X45" s="115" t="e">
        <f>VLOOKUP(W45,ESPNScores!$A$2:$B$133,2,FALSE)</f>
        <v>#N/A</v>
      </c>
    </row>
    <row r="46" spans="2:24" ht="14.5" x14ac:dyDescent="0.35">
      <c r="B46" s="106" t="str">
        <f>ESPNScores!A11</f>
        <v>Robert MacIntyre</v>
      </c>
      <c r="C46" s="77">
        <f>ESPNScores!B11</f>
        <v>-16</v>
      </c>
      <c r="E46" s="83">
        <v>3</v>
      </c>
      <c r="F46" s="9"/>
      <c r="G46" s="3" t="e">
        <f>VLOOKUP(F46,ESPNScores!$A$2:$B$133,2,FALSE)</f>
        <v>#N/A</v>
      </c>
      <c r="H46" s="9"/>
      <c r="I46" s="3" t="e">
        <f>VLOOKUP(H46,ESPNScores!$A$2:$B$133,2,FALSE)</f>
        <v>#N/A</v>
      </c>
      <c r="J46" s="9"/>
      <c r="K46" s="3" t="e">
        <f>VLOOKUP(J46,ESPNScores!$A$2:$B$133,2,FALSE)</f>
        <v>#N/A</v>
      </c>
      <c r="L46" s="9"/>
      <c r="M46" s="3" t="e">
        <f>VLOOKUP(L46,ESPNScores!$A$2:$B$133,2,FALSE)</f>
        <v>#N/A</v>
      </c>
      <c r="N46" s="9"/>
      <c r="O46" s="3" t="e">
        <f>VLOOKUP(N46,ESPNScores!$A$2:$B$133,2,FALSE)</f>
        <v>#N/A</v>
      </c>
      <c r="P46" s="9"/>
      <c r="Q46" s="3" t="e">
        <f>VLOOKUP(P46,ESPNScores!$A$2:$B$133,2,FALSE)</f>
        <v>#N/A</v>
      </c>
      <c r="R46" s="9"/>
      <c r="S46" s="3"/>
      <c r="T46" s="120" t="str">
        <f>'Top 40'!$H$58</f>
        <v>Ben Griffin</v>
      </c>
      <c r="U46" s="115">
        <f>'Top 40'!B38</f>
        <v>-16</v>
      </c>
      <c r="V46" s="9"/>
      <c r="W46" s="139"/>
      <c r="X46" s="115" t="e">
        <f>VLOOKUP(W46,ESPNScores!$A$2:$B$133,2,FALSE)</f>
        <v>#N/A</v>
      </c>
    </row>
    <row r="47" spans="2:24" ht="14.5" x14ac:dyDescent="0.35">
      <c r="B47" s="106" t="str">
        <f>ESPNScores!A12</f>
        <v>Ben Griffin</v>
      </c>
      <c r="C47" s="77">
        <f>ESPNScores!B12</f>
        <v>-16</v>
      </c>
      <c r="E47" s="83">
        <v>4</v>
      </c>
      <c r="F47" s="9"/>
      <c r="G47" s="3" t="e">
        <f>VLOOKUP(F47,ESPNScores!$A$2:$B$133,2,FALSE)</f>
        <v>#N/A</v>
      </c>
      <c r="H47" s="9"/>
      <c r="I47" s="3" t="e">
        <f>VLOOKUP(H47,ESPNScores!$A$2:$B$133,2,FALSE)</f>
        <v>#N/A</v>
      </c>
      <c r="J47" s="9"/>
      <c r="K47" s="3" t="e">
        <f>VLOOKUP(J47,ESPNScores!$A$2:$B$133,2,FALSE)</f>
        <v>#N/A</v>
      </c>
      <c r="L47" s="9"/>
      <c r="M47" s="3" t="e">
        <f>VLOOKUP(L47,ESPNScores!$A$2:$B$133,2,FALSE)</f>
        <v>#N/A</v>
      </c>
      <c r="N47" s="9"/>
      <c r="O47" s="3" t="e">
        <f>VLOOKUP(N47,ESPNScores!$A$2:$B$133,2,FALSE)</f>
        <v>#N/A</v>
      </c>
      <c r="P47" s="9"/>
      <c r="Q47" s="3" t="e">
        <f>VLOOKUP(P47,ESPNScores!$A$2:$B$133,2,FALSE)</f>
        <v>#N/A</v>
      </c>
      <c r="R47" s="9"/>
      <c r="S47" s="3"/>
      <c r="T47" s="120" t="str">
        <f>'Top 40'!$H$63</f>
        <v>Robert MacIntyre</v>
      </c>
      <c r="U47" s="115">
        <f>'Top 40'!B39</f>
        <v>-16</v>
      </c>
      <c r="V47" s="9"/>
      <c r="W47" s="139"/>
      <c r="X47" s="115" t="e">
        <f>VLOOKUP(W47,ESPNScores!$A$2:$B$133,2,FALSE)</f>
        <v>#N/A</v>
      </c>
    </row>
    <row r="48" spans="2:24" ht="14.5" x14ac:dyDescent="0.35">
      <c r="B48" s="106" t="str">
        <f>ESPNScores!A13</f>
        <v>Russell Henley</v>
      </c>
      <c r="C48" s="77">
        <f>ESPNScores!B13</f>
        <v>-15</v>
      </c>
      <c r="E48" s="83">
        <v>5</v>
      </c>
      <c r="F48" s="9"/>
      <c r="G48" s="3" t="e">
        <f>VLOOKUP(F48,ESPNScores!$A$2:$B$133,2,FALSE)</f>
        <v>#N/A</v>
      </c>
      <c r="H48" s="9"/>
      <c r="I48" s="3" t="e">
        <f>VLOOKUP(H48,ESPNScores!$A$2:$B$133,2,FALSE)</f>
        <v>#N/A</v>
      </c>
      <c r="J48" s="29"/>
      <c r="K48" s="3" t="e">
        <f>VLOOKUP(J48,ESPNScores!$A$2:$B$133,2,FALSE)</f>
        <v>#N/A</v>
      </c>
      <c r="L48" s="29"/>
      <c r="M48" s="3" t="e">
        <f>VLOOKUP(L48,ESPNScores!$A$2:$B$133,2,FALSE)</f>
        <v>#N/A</v>
      </c>
      <c r="N48" s="29"/>
      <c r="O48" s="3" t="e">
        <f>VLOOKUP(N48,ESPNScores!$A$2:$B$133,2,FALSE)</f>
        <v>#N/A</v>
      </c>
      <c r="P48" s="29"/>
      <c r="Q48" s="3" t="e">
        <f>VLOOKUP(P48,ESPNScores!$A$2:$B$133,2,FALSE)</f>
        <v>#N/A</v>
      </c>
      <c r="R48" s="9"/>
      <c r="S48" s="3"/>
      <c r="T48" s="120" t="str">
        <f>'Top 40'!$H$68</f>
        <v>Hideki Matsuyama</v>
      </c>
      <c r="U48" s="115">
        <f>'Top 40'!B40</f>
        <v>-14</v>
      </c>
      <c r="V48" s="29"/>
      <c r="W48" s="139"/>
      <c r="X48" s="115" t="e">
        <f>VLOOKUP(W48,ESPNScores!$A$2:$B$133,2,FALSE)</f>
        <v>#N/A</v>
      </c>
    </row>
    <row r="49" spans="2:34" ht="14.5" x14ac:dyDescent="0.35">
      <c r="B49" s="106" t="str">
        <f>ESPNScores!A14</f>
        <v>Sam Burns</v>
      </c>
      <c r="C49" s="77">
        <f>ESPNScores!B14</f>
        <v>-15</v>
      </c>
      <c r="E49" s="83">
        <v>6</v>
      </c>
      <c r="F49" s="9"/>
      <c r="G49" s="3" t="e">
        <f>VLOOKUP(F49,ESPNScores!$A$2:$B$133,2,FALSE)</f>
        <v>#N/A</v>
      </c>
      <c r="H49" s="9"/>
      <c r="I49" s="3" t="e">
        <f>VLOOKUP(H49,ESPNScores!$A$2:$B$133,2,FALSE)</f>
        <v>#N/A</v>
      </c>
      <c r="J49" s="9"/>
      <c r="K49" s="3" t="e">
        <f>VLOOKUP(J49,ESPNScores!$A$2:$B$133,2,FALSE)</f>
        <v>#N/A</v>
      </c>
      <c r="L49" s="9"/>
      <c r="M49" s="3" t="e">
        <f>VLOOKUP(L49,ESPNScores!$A$2:$B$133,2,FALSE)</f>
        <v>#N/A</v>
      </c>
      <c r="N49" s="9"/>
      <c r="O49" s="3" t="e">
        <f>VLOOKUP(N49,ESPNScores!$A$2:$B$133,2,FALSE)</f>
        <v>#N/A</v>
      </c>
      <c r="P49" s="9"/>
      <c r="Q49" s="3" t="e">
        <f>VLOOKUP(P49,ESPNScores!$A$2:$B$133,2,FALSE)</f>
        <v>#N/A</v>
      </c>
      <c r="R49" s="9"/>
      <c r="S49" s="3"/>
      <c r="T49" s="120" t="str">
        <f>'Top 40'!$H$73</f>
        <v>Akshay Bhatia</v>
      </c>
      <c r="U49" s="115">
        <f>'Top 40'!B41</f>
        <v>-18</v>
      </c>
      <c r="V49" s="9"/>
      <c r="W49" s="139"/>
      <c r="X49" s="115" t="e">
        <f>VLOOKUP(W49,ESPNScores!$A$2:$B$133,2,FALSE)</f>
        <v>#N/A</v>
      </c>
    </row>
    <row r="50" spans="2:34" ht="14.5" x14ac:dyDescent="0.35">
      <c r="B50" s="106" t="str">
        <f>ESPNScores!A15</f>
        <v>Nicolai Højgaard</v>
      </c>
      <c r="C50" s="77">
        <f>ESPNScores!B15</f>
        <v>-14</v>
      </c>
      <c r="E50" s="83">
        <v>7</v>
      </c>
      <c r="F50" s="9"/>
      <c r="G50" s="3" t="e">
        <f>VLOOKUP(F50,ESPNScores!$A$2:$B$133,2,FALSE)</f>
        <v>#N/A</v>
      </c>
      <c r="H50" s="9"/>
      <c r="I50" s="3" t="e">
        <f>VLOOKUP(H50,ESPNScores!$A$2:$B$133,2,FALSE)</f>
        <v>#N/A</v>
      </c>
      <c r="J50" s="9"/>
      <c r="K50" s="3" t="e">
        <f>VLOOKUP(J50,ESPNScores!$A$2:$B$133,2,FALSE)</f>
        <v>#N/A</v>
      </c>
      <c r="L50" s="9"/>
      <c r="M50" s="3" t="e">
        <f>VLOOKUP(L50,ESPNScores!$A$2:$B$133,2,FALSE)</f>
        <v>#N/A</v>
      </c>
      <c r="N50" s="9"/>
      <c r="O50" s="3" t="e">
        <f>VLOOKUP(N50,ESPNScores!$A$2:$B$133,2,FALSE)</f>
        <v>#N/A</v>
      </c>
      <c r="P50" s="9"/>
      <c r="Q50" s="3" t="e">
        <f>VLOOKUP(P50,ESPNScores!$A$2:$B$133,2,FALSE)</f>
        <v>#N/A</v>
      </c>
      <c r="R50" s="9"/>
      <c r="S50" s="3"/>
      <c r="T50" s="120" t="str">
        <f>'Top 40'!$H$78</f>
        <v>Viktor Hovland</v>
      </c>
      <c r="U50" s="115">
        <f>'Top 40'!B42</f>
        <v>-21</v>
      </c>
      <c r="V50" s="9"/>
      <c r="W50" s="139"/>
      <c r="X50" s="115" t="e">
        <f>VLOOKUP(W50,ESPNScores!$A$2:$B$133,2,FALSE)</f>
        <v>#N/A</v>
      </c>
    </row>
    <row r="51" spans="2:34" ht="14.5" x14ac:dyDescent="0.35">
      <c r="B51" s="106" t="str">
        <f>ESPNScores!A16</f>
        <v>Keegan Bradley</v>
      </c>
      <c r="C51" s="77">
        <f>ESPNScores!B16</f>
        <v>-14</v>
      </c>
      <c r="E51" s="83">
        <v>8</v>
      </c>
      <c r="F51" s="9"/>
      <c r="G51" s="3" t="e">
        <f>VLOOKUP(F51,ESPNScores!$A$2:$B$133,2,FALSE)</f>
        <v>#N/A</v>
      </c>
      <c r="H51" s="9"/>
      <c r="I51" s="3" t="e">
        <f>VLOOKUP(H51,ESPNScores!$A$2:$B$133,2,FALSE)</f>
        <v>#N/A</v>
      </c>
      <c r="J51" s="9"/>
      <c r="K51" s="3" t="e">
        <f>VLOOKUP(J51,ESPNScores!$A$2:$B$133,2,FALSE)</f>
        <v>#N/A</v>
      </c>
      <c r="L51" s="9"/>
      <c r="M51" s="3" t="e">
        <f>VLOOKUP(L51,ESPNScores!$A$2:$B$133,2,FALSE)</f>
        <v>#N/A</v>
      </c>
      <c r="N51" s="9"/>
      <c r="O51" s="3" t="e">
        <f>VLOOKUP(N51,ESPNScores!$A$2:$B$133,2,FALSE)</f>
        <v>#N/A</v>
      </c>
      <c r="P51" s="9"/>
      <c r="Q51" s="3" t="e">
        <f>VLOOKUP(P51,ESPNScores!$A$2:$B$133,2,FALSE)</f>
        <v>#N/A</v>
      </c>
      <c r="R51" s="9"/>
      <c r="S51" s="3"/>
      <c r="T51" s="120" t="str">
        <f>'Top 40'!$H$83</f>
        <v>Wyndham Clark</v>
      </c>
      <c r="U51" s="115">
        <f>'Top 40'!B43</f>
        <v>-18</v>
      </c>
      <c r="W51" s="139"/>
      <c r="X51" s="115" t="e">
        <f>VLOOKUP(W51,ESPNScores!$A$2:$B$133,2,FALSE)</f>
        <v>#N/A</v>
      </c>
    </row>
    <row r="52" spans="2:34" ht="14.5" x14ac:dyDescent="0.35">
      <c r="E52" s="83" t="s">
        <v>9</v>
      </c>
      <c r="F52" s="144"/>
      <c r="G52" s="3" t="e">
        <f>VLOOKUP(F52,ESPNScores!$A$2:$B$133,2,FALSE)</f>
        <v>#N/A</v>
      </c>
      <c r="H52" s="53"/>
      <c r="I52" s="3" t="e">
        <f>VLOOKUP(H52,ESPNScores!$A$2:$B$133,2,FALSE)</f>
        <v>#N/A</v>
      </c>
      <c r="J52" s="53"/>
      <c r="K52" s="3" t="e">
        <f>VLOOKUP(J52,ESPNScores!$A$2:$B$133,2,FALSE)</f>
        <v>#N/A</v>
      </c>
      <c r="L52" s="9"/>
      <c r="M52" s="3" t="e">
        <f>VLOOKUP(L52,ESPNScores!$A$2:$B$133,2,FALSE)</f>
        <v>#N/A</v>
      </c>
      <c r="N52" s="9"/>
      <c r="O52" s="3" t="e">
        <f>VLOOKUP(N52,ESPNScores!$A$2:$B$133,2,FALSE)</f>
        <v>#N/A</v>
      </c>
      <c r="P52" s="9"/>
      <c r="Q52" s="3" t="e">
        <f>VLOOKUP(P52,ESPNScores!$A$2:$B$133,2,FALSE)</f>
        <v>#N/A</v>
      </c>
      <c r="R52" s="28"/>
      <c r="S52" s="3"/>
      <c r="T52" s="114" t="str" cm="1">
        <f t="array" ref="T52">INDEX(
    _xlfn._xlws.SORT(
        _xlfn._xlws.FILTER(ESPNScores!$A$2:$B$73, ISNA(MATCH(ESPNScores!$A$2:$A$73, 'Top 40'!$C$48:$C$87, 0))),
        2, 1
    ),
    1, 1
)</f>
        <v>Corey Conners</v>
      </c>
      <c r="U52" s="115">
        <f>VLOOKUP(T52,ESPNScores!$A$2:$B$133,2,FALSE)</f>
        <v>-17</v>
      </c>
      <c r="V52" s="9"/>
      <c r="W52" s="139"/>
      <c r="X52" s="115" t="e">
        <f>VLOOKUP(W52,ESPNScores!$A$2:$B$133,2,FALSE)</f>
        <v>#N/A</v>
      </c>
    </row>
    <row r="53" spans="2:34" ht="14.5" x14ac:dyDescent="0.35">
      <c r="B53" s="46" t="s">
        <v>111</v>
      </c>
      <c r="E53" s="83" t="s">
        <v>10</v>
      </c>
      <c r="F53" s="9"/>
      <c r="G53" s="3" t="e">
        <f>VLOOKUP(F53,ESPNScores!$A$2:$B$133,2,FALSE)</f>
        <v>#N/A</v>
      </c>
      <c r="H53" s="53"/>
      <c r="I53" s="3" t="e">
        <f>VLOOKUP(H53,ESPNScores!$A$2:$B$133,2,FALSE)</f>
        <v>#N/A</v>
      </c>
      <c r="J53" s="53"/>
      <c r="K53" s="3" t="e">
        <f>VLOOKUP(J53,ESPNScores!$A$2:$B$133,2,FALSE)</f>
        <v>#N/A</v>
      </c>
      <c r="L53" s="9"/>
      <c r="M53" s="3" t="e">
        <f>VLOOKUP(L53,ESPNScores!$A$2:$B$133,2,FALSE)</f>
        <v>#N/A</v>
      </c>
      <c r="N53" s="53"/>
      <c r="O53" s="3" t="e">
        <f>VLOOKUP(N53,ESPNScores!$A$2:$B$133,2,FALSE)</f>
        <v>#N/A</v>
      </c>
      <c r="P53" s="53"/>
      <c r="Q53" s="3" t="e">
        <f>VLOOKUP(P53,ESPNScores!$A$2:$B$133,2,FALSE)</f>
        <v>#N/A</v>
      </c>
      <c r="R53" s="9"/>
      <c r="S53" s="3"/>
      <c r="T53" s="114" t="str" cm="1">
        <f t="array" ref="T53">INDEX(
    _xlfn._xlws.SORT(
        _xlfn._xlws.FILTER(ESPNScores!$A$2:$B$73, ISNA(MATCH(ESPNScores!$A$2:$A$73, 'Top 40'!$C$48:$C$87, 0))),
        2, 1
    ),
    2, 1
)</f>
        <v>Alex Fitzpatrick</v>
      </c>
      <c r="U53" s="115">
        <f>VLOOKUP(T53,ESPNScores!$A$2:$B$133,2,FALSE)</f>
        <v>-17</v>
      </c>
      <c r="V53" s="9"/>
      <c r="W53" s="139"/>
      <c r="X53" s="115" t="e">
        <f>VLOOKUP(W53,ESPNScores!$A$2:$B$133,2,FALSE)</f>
        <v>#N/A</v>
      </c>
    </row>
    <row r="54" spans="2:34" ht="14.5" x14ac:dyDescent="0.35">
      <c r="B54" s="76" t="str">
        <f>Status!C19</f>
        <v>06/28 21:45 EDT</v>
      </c>
      <c r="E54"/>
      <c r="F54" s="81"/>
      <c r="G54" s="3" t="e">
        <f>VLOOKUP(F54,ESPNScores!$A$2:$B$133,2,FALSE)</f>
        <v>#N/A</v>
      </c>
      <c r="H54" s="78"/>
      <c r="I54" s="3" t="e">
        <f>VLOOKUP(H54,ESPNScores!$A$2:$B$133,2,FALSE)</f>
        <v>#N/A</v>
      </c>
      <c r="J54" s="78"/>
      <c r="K54" s="3" t="e">
        <f>VLOOKUP(J54,ESPNScores!$A$2:$B$133,2,FALSE)</f>
        <v>#N/A</v>
      </c>
      <c r="L54" s="78"/>
      <c r="M54" s="3" t="e">
        <f>VLOOKUP(L54,ESPNScores!$A$2:$B$133,2,FALSE)</f>
        <v>#N/A</v>
      </c>
      <c r="N54" s="78"/>
      <c r="O54" s="3" t="e">
        <f>VLOOKUP(N54,ESPNScores!$A$2:$B$133,2,FALSE)</f>
        <v>#N/A</v>
      </c>
      <c r="P54" s="78"/>
      <c r="Q54" s="3" t="e">
        <f>VLOOKUP(P54,ESPNScores!$A$2:$B$133,2,FALSE)</f>
        <v>#N/A</v>
      </c>
      <c r="R54" s="78"/>
      <c r="S54" s="3"/>
      <c r="T54" s="78"/>
    </row>
    <row r="56" spans="2:34" x14ac:dyDescent="0.25">
      <c r="C56"/>
      <c r="D56"/>
      <c r="E56"/>
      <c r="G56"/>
      <c r="I56"/>
      <c r="K56"/>
      <c r="M56"/>
      <c r="O56"/>
      <c r="Q56"/>
      <c r="S56"/>
      <c r="U56"/>
      <c r="W56"/>
    </row>
    <row r="57" spans="2:34" ht="13" x14ac:dyDescent="0.3">
      <c r="C57"/>
      <c r="D57"/>
      <c r="E57"/>
      <c r="F57" s="132" t="s">
        <v>227</v>
      </c>
      <c r="G57"/>
      <c r="H57" s="153" t="s">
        <v>251</v>
      </c>
      <c r="I57"/>
      <c r="K57"/>
      <c r="M57"/>
      <c r="O57"/>
      <c r="Q57"/>
      <c r="S57"/>
      <c r="U57"/>
      <c r="W57"/>
    </row>
    <row r="58" spans="2:34" ht="13" x14ac:dyDescent="0.3">
      <c r="C58"/>
      <c r="D58"/>
      <c r="E58"/>
      <c r="F58" s="132" t="s">
        <v>230</v>
      </c>
      <c r="G58"/>
      <c r="H58" s="18" t="s">
        <v>226</v>
      </c>
      <c r="I58" s="18" t="s">
        <v>243</v>
      </c>
      <c r="K58"/>
      <c r="M58" s="18" t="s">
        <v>244</v>
      </c>
      <c r="O58"/>
      <c r="Q58"/>
      <c r="S58" t="s">
        <v>250</v>
      </c>
      <c r="U58"/>
      <c r="W58"/>
    </row>
    <row r="59" spans="2:34" ht="13" x14ac:dyDescent="0.3">
      <c r="E59"/>
      <c r="F59" s="136" t="s">
        <v>219</v>
      </c>
      <c r="G59" s="137" t="s">
        <v>55</v>
      </c>
      <c r="H59" s="143" t="s">
        <v>220</v>
      </c>
      <c r="I59" s="126" t="s">
        <v>240</v>
      </c>
      <c r="J59" s="126" t="s">
        <v>241</v>
      </c>
      <c r="K59" s="126" t="s">
        <v>242</v>
      </c>
      <c r="L59" s="127" t="s">
        <v>238</v>
      </c>
      <c r="M59" s="142" t="s">
        <v>240</v>
      </c>
      <c r="N59" s="126" t="s">
        <v>241</v>
      </c>
      <c r="O59" s="126" t="s">
        <v>242</v>
      </c>
      <c r="P59" s="127" t="s">
        <v>238</v>
      </c>
      <c r="Q59" s="40"/>
      <c r="R59" s="151"/>
      <c r="S59" s="152" t="s">
        <v>252</v>
      </c>
      <c r="U59" s="40"/>
      <c r="V59" s="40"/>
      <c r="W59" s="40"/>
      <c r="X59" s="40"/>
      <c r="Y59" s="40"/>
      <c r="Z59" s="40"/>
      <c r="AA59" s="40"/>
      <c r="AB59" s="39"/>
      <c r="AC59" s="39"/>
      <c r="AD59" s="39"/>
      <c r="AE59" s="39"/>
      <c r="AF59" s="39"/>
      <c r="AG59" s="39"/>
      <c r="AH59" s="39"/>
    </row>
    <row r="60" spans="2:34" ht="13" x14ac:dyDescent="0.3">
      <c r="E60"/>
      <c r="F60" s="135" t="str">
        <f>F4</f>
        <v>Dick Webster</v>
      </c>
      <c r="G60" s="161">
        <f>G4</f>
        <v>-93</v>
      </c>
      <c r="H60" s="162">
        <v>-19</v>
      </c>
      <c r="I60" s="163">
        <f>G60</f>
        <v>-93</v>
      </c>
      <c r="J60" s="155"/>
      <c r="K60" s="155"/>
      <c r="L60" s="158"/>
      <c r="M60" s="163" t="e">
        <f>S60</f>
        <v>#NUM!</v>
      </c>
      <c r="O60" s="155"/>
      <c r="P60" s="159"/>
      <c r="Q60" s="3"/>
      <c r="S60" t="e">
        <f t="shared" ref="S60:S89" si="1">_xlfn.RANK.EQ($G60,$C$5:$C$34,1)</f>
        <v>#NUM!</v>
      </c>
    </row>
    <row r="61" spans="2:34" ht="13" x14ac:dyDescent="0.3">
      <c r="E61"/>
      <c r="F61" s="135" t="str">
        <f>H4</f>
        <v>Riley Mattson</v>
      </c>
      <c r="G61" s="161" t="e">
        <f>I4</f>
        <v>#NUM!</v>
      </c>
      <c r="H61" s="162"/>
      <c r="I61" s="163" t="e">
        <f t="shared" ref="I61:I89" si="2">G61</f>
        <v>#NUM!</v>
      </c>
      <c r="J61" s="155"/>
      <c r="K61" s="155"/>
      <c r="L61" s="158"/>
      <c r="M61" s="163" t="e">
        <f t="shared" ref="M61:M89" si="3">S61</f>
        <v>#NUM!</v>
      </c>
      <c r="O61" s="155"/>
      <c r="P61" s="159"/>
      <c r="Q61" s="3"/>
      <c r="S61" t="e">
        <f t="shared" si="1"/>
        <v>#NUM!</v>
      </c>
    </row>
    <row r="62" spans="2:34" ht="13" x14ac:dyDescent="0.3">
      <c r="E62"/>
      <c r="F62" s="135" t="str">
        <f>J4</f>
        <v>Judd Holiday</v>
      </c>
      <c r="G62" s="161" t="e">
        <f>K4</f>
        <v>#NUM!</v>
      </c>
      <c r="H62" s="162"/>
      <c r="I62" s="163" t="e">
        <f t="shared" si="2"/>
        <v>#NUM!</v>
      </c>
      <c r="J62" s="155"/>
      <c r="K62" s="155"/>
      <c r="L62" s="158"/>
      <c r="M62" s="163" t="e">
        <f t="shared" si="3"/>
        <v>#NUM!</v>
      </c>
      <c r="O62" s="155"/>
      <c r="P62" s="159"/>
      <c r="Q62" s="3"/>
      <c r="S62" t="e">
        <f t="shared" si="1"/>
        <v>#NUM!</v>
      </c>
    </row>
    <row r="63" spans="2:34" ht="13" x14ac:dyDescent="0.3">
      <c r="F63" s="135" t="str">
        <f>L4</f>
        <v>Jack Donasky</v>
      </c>
      <c r="G63" s="161" t="e">
        <f>M4</f>
        <v>#NUM!</v>
      </c>
      <c r="H63" s="162"/>
      <c r="I63" s="163" t="e">
        <f t="shared" si="2"/>
        <v>#NUM!</v>
      </c>
      <c r="J63" s="155"/>
      <c r="K63" s="155"/>
      <c r="L63" s="158"/>
      <c r="M63" s="163" t="e">
        <f t="shared" si="3"/>
        <v>#NUM!</v>
      </c>
      <c r="O63" s="155"/>
      <c r="P63" s="159"/>
      <c r="S63" t="e">
        <f t="shared" si="1"/>
        <v>#NUM!</v>
      </c>
    </row>
    <row r="64" spans="2:34" ht="13" x14ac:dyDescent="0.3">
      <c r="F64" s="135" t="str">
        <f>N4</f>
        <v>Fred Allen</v>
      </c>
      <c r="G64" s="161" t="e">
        <f>O4</f>
        <v>#NUM!</v>
      </c>
      <c r="H64" s="162"/>
      <c r="I64" s="163" t="e">
        <f t="shared" si="2"/>
        <v>#NUM!</v>
      </c>
      <c r="J64" s="155"/>
      <c r="K64" s="155"/>
      <c r="L64" s="158"/>
      <c r="M64" s="163" t="e">
        <f t="shared" si="3"/>
        <v>#NUM!</v>
      </c>
      <c r="O64" s="155"/>
      <c r="P64" s="159"/>
      <c r="S64" t="e">
        <f t="shared" si="1"/>
        <v>#NUM!</v>
      </c>
    </row>
    <row r="65" spans="6:19" ht="13" x14ac:dyDescent="0.3">
      <c r="F65" s="135" t="str">
        <f>P4</f>
        <v>Linda Hill</v>
      </c>
      <c r="G65" s="161" t="e">
        <f>Q4</f>
        <v>#NUM!</v>
      </c>
      <c r="H65" s="162"/>
      <c r="I65" s="163" t="e">
        <f t="shared" si="2"/>
        <v>#NUM!</v>
      </c>
      <c r="J65" s="155"/>
      <c r="K65" s="155"/>
      <c r="L65" s="158"/>
      <c r="M65" s="163" t="e">
        <f t="shared" si="3"/>
        <v>#NUM!</v>
      </c>
      <c r="O65" s="155"/>
      <c r="P65" s="159"/>
      <c r="S65" t="e">
        <f t="shared" si="1"/>
        <v>#NUM!</v>
      </c>
    </row>
    <row r="66" spans="6:19" ht="13" x14ac:dyDescent="0.3">
      <c r="F66" s="135" t="str">
        <f>R4</f>
        <v>Allan Armstrong</v>
      </c>
      <c r="G66" s="161" t="e">
        <f>S4</f>
        <v>#NUM!</v>
      </c>
      <c r="H66" s="162"/>
      <c r="I66" s="163" t="e">
        <f t="shared" si="2"/>
        <v>#NUM!</v>
      </c>
      <c r="J66" s="155"/>
      <c r="K66" s="155"/>
      <c r="L66" s="158"/>
      <c r="M66" s="163" t="e">
        <f t="shared" si="3"/>
        <v>#NUM!</v>
      </c>
      <c r="O66" s="155"/>
      <c r="P66" s="159"/>
      <c r="S66" t="e">
        <f t="shared" si="1"/>
        <v>#NUM!</v>
      </c>
    </row>
    <row r="67" spans="6:19" ht="13" x14ac:dyDescent="0.3">
      <c r="F67" s="135" t="str">
        <f>T4</f>
        <v>John Horvath</v>
      </c>
      <c r="G67" s="161" t="e">
        <f>U4</f>
        <v>#NUM!</v>
      </c>
      <c r="H67" s="162"/>
      <c r="I67" s="163" t="e">
        <f t="shared" si="2"/>
        <v>#NUM!</v>
      </c>
      <c r="J67" s="155"/>
      <c r="K67" s="155"/>
      <c r="L67" s="158"/>
      <c r="M67" s="163" t="e">
        <f t="shared" si="3"/>
        <v>#NUM!</v>
      </c>
      <c r="O67" s="155"/>
      <c r="P67" s="159"/>
      <c r="S67" t="e">
        <f t="shared" si="1"/>
        <v>#NUM!</v>
      </c>
    </row>
    <row r="68" spans="6:19" ht="13" x14ac:dyDescent="0.3">
      <c r="F68" s="135" t="str">
        <f>F17</f>
        <v>Craig Chernick</v>
      </c>
      <c r="G68" s="161" t="e">
        <f>G17</f>
        <v>#NUM!</v>
      </c>
      <c r="H68" s="162"/>
      <c r="I68" s="163" t="e">
        <f t="shared" si="2"/>
        <v>#NUM!</v>
      </c>
      <c r="J68" s="155"/>
      <c r="K68" s="155"/>
      <c r="L68" s="158"/>
      <c r="M68" s="163" t="e">
        <f t="shared" si="3"/>
        <v>#NUM!</v>
      </c>
      <c r="O68" s="155"/>
      <c r="P68" s="159"/>
      <c r="S68" t="e">
        <f t="shared" si="1"/>
        <v>#NUM!</v>
      </c>
    </row>
    <row r="69" spans="6:19" ht="13" x14ac:dyDescent="0.3">
      <c r="F69" s="135" t="str">
        <f>H17</f>
        <v>Wally Rush</v>
      </c>
      <c r="G69" s="161" t="e">
        <f>I17</f>
        <v>#NUM!</v>
      </c>
      <c r="H69" s="164"/>
      <c r="I69" s="163" t="e">
        <f t="shared" si="2"/>
        <v>#NUM!</v>
      </c>
      <c r="J69" s="155"/>
      <c r="K69" s="155"/>
      <c r="L69" s="158"/>
      <c r="M69" s="163" t="e">
        <f t="shared" si="3"/>
        <v>#NUM!</v>
      </c>
      <c r="O69" s="155"/>
      <c r="P69" s="159"/>
      <c r="S69" t="e">
        <f t="shared" si="1"/>
        <v>#NUM!</v>
      </c>
    </row>
    <row r="70" spans="6:19" ht="13" x14ac:dyDescent="0.3">
      <c r="F70" s="135" t="str">
        <f>J17</f>
        <v>Allyn Dean</v>
      </c>
      <c r="G70" s="161" t="e">
        <f>K17</f>
        <v>#NUM!</v>
      </c>
      <c r="H70" s="162"/>
      <c r="I70" s="163" t="e">
        <f t="shared" si="2"/>
        <v>#NUM!</v>
      </c>
      <c r="J70" s="155"/>
      <c r="K70" s="155"/>
      <c r="L70" s="158"/>
      <c r="M70" s="163" t="e">
        <f t="shared" si="3"/>
        <v>#NUM!</v>
      </c>
      <c r="O70" s="155"/>
      <c r="P70" s="159"/>
      <c r="S70" t="e">
        <f t="shared" si="1"/>
        <v>#NUM!</v>
      </c>
    </row>
    <row r="71" spans="6:19" ht="13" x14ac:dyDescent="0.3">
      <c r="F71" s="135" t="str">
        <f>L17</f>
        <v>Ed Bernau</v>
      </c>
      <c r="G71" s="156" t="e">
        <f>M17</f>
        <v>#NUM!</v>
      </c>
      <c r="H71" s="162"/>
      <c r="I71" s="163" t="e">
        <f t="shared" si="2"/>
        <v>#NUM!</v>
      </c>
      <c r="J71" s="155"/>
      <c r="K71" s="155"/>
      <c r="L71" s="158"/>
      <c r="M71" s="163" t="e">
        <f t="shared" si="3"/>
        <v>#NUM!</v>
      </c>
      <c r="O71" s="155"/>
      <c r="P71" s="159"/>
      <c r="S71" t="e">
        <f t="shared" si="1"/>
        <v>#NUM!</v>
      </c>
    </row>
    <row r="72" spans="6:19" ht="13" x14ac:dyDescent="0.3">
      <c r="F72" s="135" t="str">
        <f>N17</f>
        <v>Cal Dillabaugh</v>
      </c>
      <c r="G72" s="156" t="e">
        <f>O17</f>
        <v>#NUM!</v>
      </c>
      <c r="H72" s="162"/>
      <c r="I72" s="163" t="e">
        <f t="shared" si="2"/>
        <v>#NUM!</v>
      </c>
      <c r="J72" s="155"/>
      <c r="K72" s="155"/>
      <c r="L72" s="158"/>
      <c r="M72" s="163" t="e">
        <f t="shared" si="3"/>
        <v>#NUM!</v>
      </c>
      <c r="O72" s="155"/>
      <c r="P72" s="159"/>
      <c r="S72" t="e">
        <f t="shared" si="1"/>
        <v>#NUM!</v>
      </c>
    </row>
    <row r="73" spans="6:19" ht="13" x14ac:dyDescent="0.3">
      <c r="F73" s="135" t="str">
        <f>P17</f>
        <v>Ben Hill</v>
      </c>
      <c r="G73" s="156" t="e">
        <f>Q17</f>
        <v>#NUM!</v>
      </c>
      <c r="H73" s="162"/>
      <c r="I73" s="163" t="e">
        <f t="shared" si="2"/>
        <v>#NUM!</v>
      </c>
      <c r="J73" s="155"/>
      <c r="K73" s="155"/>
      <c r="L73" s="158"/>
      <c r="M73" s="163" t="e">
        <f t="shared" si="3"/>
        <v>#NUM!</v>
      </c>
      <c r="O73" s="155"/>
      <c r="P73" s="159"/>
      <c r="S73" t="e">
        <f t="shared" si="1"/>
        <v>#NUM!</v>
      </c>
    </row>
    <row r="74" spans="6:19" ht="13" x14ac:dyDescent="0.3">
      <c r="F74" s="135" t="str">
        <f>R17</f>
        <v>Greg Fish</v>
      </c>
      <c r="G74" s="156" t="e">
        <f>S17</f>
        <v>#NUM!</v>
      </c>
      <c r="H74" s="162"/>
      <c r="I74" s="163" t="e">
        <f t="shared" si="2"/>
        <v>#NUM!</v>
      </c>
      <c r="J74" s="155"/>
      <c r="K74" s="155"/>
      <c r="L74" s="158"/>
      <c r="M74" s="163" t="e">
        <f t="shared" si="3"/>
        <v>#NUM!</v>
      </c>
      <c r="O74" s="155"/>
      <c r="P74" s="159"/>
      <c r="S74" t="e">
        <f t="shared" si="1"/>
        <v>#NUM!</v>
      </c>
    </row>
    <row r="75" spans="6:19" ht="13" x14ac:dyDescent="0.3">
      <c r="F75" s="135" t="str">
        <f>T17</f>
        <v>Jeff Richard</v>
      </c>
      <c r="G75" s="156" t="e">
        <f>U17</f>
        <v>#NUM!</v>
      </c>
      <c r="H75" s="162"/>
      <c r="I75" s="163" t="e">
        <f t="shared" si="2"/>
        <v>#NUM!</v>
      </c>
      <c r="J75" s="155"/>
      <c r="K75" s="155"/>
      <c r="L75" s="158"/>
      <c r="M75" s="163" t="e">
        <f t="shared" si="3"/>
        <v>#NUM!</v>
      </c>
      <c r="O75" s="155"/>
      <c r="P75" s="159"/>
      <c r="S75" t="e">
        <f t="shared" si="1"/>
        <v>#NUM!</v>
      </c>
    </row>
    <row r="76" spans="6:19" ht="13" x14ac:dyDescent="0.3">
      <c r="F76" s="135" t="str">
        <f>F30</f>
        <v>Rob Rakusin</v>
      </c>
      <c r="G76" s="156" t="e">
        <f>G30</f>
        <v>#NUM!</v>
      </c>
      <c r="H76" s="162"/>
      <c r="I76" s="163" t="e">
        <f t="shared" si="2"/>
        <v>#NUM!</v>
      </c>
      <c r="J76" s="155"/>
      <c r="K76" s="155"/>
      <c r="L76" s="158"/>
      <c r="M76" s="163" t="e">
        <f t="shared" si="3"/>
        <v>#NUM!</v>
      </c>
      <c r="O76" s="155"/>
      <c r="P76" s="159"/>
      <c r="S76" t="e">
        <f t="shared" si="1"/>
        <v>#NUM!</v>
      </c>
    </row>
    <row r="77" spans="6:19" ht="13" x14ac:dyDescent="0.3">
      <c r="F77" s="135" t="str">
        <f>H30</f>
        <v>Leonard Howell</v>
      </c>
      <c r="G77" s="156" t="e">
        <f>I30</f>
        <v>#NUM!</v>
      </c>
      <c r="H77" s="162"/>
      <c r="I77" s="163" t="e">
        <f t="shared" si="2"/>
        <v>#NUM!</v>
      </c>
      <c r="J77" s="155"/>
      <c r="K77" s="155"/>
      <c r="L77" s="158"/>
      <c r="M77" s="163" t="e">
        <f t="shared" si="3"/>
        <v>#NUM!</v>
      </c>
      <c r="O77" s="155"/>
      <c r="P77" s="159"/>
      <c r="S77" t="e">
        <f t="shared" si="1"/>
        <v>#NUM!</v>
      </c>
    </row>
    <row r="78" spans="6:19" ht="13" x14ac:dyDescent="0.3">
      <c r="F78" s="135" t="str">
        <f>J30</f>
        <v>Kevin Eliason</v>
      </c>
      <c r="G78" s="156" t="e">
        <f>K30</f>
        <v>#NUM!</v>
      </c>
      <c r="H78" s="162"/>
      <c r="I78" s="163" t="e">
        <f t="shared" si="2"/>
        <v>#NUM!</v>
      </c>
      <c r="J78" s="155"/>
      <c r="K78" s="155"/>
      <c r="L78" s="158"/>
      <c r="M78" s="163" t="e">
        <f t="shared" si="3"/>
        <v>#NUM!</v>
      </c>
      <c r="O78" s="155"/>
      <c r="P78" s="159"/>
      <c r="S78" t="e">
        <f t="shared" si="1"/>
        <v>#NUM!</v>
      </c>
    </row>
    <row r="79" spans="6:19" ht="13" x14ac:dyDescent="0.3">
      <c r="F79" s="138" t="str">
        <f>L30</f>
        <v>Ben Balme</v>
      </c>
      <c r="G79" s="156" t="e">
        <f>M30</f>
        <v>#NUM!</v>
      </c>
      <c r="H79" s="162"/>
      <c r="I79" s="163" t="e">
        <f t="shared" si="2"/>
        <v>#NUM!</v>
      </c>
      <c r="J79" s="155"/>
      <c r="K79" s="155"/>
      <c r="L79" s="158"/>
      <c r="M79" s="163" t="e">
        <f t="shared" si="3"/>
        <v>#NUM!</v>
      </c>
      <c r="O79" s="155"/>
      <c r="P79" s="159"/>
      <c r="S79" t="e">
        <f t="shared" si="1"/>
        <v>#NUM!</v>
      </c>
    </row>
    <row r="80" spans="6:19" ht="13" x14ac:dyDescent="0.3">
      <c r="F80" s="135" t="str">
        <f>N30</f>
        <v>Mike McElroy</v>
      </c>
      <c r="G80" s="156" t="e">
        <f>O30</f>
        <v>#NUM!</v>
      </c>
      <c r="H80" s="162"/>
      <c r="I80" s="163" t="e">
        <f t="shared" si="2"/>
        <v>#NUM!</v>
      </c>
      <c r="J80" s="155"/>
      <c r="K80" s="155"/>
      <c r="L80" s="158"/>
      <c r="M80" s="163" t="e">
        <f t="shared" si="3"/>
        <v>#NUM!</v>
      </c>
      <c r="O80" s="155"/>
      <c r="P80" s="159"/>
      <c r="S80" t="e">
        <f t="shared" si="1"/>
        <v>#NUM!</v>
      </c>
    </row>
    <row r="81" spans="6:19" ht="13" x14ac:dyDescent="0.3">
      <c r="F81" s="135" t="str">
        <f>P30</f>
        <v>Doug Hitchman</v>
      </c>
      <c r="G81" s="156" t="e">
        <f>Q30</f>
        <v>#NUM!</v>
      </c>
      <c r="H81" s="162"/>
      <c r="I81" s="163" t="e">
        <f t="shared" si="2"/>
        <v>#NUM!</v>
      </c>
      <c r="J81" s="155"/>
      <c r="K81" s="155"/>
      <c r="L81" s="158"/>
      <c r="M81" s="163" t="e">
        <f t="shared" si="3"/>
        <v>#NUM!</v>
      </c>
      <c r="O81" s="155"/>
      <c r="P81" s="159"/>
      <c r="S81" t="e">
        <f t="shared" si="1"/>
        <v>#NUM!</v>
      </c>
    </row>
    <row r="82" spans="6:19" ht="13" x14ac:dyDescent="0.3">
      <c r="F82" s="135" t="str">
        <f>R30</f>
        <v>Jasper Hempel</v>
      </c>
      <c r="G82" s="156" t="e">
        <f>S30</f>
        <v>#NUM!</v>
      </c>
      <c r="H82" s="164"/>
      <c r="I82" s="163" t="e">
        <f t="shared" si="2"/>
        <v>#NUM!</v>
      </c>
      <c r="J82" s="155"/>
      <c r="K82" s="155"/>
      <c r="L82" s="158"/>
      <c r="M82" s="163" t="e">
        <f t="shared" si="3"/>
        <v>#NUM!</v>
      </c>
      <c r="O82" s="155"/>
      <c r="P82" s="159"/>
      <c r="S82" t="e">
        <f t="shared" si="1"/>
        <v>#NUM!</v>
      </c>
    </row>
    <row r="83" spans="6:19" ht="13" x14ac:dyDescent="0.3">
      <c r="F83" s="135" t="str">
        <f>T30</f>
        <v>Carol Langer</v>
      </c>
      <c r="G83" s="156" t="e">
        <f>U30</f>
        <v>#NUM!</v>
      </c>
      <c r="H83" s="162"/>
      <c r="I83" s="163" t="e">
        <f t="shared" si="2"/>
        <v>#NUM!</v>
      </c>
      <c r="J83" s="155"/>
      <c r="K83" s="155"/>
      <c r="L83" s="158"/>
      <c r="M83" s="163" t="e">
        <f t="shared" si="3"/>
        <v>#NUM!</v>
      </c>
      <c r="O83" s="155"/>
      <c r="P83" s="159"/>
      <c r="S83" t="e">
        <f t="shared" si="1"/>
        <v>#NUM!</v>
      </c>
    </row>
    <row r="84" spans="6:19" ht="13" x14ac:dyDescent="0.3">
      <c r="F84" s="135" t="str">
        <f>F43</f>
        <v>Gary Weiss</v>
      </c>
      <c r="G84" s="156" t="e">
        <f>G43</f>
        <v>#NUM!</v>
      </c>
      <c r="H84" s="162"/>
      <c r="I84" s="163" t="e">
        <f t="shared" si="2"/>
        <v>#NUM!</v>
      </c>
      <c r="J84" s="155"/>
      <c r="K84" s="155"/>
      <c r="L84" s="158"/>
      <c r="M84" s="163" t="e">
        <f t="shared" si="3"/>
        <v>#NUM!</v>
      </c>
      <c r="O84" s="155"/>
      <c r="P84" s="159"/>
      <c r="S84" t="e">
        <f t="shared" si="1"/>
        <v>#NUM!</v>
      </c>
    </row>
    <row r="85" spans="6:19" ht="13" x14ac:dyDescent="0.3">
      <c r="F85" s="135" t="str">
        <f>H43</f>
        <v>Mark Steigmeyer</v>
      </c>
      <c r="G85" s="156" t="e">
        <f>I43</f>
        <v>#NUM!</v>
      </c>
      <c r="H85" s="162"/>
      <c r="I85" s="163" t="e">
        <f t="shared" si="2"/>
        <v>#NUM!</v>
      </c>
      <c r="J85" s="155"/>
      <c r="K85" s="155"/>
      <c r="L85" s="158"/>
      <c r="M85" s="163" t="e">
        <f t="shared" si="3"/>
        <v>#NUM!</v>
      </c>
      <c r="O85" s="155"/>
      <c r="P85" s="159"/>
      <c r="S85" t="e">
        <f t="shared" si="1"/>
        <v>#NUM!</v>
      </c>
    </row>
    <row r="86" spans="6:19" ht="13" x14ac:dyDescent="0.3">
      <c r="F86" s="135" t="str">
        <f>J43</f>
        <v>Jerry Stabile</v>
      </c>
      <c r="G86" s="156" t="e">
        <f>K43</f>
        <v>#NUM!</v>
      </c>
      <c r="H86" s="162"/>
      <c r="I86" s="163" t="e">
        <f t="shared" si="2"/>
        <v>#NUM!</v>
      </c>
      <c r="J86" s="155"/>
      <c r="K86" s="155"/>
      <c r="L86" s="158"/>
      <c r="M86" s="163" t="e">
        <f t="shared" si="3"/>
        <v>#NUM!</v>
      </c>
      <c r="O86" s="155"/>
      <c r="P86" s="159"/>
      <c r="S86" t="e">
        <f t="shared" si="1"/>
        <v>#NUM!</v>
      </c>
    </row>
    <row r="87" spans="6:19" ht="13" x14ac:dyDescent="0.3">
      <c r="F87" s="135" t="str">
        <f>L43</f>
        <v>Rod Cruickshank</v>
      </c>
      <c r="G87" s="156" t="e">
        <f>M43</f>
        <v>#NUM!</v>
      </c>
      <c r="H87" s="162"/>
      <c r="I87" s="163" t="e">
        <f t="shared" si="2"/>
        <v>#NUM!</v>
      </c>
      <c r="J87" s="155"/>
      <c r="K87" s="155"/>
      <c r="L87" s="158"/>
      <c r="M87" s="163" t="e">
        <f t="shared" si="3"/>
        <v>#NUM!</v>
      </c>
      <c r="O87" s="155"/>
      <c r="P87" s="159"/>
      <c r="S87" t="e">
        <f t="shared" si="1"/>
        <v>#NUM!</v>
      </c>
    </row>
    <row r="88" spans="6:19" ht="13" x14ac:dyDescent="0.3">
      <c r="F88" s="135" t="str">
        <f>N43</f>
        <v>Kevin Isaacson</v>
      </c>
      <c r="G88" s="156" t="e">
        <f>O43</f>
        <v>#NUM!</v>
      </c>
      <c r="H88" s="162"/>
      <c r="I88" s="163" t="e">
        <f t="shared" si="2"/>
        <v>#NUM!</v>
      </c>
      <c r="J88" s="155"/>
      <c r="K88" s="155"/>
      <c r="L88" s="158"/>
      <c r="M88" s="163" t="e">
        <f t="shared" si="3"/>
        <v>#NUM!</v>
      </c>
      <c r="O88" s="155"/>
      <c r="P88" s="159"/>
      <c r="S88" t="e">
        <f t="shared" si="1"/>
        <v>#NUM!</v>
      </c>
    </row>
    <row r="89" spans="6:19" ht="13" x14ac:dyDescent="0.3">
      <c r="F89" s="135" t="str">
        <f>P43</f>
        <v>Dan Jones</v>
      </c>
      <c r="G89" s="161" t="e">
        <f>Q43</f>
        <v>#NUM!</v>
      </c>
      <c r="H89" s="162"/>
      <c r="I89" s="163" t="e">
        <f t="shared" si="2"/>
        <v>#NUM!</v>
      </c>
      <c r="J89" s="155"/>
      <c r="K89" s="155"/>
      <c r="L89" s="158"/>
      <c r="M89" s="163" t="e">
        <f t="shared" si="3"/>
        <v>#NUM!</v>
      </c>
      <c r="O89" s="155"/>
      <c r="P89" s="159"/>
      <c r="S89" t="e">
        <f t="shared" si="1"/>
        <v>#NUM!</v>
      </c>
    </row>
    <row r="90" spans="6:19" x14ac:dyDescent="0.25">
      <c r="S90"/>
    </row>
  </sheetData>
  <mergeCells count="3">
    <mergeCell ref="B1:D1"/>
    <mergeCell ref="E1:F1"/>
    <mergeCell ref="G1:H1"/>
  </mergeCells>
  <conditionalFormatting sqref="F5:F15 L5:L15 N5:N15 P5:P15 H5:J15 F18:F28 H18:H28 J18:J28 L18:L28 N18:N28 P18:P28 R18:R28 T18:T28 F31:F41 P31:P41 L31:L41 J31:J41 H31:H41 N31:N41 R5:T15 F16:G16 I16:Q16 S16:U16 T31:T41 R31:R41 F4:U4 F17:U17 F30:U30">
    <cfRule type="cellIs" dxfId="140" priority="209" operator="equal">
      <formula>50</formula>
    </cfRule>
  </conditionalFormatting>
  <conditionalFormatting sqref="F43:K43 H44:H54 J44:J54 F44:F54">
    <cfRule type="cellIs" dxfId="139" priority="208" operator="equal">
      <formula>50</formula>
    </cfRule>
  </conditionalFormatting>
  <conditionalFormatting sqref="T16:U16 J16:Q16 F16:G16 F5:F15 H5:H15 J5:J15 L5:L15 N5:N15 P5:P15 R5:R15 F18:F28 H18:H28 J18:J28 L18:L28 N18:N28 P18:P28 R18:R28 T18:T28 F31:F41 P31:P41 L31:L41 J31:J41 H31:H41 N31:N41 H44:H54 N44:N54 P44:P54 J44:J54 H3:U3 L44:L54 F44:F54 T5:T15 T31:T41 R43:R53 R31:R41 F4:U4 F17:U17 F30:U30 F43:Q43">
    <cfRule type="expression" dxfId="138" priority="207">
      <formula>G3=50</formula>
    </cfRule>
  </conditionalFormatting>
  <conditionalFormatting sqref="L43:M43 L44:L54">
    <cfRule type="cellIs" dxfId="137" priority="206" operator="equal">
      <formula>50</formula>
    </cfRule>
  </conditionalFormatting>
  <conditionalFormatting sqref="N43:Q43 N44:N54 P44:P54">
    <cfRule type="cellIs" dxfId="136" priority="205" operator="equal">
      <formula>50</formula>
    </cfRule>
  </conditionalFormatting>
  <conditionalFormatting sqref="G5:G15">
    <cfRule type="cellIs" dxfId="135" priority="204" operator="equal">
      <formula>50</formula>
    </cfRule>
  </conditionalFormatting>
  <conditionalFormatting sqref="K5:K15">
    <cfRule type="cellIs" dxfId="134" priority="73" operator="equal">
      <formula>50</formula>
    </cfRule>
  </conditionalFormatting>
  <conditionalFormatting sqref="M5:M15">
    <cfRule type="cellIs" dxfId="133" priority="72" operator="equal">
      <formula>50</formula>
    </cfRule>
  </conditionalFormatting>
  <conditionalFormatting sqref="O5:O15">
    <cfRule type="cellIs" dxfId="132" priority="71" operator="equal">
      <formula>50</formula>
    </cfRule>
  </conditionalFormatting>
  <conditionalFormatting sqref="Q5:Q15">
    <cfRule type="cellIs" dxfId="131" priority="70" operator="equal">
      <formula>50</formula>
    </cfRule>
  </conditionalFormatting>
  <conditionalFormatting sqref="U5:U15">
    <cfRule type="cellIs" dxfId="130" priority="68" operator="equal">
      <formula>50</formula>
    </cfRule>
  </conditionalFormatting>
  <conditionalFormatting sqref="U18:U28">
    <cfRule type="cellIs" dxfId="129" priority="67" operator="equal">
      <formula>50</formula>
    </cfRule>
  </conditionalFormatting>
  <conditionalFormatting sqref="S18:S28">
    <cfRule type="cellIs" dxfId="128" priority="66" operator="equal">
      <formula>50</formula>
    </cfRule>
  </conditionalFormatting>
  <conditionalFormatting sqref="Q18:Q24 Q26:Q28">
    <cfRule type="cellIs" dxfId="127" priority="65" operator="equal">
      <formula>50</formula>
    </cfRule>
  </conditionalFormatting>
  <conditionalFormatting sqref="O18:O28">
    <cfRule type="cellIs" dxfId="126" priority="64" operator="equal">
      <formula>50</formula>
    </cfRule>
  </conditionalFormatting>
  <conditionalFormatting sqref="M18:M28">
    <cfRule type="cellIs" dxfId="125" priority="63" operator="equal">
      <formula>50</formula>
    </cfRule>
  </conditionalFormatting>
  <conditionalFormatting sqref="K18:K28">
    <cfRule type="cellIs" dxfId="124" priority="62" operator="equal">
      <formula>50</formula>
    </cfRule>
  </conditionalFormatting>
  <conditionalFormatting sqref="I18:I28">
    <cfRule type="cellIs" dxfId="123" priority="61" operator="equal">
      <formula>50</formula>
    </cfRule>
  </conditionalFormatting>
  <conditionalFormatting sqref="G18:G24 G26:G28">
    <cfRule type="cellIs" dxfId="122" priority="60" operator="equal">
      <formula>50</formula>
    </cfRule>
  </conditionalFormatting>
  <conditionalFormatting sqref="G31:G41">
    <cfRule type="cellIs" dxfId="121" priority="59" operator="equal">
      <formula>50</formula>
    </cfRule>
  </conditionalFormatting>
  <conditionalFormatting sqref="I31:I37 I39:I41">
    <cfRule type="cellIs" dxfId="120" priority="58" operator="equal">
      <formula>50</formula>
    </cfRule>
  </conditionalFormatting>
  <conditionalFormatting sqref="K31:K37 K39:K41">
    <cfRule type="cellIs" dxfId="119" priority="57" operator="equal">
      <formula>50</formula>
    </cfRule>
  </conditionalFormatting>
  <conditionalFormatting sqref="M31:M37 M39:M41">
    <cfRule type="cellIs" dxfId="118" priority="56" operator="equal">
      <formula>50</formula>
    </cfRule>
  </conditionalFormatting>
  <conditionalFormatting sqref="O31:O41">
    <cfRule type="cellIs" dxfId="117" priority="55" operator="equal">
      <formula>50</formula>
    </cfRule>
  </conditionalFormatting>
  <conditionalFormatting sqref="Q31:Q41">
    <cfRule type="cellIs" dxfId="116" priority="54" operator="equal">
      <formula>50</formula>
    </cfRule>
  </conditionalFormatting>
  <conditionalFormatting sqref="S31:S41">
    <cfRule type="cellIs" dxfId="115" priority="53" operator="equal">
      <formula>50</formula>
    </cfRule>
  </conditionalFormatting>
  <conditionalFormatting sqref="U31:U41">
    <cfRule type="cellIs" dxfId="114" priority="52" operator="equal">
      <formula>50</formula>
    </cfRule>
  </conditionalFormatting>
  <conditionalFormatting sqref="G44:G54">
    <cfRule type="cellIs" dxfId="113" priority="51" operator="equal">
      <formula>50</formula>
    </cfRule>
  </conditionalFormatting>
  <conditionalFormatting sqref="I44:I50 I52:I54">
    <cfRule type="cellIs" dxfId="112" priority="50" operator="equal">
      <formula>50</formula>
    </cfRule>
  </conditionalFormatting>
  <conditionalFormatting sqref="K44:K50 K52:K54">
    <cfRule type="cellIs" dxfId="111" priority="49" operator="equal">
      <formula>50</formula>
    </cfRule>
  </conditionalFormatting>
  <conditionalFormatting sqref="M44:M52 M54">
    <cfRule type="cellIs" dxfId="110" priority="48" operator="equal">
      <formula>50</formula>
    </cfRule>
  </conditionalFormatting>
  <conditionalFormatting sqref="O44:O54">
    <cfRule type="cellIs" dxfId="109" priority="47" operator="equal">
      <formula>50</formula>
    </cfRule>
  </conditionalFormatting>
  <conditionalFormatting sqref="Q44:Q50 Q52:Q54">
    <cfRule type="cellIs" dxfId="108" priority="46" operator="equal">
      <formula>50</formula>
    </cfRule>
  </conditionalFormatting>
  <conditionalFormatting sqref="G15 I15 K15 M15 O15 Q15 S15 U15 U28 S28 Q28 O28 M28 K28 I28 G28 G41 G54 I54 K54 M54 O54 Q54 I41 K41 M41 O41 Q41 S41 U41">
    <cfRule type="expression" dxfId="107" priority="44">
      <formula>F15=""</formula>
    </cfRule>
  </conditionalFormatting>
  <conditionalFormatting sqref="Q43">
    <cfRule type="cellIs" dxfId="106" priority="43" operator="equal">
      <formula>50</formula>
    </cfRule>
  </conditionalFormatting>
  <conditionalFormatting sqref="G43">
    <cfRule type="cellIs" dxfId="105" priority="41" operator="equal">
      <formula>50</formula>
    </cfRule>
  </conditionalFormatting>
  <conditionalFormatting sqref="I43">
    <cfRule type="cellIs" dxfId="104" priority="40" operator="equal">
      <formula>50</formula>
    </cfRule>
  </conditionalFormatting>
  <conditionalFormatting sqref="K43">
    <cfRule type="cellIs" dxfId="103" priority="39" operator="equal">
      <formula>50</formula>
    </cfRule>
  </conditionalFormatting>
  <conditionalFormatting sqref="M43">
    <cfRule type="cellIs" dxfId="102" priority="38" operator="equal">
      <formula>50</formula>
    </cfRule>
  </conditionalFormatting>
  <conditionalFormatting sqref="O43">
    <cfRule type="cellIs" dxfId="101" priority="37" operator="equal">
      <formula>50</formula>
    </cfRule>
  </conditionalFormatting>
  <conditionalFormatting sqref="Q43">
    <cfRule type="cellIs" dxfId="100" priority="36" operator="equal">
      <formula>50</formula>
    </cfRule>
  </conditionalFormatting>
  <conditionalFormatting sqref="J51">
    <cfRule type="cellIs" dxfId="99" priority="35" operator="equal">
      <formula>50</formula>
    </cfRule>
  </conditionalFormatting>
  <conditionalFormatting sqref="Q25">
    <cfRule type="cellIs" dxfId="98" priority="34" operator="equal">
      <formula>50</formula>
    </cfRule>
  </conditionalFormatting>
  <conditionalFormatting sqref="Q51">
    <cfRule type="cellIs" dxfId="97" priority="33" operator="equal">
      <formula>50</formula>
    </cfRule>
  </conditionalFormatting>
  <conditionalFormatting sqref="M53">
    <cfRule type="cellIs" dxfId="96" priority="32" operator="equal">
      <formula>50</formula>
    </cfRule>
  </conditionalFormatting>
  <conditionalFormatting sqref="K51">
    <cfRule type="cellIs" dxfId="95" priority="31" operator="equal">
      <formula>50</formula>
    </cfRule>
  </conditionalFormatting>
  <conditionalFormatting sqref="I51">
    <cfRule type="cellIs" dxfId="94" priority="30" operator="equal">
      <formula>50</formula>
    </cfRule>
  </conditionalFormatting>
  <conditionalFormatting sqref="I38">
    <cfRule type="cellIs" dxfId="93" priority="29" operator="equal">
      <formula>50</formula>
    </cfRule>
  </conditionalFormatting>
  <conditionalFormatting sqref="K38">
    <cfRule type="cellIs" dxfId="92" priority="28" operator="equal">
      <formula>50</formula>
    </cfRule>
  </conditionalFormatting>
  <conditionalFormatting sqref="M38">
    <cfRule type="cellIs" dxfId="91" priority="27" operator="equal">
      <formula>50</formula>
    </cfRule>
  </conditionalFormatting>
  <conditionalFormatting sqref="G25">
    <cfRule type="cellIs" dxfId="90" priority="26" operator="equal">
      <formula>50</formula>
    </cfRule>
  </conditionalFormatting>
  <conditionalFormatting sqref="L50">
    <cfRule type="cellIs" dxfId="89" priority="25" operator="equal">
      <formula>50</formula>
    </cfRule>
  </conditionalFormatting>
  <conditionalFormatting sqref="D4:D10">
    <cfRule type="expression" dxfId="88" priority="24">
      <formula>WEEKDAY(TODAY())=1</formula>
    </cfRule>
  </conditionalFormatting>
  <conditionalFormatting sqref="R54">
    <cfRule type="expression" dxfId="87" priority="23">
      <formula>S54=50</formula>
    </cfRule>
  </conditionalFormatting>
  <conditionalFormatting sqref="R54">
    <cfRule type="cellIs" dxfId="86" priority="22" operator="equal">
      <formula>50</formula>
    </cfRule>
  </conditionalFormatting>
  <conditionalFormatting sqref="T54">
    <cfRule type="expression" dxfId="85" priority="21">
      <formula>U54=50</formula>
    </cfRule>
  </conditionalFormatting>
  <conditionalFormatting sqref="T54">
    <cfRule type="cellIs" dxfId="84" priority="20" operator="equal">
      <formula>50</formula>
    </cfRule>
  </conditionalFormatting>
  <conditionalFormatting sqref="U52:U53">
    <cfRule type="cellIs" dxfId="83" priority="19" operator="equal">
      <formula>50</formula>
    </cfRule>
  </conditionalFormatting>
  <conditionalFormatting sqref="T44:T53">
    <cfRule type="cellIs" dxfId="82" priority="18" operator="equal">
      <formula>$F$72</formula>
    </cfRule>
  </conditionalFormatting>
  <conditionalFormatting sqref="S43:S53">
    <cfRule type="expression" dxfId="81" priority="211">
      <formula>#REF!=50</formula>
    </cfRule>
  </conditionalFormatting>
  <conditionalFormatting sqref="U43">
    <cfRule type="cellIs" dxfId="80" priority="17" operator="equal">
      <formula>50</formula>
    </cfRule>
  </conditionalFormatting>
  <conditionalFormatting sqref="U43">
    <cfRule type="expression" dxfId="79" priority="16">
      <formula>V43=50</formula>
    </cfRule>
  </conditionalFormatting>
  <conditionalFormatting sqref="B5:B34 F4:U4 F17:U17 F30:U30 F43:Q43">
    <cfRule type="expression" dxfId="78" priority="15">
      <formula>C4&lt;=$C$10</formula>
    </cfRule>
  </conditionalFormatting>
  <conditionalFormatting sqref="W43:X43 W44:W53">
    <cfRule type="cellIs" dxfId="77" priority="14" operator="equal">
      <formula>50</formula>
    </cfRule>
  </conditionalFormatting>
  <conditionalFormatting sqref="W43:X43 W44:W53">
    <cfRule type="expression" dxfId="76" priority="13">
      <formula>X43=50</formula>
    </cfRule>
  </conditionalFormatting>
  <conditionalFormatting sqref="X44:X53">
    <cfRule type="cellIs" dxfId="75" priority="12" operator="equal">
      <formula>50</formula>
    </cfRule>
  </conditionalFormatting>
  <conditionalFormatting sqref="W43:X43">
    <cfRule type="expression" dxfId="74" priority="11">
      <formula>X43&lt;=$C$10</formula>
    </cfRule>
  </conditionalFormatting>
  <conditionalFormatting sqref="G43">
    <cfRule type="cellIs" dxfId="73" priority="6" operator="equal">
      <formula>50</formula>
    </cfRule>
  </conditionalFormatting>
  <conditionalFormatting sqref="I43">
    <cfRule type="cellIs" dxfId="72" priority="5" operator="equal">
      <formula>50</formula>
    </cfRule>
  </conditionalFormatting>
  <conditionalFormatting sqref="K43">
    <cfRule type="cellIs" dxfId="71" priority="4" operator="equal">
      <formula>50</formula>
    </cfRule>
  </conditionalFormatting>
  <conditionalFormatting sqref="M43">
    <cfRule type="cellIs" dxfId="70" priority="3" operator="equal">
      <formula>50</formula>
    </cfRule>
  </conditionalFormatting>
  <conditionalFormatting sqref="O43">
    <cfRule type="cellIs" dxfId="69" priority="2" operator="equal">
      <formula>50</formula>
    </cfRule>
  </conditionalFormatting>
  <conditionalFormatting sqref="Q43">
    <cfRule type="cellIs" dxfId="68" priority="1" operator="equal">
      <formula>50</formula>
    </cfRule>
  </conditionalFormatting>
  <dataValidations count="2">
    <dataValidation type="list" allowBlank="1" showInputMessage="1" showErrorMessage="1" sqref="V52:V53 T54 R52:R54" xr:uid="{B1321A76-6E79-4E87-8FAD-CD035CE44441}">
      <formula1>#REF!</formula1>
    </dataValidation>
    <dataValidation type="list" allowBlank="1" showInputMessage="1" showErrorMessage="1" sqref="F13:F14 H13:H14 J13:J14 L13:L14 N13:N14 P13:P14 R13:R14 T13:T14 F26:F27 H26:H27 J26:J27 L26:L27 N26:N27 P26:P27 R26:R27 T26:T27 F39:F40 H39:H40 J39:J40 L39:L40 N39:N40 P39:P40 R39:R40 T39:T40 F52:F53 H52:H53 J52:J53 L52:L53 N52:N53 P52:P53 W52:W53" xr:uid="{CE0923D0-BD14-47FA-850F-C762D68D587C}">
      <formula1>NotTop40</formula1>
    </dataValidation>
  </dataValidations>
  <hyperlinks>
    <hyperlink ref="B36" r:id="rId1" xr:uid="{A99EB3DC-AEA4-4FD3-B6EF-A04254EAF48A}"/>
    <hyperlink ref="B53" r:id="rId2" xr:uid="{507FEA03-9883-4876-B97C-7AB5AA360628}"/>
    <hyperlink ref="E1:F1" r:id="rId3" display="Standings by Round" xr:uid="{DD55C090-D2C7-4933-AEC9-98D1BF0317D8}"/>
  </hyperlinks>
  <pageMargins left="0.7" right="0.7" top="0.75" bottom="0.75" header="0.3" footer="0.3"/>
  <pageSetup orientation="portrait" r:id="rId4"/>
  <webPublishItems count="1">
    <webPublishItem id="8329" divId="JoeMagneticoMicro_8329" sourceType="range" sourceRef="A1:U54" destinationFile="C:\pga\html\micro.htm"/>
  </webPublishItems>
  <extLst>
    <ext xmlns:x14="http://schemas.microsoft.com/office/spreadsheetml/2009/9/main" uri="{CCE6A557-97BC-4b89-ADB6-D9C93CAAB3DF}">
      <x14:dataValidations xmlns:xm="http://schemas.microsoft.com/office/excel/2006/main" count="10">
        <x14:dataValidation type="list" allowBlank="1" showInputMessage="1" showErrorMessage="1" xr:uid="{E30AC420-F31B-49D1-8B34-A85C1C539AE3}">
          <x14:formula1>
            <xm:f>'Top 40'!$C$3:$G$3</xm:f>
          </x14:formula1>
          <xm:sqref>F5 R31 H5 J5 N18 H18 R5 N31 J31 P5 P31 J18 R18 L31 L18 P18 H31 F18 F31 L5 T5 N5 P44 T18 R44 L44 T31 N44 F44 V44:W44 J44 H44</xm:sqref>
        </x14:dataValidation>
        <x14:dataValidation type="list" allowBlank="1" showInputMessage="1" showErrorMessage="1" xr:uid="{79AD9C2F-7B86-4B10-878B-4E621197236E}">
          <x14:formula1>
            <xm:f>'Top 40'!$C$5:$G$5</xm:f>
          </x14:formula1>
          <xm:sqref>J20 F20 H33 J33 N33 L7 F7 H7 J7 N7 V46:W46 F33 L33 R7 P33 R20 P20 N20 L20 H20 T7 R33 P7 T20 P46 N46 L46 R46 T33 F46 H46 J46</xm:sqref>
        </x14:dataValidation>
        <x14:dataValidation type="list" allowBlank="1" showInputMessage="1" showErrorMessage="1" xr:uid="{DEE9EE9A-8274-40D7-B6B4-D8932B3F3052}">
          <x14:formula1>
            <xm:f>'Top 40'!$C$6:$G$6</xm:f>
          </x14:formula1>
          <xm:sqref>F8 H8 J8 N8 L8 P34 P21 R34 R8 P8 L21 R21 L34 J21 H21 F21 F34 H34 J34 N34 N21 T8 P47 T21 R47 J47 N47 V47:W47 T34 L47 F47 H47</xm:sqref>
        </x14:dataValidation>
        <x14:dataValidation type="list" allowBlank="1" showInputMessage="1" showErrorMessage="1" xr:uid="{126AF9A2-D7AF-45F9-B9C2-6BA0B9107118}">
          <x14:formula1>
            <xm:f>'Top 40'!$C$4:$G$4</xm:f>
          </x14:formula1>
          <xm:sqref>F6 H6 J6 P19 N6 P6 L6 N19 V45:W45 P32 R6 R32 R19 H19 L19 T6 J19 F32 H32 N32 L32 J32 F19 T19 P45 N45 T32 L45 R45 J45 F45 H45</xm:sqref>
        </x14:dataValidation>
        <x14:dataValidation type="list" allowBlank="1" showInputMessage="1" showErrorMessage="1" xr:uid="{0811DA0D-F971-4B44-891D-BD7540E75C82}">
          <x14:formula1>
            <xm:f>'Top 40'!$C$7:$E$7</xm:f>
          </x14:formula1>
          <xm:sqref>R48 V48</xm:sqref>
        </x14:dataValidation>
        <x14:dataValidation type="list" allowBlank="1" showInputMessage="1" showErrorMessage="1" xr:uid="{AA3603E9-EFA3-4171-9B2F-A38936412F72}">
          <x14:formula1>
            <xm:f>'Top 40'!$C$8:$G$8</xm:f>
          </x14:formula1>
          <xm:sqref>F10 H10 J10 L10 N10 P10 R36 R10 T10 R23 P23 N23 P36 H23 L23 F23 F36 J23 L36 H36 N36 J36 P49 T23 R49 N49 T36 J49 V49:W49 L49 F49 H49</xm:sqref>
        </x14:dataValidation>
        <x14:dataValidation type="list" allowBlank="1" showInputMessage="1" showErrorMessage="1" xr:uid="{998EDAB5-DA6C-47E4-89A2-8F7058F19ABE}">
          <x14:formula1>
            <xm:f>'Top 40'!$C$9:$G$9</xm:f>
          </x14:formula1>
          <xm:sqref>F11 R11 J11 L11 N11 F24 T11 R37 H11 P37 R24 P11 P24 J24 L24 N24 F37 H24 H37 L37 N37 J37 L50 T24 H50 R50 V50:W50 J50 N50 T37 F50 P50</xm:sqref>
        </x14:dataValidation>
        <x14:dataValidation type="list" allowBlank="1" showInputMessage="1" showErrorMessage="1" xr:uid="{F93300B1-7011-4AF6-B911-9B81CD770B10}">
          <x14:formula1>
            <xm:f>'Top 40'!$C$10:$G$10</xm:f>
          </x14:formula1>
          <xm:sqref>R51 H38 N51 T25 J38 L38 L51 V51:W51 F12 H12 J12 L12 N12 P12 N38 T38 P38 R38 R12 R25 P25 N25 L25 J25 H25 F25 F38 H51 P51 J51 F51 T12</xm:sqref>
        </x14:dataValidation>
        <x14:dataValidation type="list" allowBlank="1" showInputMessage="1" showErrorMessage="1" xr:uid="{C57302DA-B8F7-43B6-BD08-55788C103F23}">
          <x14:formula1>
            <xm:f>'Top 40'!$C$7:$G$7</xm:f>
          </x14:formula1>
          <xm:sqref>F9 H9 J9 L9 N9 P9 R9 T9 F22 H22 J22 L22 N22 P22 R22 T22 F35 H35 J35 L35 N35 P35 T35 F48 H48 J48 L48 N48 P48 W48 R35</xm:sqref>
        </x14:dataValidation>
        <x14:dataValidation type="list" allowBlank="1" showInputMessage="1" showErrorMessage="1" xr:uid="{F4514ABF-096B-412D-8AF3-37FF6B0486CF}">
          <x14:formula1>
            <xm:f>eField!$A$2:$A$75</xm:f>
          </x14:formula1>
          <xm:sqref>H15 F15 L15 N15 P15 R15 T15 F28 F41 T28 R28 P28 N28 L28 J28 H28 H41 J41 L41 N41 P41 R41 T41 F54 H54 J54 L54 N54 P54 J15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859DF-2E7D-4D32-9C9B-F9D7138250F1}">
  <sheetPr codeName="Sheet1"/>
  <dimension ref="B1:AA39"/>
  <sheetViews>
    <sheetView workbookViewId="0">
      <pane ySplit="1" topLeftCell="A2" activePane="bottomLeft" state="frozen"/>
      <selection pane="bottomLeft" activeCell="A2" sqref="A2"/>
    </sheetView>
  </sheetViews>
  <sheetFormatPr defaultRowHeight="12.5" x14ac:dyDescent="0.25"/>
  <cols>
    <col min="2" max="2" width="23.90625" customWidth="1"/>
    <col min="3" max="13" width="7.90625" customWidth="1"/>
    <col min="14" max="14" width="13.54296875" customWidth="1"/>
    <col min="15" max="15" width="25.36328125" customWidth="1"/>
    <col min="16" max="24" width="7.1796875" customWidth="1"/>
    <col min="25" max="25" width="7.1796875" style="18" customWidth="1"/>
    <col min="26" max="26" width="7.1796875" customWidth="1"/>
  </cols>
  <sheetData>
    <row r="1" spans="2:27" ht="20.5" customHeight="1" thickBot="1" x14ac:dyDescent="0.3">
      <c r="B1" s="196" t="s">
        <v>260</v>
      </c>
      <c r="C1" s="202" t="s">
        <v>261</v>
      </c>
      <c r="D1" s="202"/>
      <c r="E1" s="202"/>
      <c r="F1" s="203" t="s">
        <v>262</v>
      </c>
      <c r="G1" s="203"/>
      <c r="H1" s="203"/>
      <c r="O1" s="196" t="s">
        <v>260</v>
      </c>
      <c r="P1" s="202" t="s">
        <v>265</v>
      </c>
      <c r="Q1" s="202"/>
      <c r="R1" s="202"/>
      <c r="S1" s="203" t="s">
        <v>262</v>
      </c>
      <c r="T1" s="203"/>
      <c r="U1" s="203"/>
      <c r="Y1"/>
    </row>
    <row r="2" spans="2:27" x14ac:dyDescent="0.25">
      <c r="Y2"/>
    </row>
    <row r="3" spans="2:27" ht="17.5" x14ac:dyDescent="0.35">
      <c r="B3" s="204" t="s">
        <v>263</v>
      </c>
      <c r="C3" s="205"/>
      <c r="D3" s="205"/>
      <c r="E3" s="205"/>
      <c r="F3" s="205"/>
      <c r="G3" s="205"/>
      <c r="H3" s="205"/>
      <c r="I3" s="205"/>
      <c r="J3" s="205"/>
      <c r="K3" s="205"/>
      <c r="L3" s="205"/>
      <c r="M3" s="206"/>
      <c r="N3" s="140"/>
      <c r="O3" s="204" t="s">
        <v>264</v>
      </c>
      <c r="P3" s="205"/>
      <c r="Q3" s="205"/>
      <c r="R3" s="205"/>
      <c r="S3" s="205"/>
      <c r="T3" s="205"/>
      <c r="U3" s="205"/>
      <c r="V3" s="205"/>
      <c r="W3" s="205"/>
      <c r="X3" s="205"/>
      <c r="Y3" s="205"/>
      <c r="Z3" s="206"/>
      <c r="AA3" s="140"/>
    </row>
    <row r="4" spans="2:27" ht="17.5" x14ac:dyDescent="0.35">
      <c r="B4" s="193" t="str">
        <f>Status!$C$19</f>
        <v>06/28 21:45 EDT</v>
      </c>
      <c r="C4" s="168"/>
      <c r="D4" s="168"/>
      <c r="E4" s="169"/>
      <c r="F4" s="168"/>
      <c r="G4" s="168"/>
      <c r="H4" s="168"/>
      <c r="I4" s="168"/>
      <c r="J4" s="168"/>
      <c r="K4" s="168"/>
      <c r="L4" s="168"/>
      <c r="M4" s="170"/>
      <c r="N4" s="140"/>
      <c r="O4" s="193" t="str">
        <f>Status!$C$19</f>
        <v>06/28 21:45 EDT</v>
      </c>
      <c r="P4" s="168"/>
      <c r="Q4" s="168"/>
      <c r="R4" s="169"/>
      <c r="S4" s="168"/>
      <c r="T4" s="168"/>
      <c r="U4" s="168"/>
      <c r="V4" s="168"/>
      <c r="W4" s="168"/>
      <c r="X4" s="168"/>
      <c r="Y4" s="168"/>
      <c r="Z4" s="170"/>
      <c r="AA4" s="140"/>
    </row>
    <row r="5" spans="2:27" ht="17.5" x14ac:dyDescent="0.35">
      <c r="B5" s="171"/>
      <c r="C5" s="172"/>
      <c r="D5" s="172"/>
      <c r="E5" s="204" t="s">
        <v>255</v>
      </c>
      <c r="F5" s="205"/>
      <c r="G5" s="205"/>
      <c r="H5" s="206"/>
      <c r="I5" s="204" t="s">
        <v>256</v>
      </c>
      <c r="J5" s="205"/>
      <c r="K5" s="205"/>
      <c r="L5" s="206"/>
      <c r="M5" s="173"/>
      <c r="N5" s="140"/>
      <c r="O5" s="171"/>
      <c r="P5" s="172"/>
      <c r="Q5" s="172"/>
      <c r="R5" s="204" t="s">
        <v>255</v>
      </c>
      <c r="S5" s="205"/>
      <c r="T5" s="205"/>
      <c r="U5" s="206"/>
      <c r="V5" s="204" t="s">
        <v>256</v>
      </c>
      <c r="W5" s="205"/>
      <c r="X5" s="205"/>
      <c r="Y5" s="206"/>
      <c r="Z5" s="173"/>
      <c r="AA5" s="140"/>
    </row>
    <row r="6" spans="2:27" ht="17.5" x14ac:dyDescent="0.35">
      <c r="B6" s="174" t="s">
        <v>219</v>
      </c>
      <c r="C6" s="165" t="s">
        <v>55</v>
      </c>
      <c r="D6" s="188" t="s">
        <v>249</v>
      </c>
      <c r="E6" s="166" t="s">
        <v>259</v>
      </c>
      <c r="F6" s="166" t="s">
        <v>236</v>
      </c>
      <c r="G6" s="166" t="s">
        <v>237</v>
      </c>
      <c r="H6" s="167" t="s">
        <v>238</v>
      </c>
      <c r="I6" s="167" t="s">
        <v>259</v>
      </c>
      <c r="J6" s="167" t="s">
        <v>236</v>
      </c>
      <c r="K6" s="167" t="s">
        <v>237</v>
      </c>
      <c r="L6" s="167" t="s">
        <v>238</v>
      </c>
      <c r="M6" s="175" t="s">
        <v>229</v>
      </c>
      <c r="N6" s="140"/>
      <c r="O6" s="174" t="s">
        <v>219</v>
      </c>
      <c r="P6" s="165" t="s">
        <v>55</v>
      </c>
      <c r="Q6" s="188" t="s">
        <v>249</v>
      </c>
      <c r="R6" s="175" t="s">
        <v>259</v>
      </c>
      <c r="S6" s="175" t="s">
        <v>236</v>
      </c>
      <c r="T6" s="175" t="s">
        <v>237</v>
      </c>
      <c r="U6" s="167" t="s">
        <v>238</v>
      </c>
      <c r="V6" s="167" t="s">
        <v>259</v>
      </c>
      <c r="W6" s="167" t="s">
        <v>236</v>
      </c>
      <c r="X6" s="167" t="s">
        <v>237</v>
      </c>
      <c r="Y6" s="167" t="s">
        <v>238</v>
      </c>
      <c r="Z6" s="175" t="s">
        <v>229</v>
      </c>
      <c r="AA6" s="140"/>
    </row>
    <row r="7" spans="2:27" ht="17.5" x14ac:dyDescent="0.35">
      <c r="B7" s="176" t="str" cm="1">
        <f t="array" ref="B7:L33">_xlfn._xlws.SORT(ESPNPicks!F60:P86,2,1,FALSE)</f>
        <v>Joe Magnetico</v>
      </c>
      <c r="C7" s="177">
        <v>-95</v>
      </c>
      <c r="D7" s="189">
        <v>-20</v>
      </c>
      <c r="E7" s="178">
        <v>-95</v>
      </c>
      <c r="F7" s="178">
        <v>0</v>
      </c>
      <c r="G7" s="178">
        <v>0</v>
      </c>
      <c r="H7" s="179">
        <v>0</v>
      </c>
      <c r="I7" s="179" t="e">
        <v>#NUM!</v>
      </c>
      <c r="J7" s="179">
        <v>0</v>
      </c>
      <c r="K7" s="179">
        <v>0</v>
      </c>
      <c r="L7" s="179">
        <v>0</v>
      </c>
      <c r="M7" s="180"/>
      <c r="N7" s="140"/>
      <c r="O7" s="176" t="str" cm="1">
        <f t="array" ref="O7:Y36">_xlfn._xlws.SORT(ESPNMicro!F60:P89,2,1,FALSE)</f>
        <v>Dick Webster</v>
      </c>
      <c r="P7" s="177">
        <v>-93</v>
      </c>
      <c r="Q7" s="189">
        <v>-19</v>
      </c>
      <c r="R7" s="180">
        <v>-93</v>
      </c>
      <c r="S7" s="180">
        <v>0</v>
      </c>
      <c r="T7" s="180">
        <v>0</v>
      </c>
      <c r="U7" s="179">
        <v>0</v>
      </c>
      <c r="V7" s="179" t="e">
        <v>#NUM!</v>
      </c>
      <c r="W7" s="179">
        <v>0</v>
      </c>
      <c r="X7" s="179">
        <v>0</v>
      </c>
      <c r="Y7" s="179">
        <v>0</v>
      </c>
      <c r="Z7" s="186"/>
      <c r="AA7" s="140"/>
    </row>
    <row r="8" spans="2:27" ht="17.5" x14ac:dyDescent="0.35">
      <c r="B8" s="176" t="str">
        <v>Richard Webster</v>
      </c>
      <c r="C8" s="177" t="e">
        <v>#NUM!</v>
      </c>
      <c r="D8" s="189">
        <v>0</v>
      </c>
      <c r="E8" s="178" t="e">
        <v>#NUM!</v>
      </c>
      <c r="F8" s="178">
        <v>0</v>
      </c>
      <c r="G8" s="178">
        <v>0</v>
      </c>
      <c r="H8" s="179">
        <v>0</v>
      </c>
      <c r="I8" s="179" t="e">
        <v>#NUM!</v>
      </c>
      <c r="J8" s="179">
        <v>0</v>
      </c>
      <c r="K8" s="179">
        <v>0</v>
      </c>
      <c r="L8" s="179">
        <v>0</v>
      </c>
      <c r="M8" s="180"/>
      <c r="N8" s="140"/>
      <c r="O8" s="176" t="str">
        <v>Riley Mattson</v>
      </c>
      <c r="P8" s="177" t="e">
        <v>#NUM!</v>
      </c>
      <c r="Q8" s="189">
        <v>0</v>
      </c>
      <c r="R8" s="180" t="e">
        <v>#NUM!</v>
      </c>
      <c r="S8" s="180">
        <v>0</v>
      </c>
      <c r="T8" s="180">
        <v>0</v>
      </c>
      <c r="U8" s="179">
        <v>0</v>
      </c>
      <c r="V8" s="179" t="e">
        <v>#NUM!</v>
      </c>
      <c r="W8" s="179">
        <v>0</v>
      </c>
      <c r="X8" s="179">
        <v>0</v>
      </c>
      <c r="Y8" s="179">
        <v>0</v>
      </c>
      <c r="Z8" s="186"/>
      <c r="AA8" s="140"/>
    </row>
    <row r="9" spans="2:27" ht="17.5" x14ac:dyDescent="0.35">
      <c r="B9" s="176" t="str">
        <v>Dean Nardone</v>
      </c>
      <c r="C9" s="177" t="e">
        <v>#NUM!</v>
      </c>
      <c r="D9" s="189">
        <v>0</v>
      </c>
      <c r="E9" s="178" t="e">
        <v>#NUM!</v>
      </c>
      <c r="F9" s="178">
        <v>0</v>
      </c>
      <c r="G9" s="178">
        <v>0</v>
      </c>
      <c r="H9" s="179">
        <v>0</v>
      </c>
      <c r="I9" s="179" t="e">
        <v>#NUM!</v>
      </c>
      <c r="J9" s="179">
        <v>0</v>
      </c>
      <c r="K9" s="179">
        <v>0</v>
      </c>
      <c r="L9" s="179">
        <v>0</v>
      </c>
      <c r="M9" s="180"/>
      <c r="N9" s="140"/>
      <c r="O9" s="176" t="str">
        <v>Judd Holiday</v>
      </c>
      <c r="P9" s="177" t="e">
        <v>#NUM!</v>
      </c>
      <c r="Q9" s="189">
        <v>0</v>
      </c>
      <c r="R9" s="180" t="e">
        <v>#NUM!</v>
      </c>
      <c r="S9" s="180">
        <v>0</v>
      </c>
      <c r="T9" s="180">
        <v>0</v>
      </c>
      <c r="U9" s="179">
        <v>0</v>
      </c>
      <c r="V9" s="179" t="e">
        <v>#NUM!</v>
      </c>
      <c r="W9" s="179">
        <v>0</v>
      </c>
      <c r="X9" s="179">
        <v>0</v>
      </c>
      <c r="Y9" s="179">
        <v>0</v>
      </c>
      <c r="Z9" s="186"/>
      <c r="AA9" s="140"/>
    </row>
    <row r="10" spans="2:27" ht="17.5" x14ac:dyDescent="0.35">
      <c r="B10" s="176" t="str">
        <v>Charlie Adams</v>
      </c>
      <c r="C10" s="177" t="e">
        <v>#NUM!</v>
      </c>
      <c r="D10" s="189">
        <v>0</v>
      </c>
      <c r="E10" s="178" t="e">
        <v>#NUM!</v>
      </c>
      <c r="F10" s="178">
        <v>0</v>
      </c>
      <c r="G10" s="178">
        <v>0</v>
      </c>
      <c r="H10" s="179">
        <v>0</v>
      </c>
      <c r="I10" s="179" t="e">
        <v>#NUM!</v>
      </c>
      <c r="J10" s="179">
        <v>0</v>
      </c>
      <c r="K10" s="179">
        <v>0</v>
      </c>
      <c r="L10" s="179">
        <v>0</v>
      </c>
      <c r="M10" s="180"/>
      <c r="N10" s="140"/>
      <c r="O10" s="176" t="str">
        <v>Jack Donasky</v>
      </c>
      <c r="P10" s="177" t="e">
        <v>#NUM!</v>
      </c>
      <c r="Q10" s="189">
        <v>0</v>
      </c>
      <c r="R10" s="180" t="e">
        <v>#NUM!</v>
      </c>
      <c r="S10" s="180">
        <v>0</v>
      </c>
      <c r="T10" s="180">
        <v>0</v>
      </c>
      <c r="U10" s="179">
        <v>0</v>
      </c>
      <c r="V10" s="179" t="e">
        <v>#NUM!</v>
      </c>
      <c r="W10" s="179">
        <v>0</v>
      </c>
      <c r="X10" s="179">
        <v>0</v>
      </c>
      <c r="Y10" s="179">
        <v>0</v>
      </c>
      <c r="Z10" s="186"/>
      <c r="AA10" s="140"/>
    </row>
    <row r="11" spans="2:27" ht="17.5" x14ac:dyDescent="0.35">
      <c r="B11" s="176" t="str">
        <v>Gary Casarsa</v>
      </c>
      <c r="C11" s="177" t="e">
        <v>#NUM!</v>
      </c>
      <c r="D11" s="189">
        <v>0</v>
      </c>
      <c r="E11" s="178" t="e">
        <v>#NUM!</v>
      </c>
      <c r="F11" s="178">
        <v>0</v>
      </c>
      <c r="G11" s="178">
        <v>0</v>
      </c>
      <c r="H11" s="179">
        <v>0</v>
      </c>
      <c r="I11" s="179" t="e">
        <v>#NUM!</v>
      </c>
      <c r="J11" s="179">
        <v>0</v>
      </c>
      <c r="K11" s="179">
        <v>0</v>
      </c>
      <c r="L11" s="179">
        <v>0</v>
      </c>
      <c r="M11" s="180"/>
      <c r="N11" s="140"/>
      <c r="O11" s="176" t="str">
        <v>Fred Allen</v>
      </c>
      <c r="P11" s="177" t="e">
        <v>#NUM!</v>
      </c>
      <c r="Q11" s="189">
        <v>0</v>
      </c>
      <c r="R11" s="180" t="e">
        <v>#NUM!</v>
      </c>
      <c r="S11" s="180">
        <v>0</v>
      </c>
      <c r="T11" s="180">
        <v>0</v>
      </c>
      <c r="U11" s="179">
        <v>0</v>
      </c>
      <c r="V11" s="179" t="e">
        <v>#NUM!</v>
      </c>
      <c r="W11" s="179">
        <v>0</v>
      </c>
      <c r="X11" s="179">
        <v>0</v>
      </c>
      <c r="Y11" s="179">
        <v>0</v>
      </c>
      <c r="Z11" s="186"/>
      <c r="AA11" s="140"/>
    </row>
    <row r="12" spans="2:27" ht="17.5" x14ac:dyDescent="0.35">
      <c r="B12" s="176" t="str">
        <v>Halley Ganges</v>
      </c>
      <c r="C12" s="177" t="e">
        <v>#NUM!</v>
      </c>
      <c r="D12" s="190">
        <v>0</v>
      </c>
      <c r="E12" s="178" t="e">
        <v>#NUM!</v>
      </c>
      <c r="F12" s="178">
        <v>0</v>
      </c>
      <c r="G12" s="178">
        <v>0</v>
      </c>
      <c r="H12" s="179">
        <v>0</v>
      </c>
      <c r="I12" s="179" t="e">
        <v>#NUM!</v>
      </c>
      <c r="J12" s="179">
        <v>0</v>
      </c>
      <c r="K12" s="179">
        <v>0</v>
      </c>
      <c r="L12" s="179">
        <v>0</v>
      </c>
      <c r="M12" s="180"/>
      <c r="N12" s="140"/>
      <c r="O12" s="176" t="str">
        <v>Linda Hill</v>
      </c>
      <c r="P12" s="177" t="e">
        <v>#NUM!</v>
      </c>
      <c r="Q12" s="190">
        <v>0</v>
      </c>
      <c r="R12" s="180" t="e">
        <v>#NUM!</v>
      </c>
      <c r="S12" s="180">
        <v>0</v>
      </c>
      <c r="T12" s="180">
        <v>0</v>
      </c>
      <c r="U12" s="179">
        <v>0</v>
      </c>
      <c r="V12" s="179" t="e">
        <v>#NUM!</v>
      </c>
      <c r="W12" s="179">
        <v>0</v>
      </c>
      <c r="X12" s="179">
        <v>0</v>
      </c>
      <c r="Y12" s="179">
        <v>0</v>
      </c>
      <c r="Z12" s="186"/>
      <c r="AA12" s="140"/>
    </row>
    <row r="13" spans="2:27" ht="17.5" x14ac:dyDescent="0.35">
      <c r="B13" s="176" t="str">
        <v>Matt Desai</v>
      </c>
      <c r="C13" s="177" t="e">
        <v>#NUM!</v>
      </c>
      <c r="D13" s="190">
        <v>0</v>
      </c>
      <c r="E13" s="178" t="e">
        <v>#NUM!</v>
      </c>
      <c r="F13" s="178">
        <v>0</v>
      </c>
      <c r="G13" s="178">
        <v>0</v>
      </c>
      <c r="H13" s="179">
        <v>0</v>
      </c>
      <c r="I13" s="179" t="e">
        <v>#NUM!</v>
      </c>
      <c r="J13" s="179">
        <v>0</v>
      </c>
      <c r="K13" s="179">
        <v>0</v>
      </c>
      <c r="L13" s="179">
        <v>0</v>
      </c>
      <c r="M13" s="180"/>
      <c r="N13" s="140"/>
      <c r="O13" s="176" t="str">
        <v>Allan Armstrong</v>
      </c>
      <c r="P13" s="177" t="e">
        <v>#NUM!</v>
      </c>
      <c r="Q13" s="190">
        <v>0</v>
      </c>
      <c r="R13" s="180" t="e">
        <v>#NUM!</v>
      </c>
      <c r="S13" s="180">
        <v>0</v>
      </c>
      <c r="T13" s="180">
        <v>0</v>
      </c>
      <c r="U13" s="179">
        <v>0</v>
      </c>
      <c r="V13" s="179" t="e">
        <v>#NUM!</v>
      </c>
      <c r="W13" s="179">
        <v>0</v>
      </c>
      <c r="X13" s="179">
        <v>0</v>
      </c>
      <c r="Y13" s="179">
        <v>0</v>
      </c>
      <c r="Z13" s="186"/>
      <c r="AA13" s="140"/>
    </row>
    <row r="14" spans="2:27" ht="17.5" x14ac:dyDescent="0.35">
      <c r="B14" s="176" t="str">
        <v>Mike Coope</v>
      </c>
      <c r="C14" s="177" t="e">
        <v>#NUM!</v>
      </c>
      <c r="D14" s="190">
        <v>0</v>
      </c>
      <c r="E14" s="178" t="e">
        <v>#NUM!</v>
      </c>
      <c r="F14" s="178">
        <v>0</v>
      </c>
      <c r="G14" s="178">
        <v>0</v>
      </c>
      <c r="H14" s="179">
        <v>0</v>
      </c>
      <c r="I14" s="179" t="e">
        <v>#NUM!</v>
      </c>
      <c r="J14" s="179">
        <v>0</v>
      </c>
      <c r="K14" s="179">
        <v>0</v>
      </c>
      <c r="L14" s="179">
        <v>0</v>
      </c>
      <c r="M14" s="180"/>
      <c r="N14" s="140"/>
      <c r="O14" s="176" t="str">
        <v>John Horvath</v>
      </c>
      <c r="P14" s="177" t="e">
        <v>#NUM!</v>
      </c>
      <c r="Q14" s="190">
        <v>0</v>
      </c>
      <c r="R14" s="180" t="e">
        <v>#NUM!</v>
      </c>
      <c r="S14" s="180">
        <v>0</v>
      </c>
      <c r="T14" s="180">
        <v>0</v>
      </c>
      <c r="U14" s="179">
        <v>0</v>
      </c>
      <c r="V14" s="179" t="e">
        <v>#NUM!</v>
      </c>
      <c r="W14" s="179">
        <v>0</v>
      </c>
      <c r="X14" s="179">
        <v>0</v>
      </c>
      <c r="Y14" s="179">
        <v>0</v>
      </c>
      <c r="Z14" s="186"/>
      <c r="AA14" s="140"/>
    </row>
    <row r="15" spans="2:27" ht="17.5" x14ac:dyDescent="0.35">
      <c r="B15" s="176" t="str">
        <v>Bill Seeger</v>
      </c>
      <c r="C15" s="177" t="e">
        <v>#NUM!</v>
      </c>
      <c r="D15" s="190">
        <v>0</v>
      </c>
      <c r="E15" s="178" t="e">
        <v>#NUM!</v>
      </c>
      <c r="F15" s="178">
        <v>0</v>
      </c>
      <c r="G15" s="178">
        <v>0</v>
      </c>
      <c r="H15" s="179">
        <v>0</v>
      </c>
      <c r="I15" s="179" t="e">
        <v>#NUM!</v>
      </c>
      <c r="J15" s="179">
        <v>0</v>
      </c>
      <c r="K15" s="179">
        <v>0</v>
      </c>
      <c r="L15" s="179">
        <v>0</v>
      </c>
      <c r="M15" s="180"/>
      <c r="N15" s="140"/>
      <c r="O15" s="176" t="str">
        <v>Craig Chernick</v>
      </c>
      <c r="P15" s="177" t="e">
        <v>#NUM!</v>
      </c>
      <c r="Q15" s="190">
        <v>0</v>
      </c>
      <c r="R15" s="180" t="e">
        <v>#NUM!</v>
      </c>
      <c r="S15" s="180">
        <v>0</v>
      </c>
      <c r="T15" s="180">
        <v>0</v>
      </c>
      <c r="U15" s="179">
        <v>0</v>
      </c>
      <c r="V15" s="179" t="e">
        <v>#NUM!</v>
      </c>
      <c r="W15" s="179">
        <v>0</v>
      </c>
      <c r="X15" s="179">
        <v>0</v>
      </c>
      <c r="Y15" s="179">
        <v>0</v>
      </c>
      <c r="Z15" s="186"/>
      <c r="AA15" s="140"/>
    </row>
    <row r="16" spans="2:27" ht="17.5" x14ac:dyDescent="0.35">
      <c r="B16" s="176" t="str">
        <v>Laurie Seeger</v>
      </c>
      <c r="C16" s="177" t="e">
        <v>#NUM!</v>
      </c>
      <c r="D16" s="190">
        <v>0</v>
      </c>
      <c r="E16" s="178" t="e">
        <v>#NUM!</v>
      </c>
      <c r="F16" s="178">
        <v>0</v>
      </c>
      <c r="G16" s="178">
        <v>0</v>
      </c>
      <c r="H16" s="179">
        <v>0</v>
      </c>
      <c r="I16" s="179" t="e">
        <v>#NUM!</v>
      </c>
      <c r="J16" s="179">
        <v>0</v>
      </c>
      <c r="K16" s="179">
        <v>0</v>
      </c>
      <c r="L16" s="179">
        <v>0</v>
      </c>
      <c r="M16" s="180"/>
      <c r="N16" s="140"/>
      <c r="O16" s="176" t="str">
        <v>Wally Rush</v>
      </c>
      <c r="P16" s="177" t="e">
        <v>#NUM!</v>
      </c>
      <c r="Q16" s="190">
        <v>0</v>
      </c>
      <c r="R16" s="180" t="e">
        <v>#NUM!</v>
      </c>
      <c r="S16" s="180">
        <v>0</v>
      </c>
      <c r="T16" s="180">
        <v>0</v>
      </c>
      <c r="U16" s="179">
        <v>0</v>
      </c>
      <c r="V16" s="179" t="e">
        <v>#NUM!</v>
      </c>
      <c r="W16" s="179">
        <v>0</v>
      </c>
      <c r="X16" s="179">
        <v>0</v>
      </c>
      <c r="Y16" s="179">
        <v>0</v>
      </c>
      <c r="Z16" s="186"/>
      <c r="AA16" s="140"/>
    </row>
    <row r="17" spans="2:27" ht="17.5" x14ac:dyDescent="0.35">
      <c r="B17" s="176" t="str">
        <v>Ann Heal</v>
      </c>
      <c r="C17" s="177" t="e">
        <v>#NUM!</v>
      </c>
      <c r="D17" s="190">
        <v>0</v>
      </c>
      <c r="E17" s="178" t="e">
        <v>#NUM!</v>
      </c>
      <c r="F17" s="178">
        <v>0</v>
      </c>
      <c r="G17" s="178">
        <v>0</v>
      </c>
      <c r="H17" s="179">
        <v>0</v>
      </c>
      <c r="I17" s="179" t="e">
        <v>#NUM!</v>
      </c>
      <c r="J17" s="179">
        <v>0</v>
      </c>
      <c r="K17" s="179">
        <v>0</v>
      </c>
      <c r="L17" s="179">
        <v>0</v>
      </c>
      <c r="M17" s="180"/>
      <c r="N17" s="140"/>
      <c r="O17" s="176" t="str">
        <v>Allyn Dean</v>
      </c>
      <c r="P17" s="177" t="e">
        <v>#NUM!</v>
      </c>
      <c r="Q17" s="190">
        <v>0</v>
      </c>
      <c r="R17" s="180" t="e">
        <v>#NUM!</v>
      </c>
      <c r="S17" s="180">
        <v>0</v>
      </c>
      <c r="T17" s="180">
        <v>0</v>
      </c>
      <c r="U17" s="179">
        <v>0</v>
      </c>
      <c r="V17" s="179" t="e">
        <v>#NUM!</v>
      </c>
      <c r="W17" s="179">
        <v>0</v>
      </c>
      <c r="X17" s="179">
        <v>0</v>
      </c>
      <c r="Y17" s="179">
        <v>0</v>
      </c>
      <c r="Z17" s="186"/>
      <c r="AA17" s="140"/>
    </row>
    <row r="18" spans="2:27" ht="17.5" x14ac:dyDescent="0.35">
      <c r="B18" s="176" t="str">
        <v>Lorraine McGill</v>
      </c>
      <c r="C18" s="177" t="e">
        <v>#NUM!</v>
      </c>
      <c r="D18" s="190">
        <v>0</v>
      </c>
      <c r="E18" s="178" t="e">
        <v>#NUM!</v>
      </c>
      <c r="F18" s="178">
        <v>0</v>
      </c>
      <c r="G18" s="178">
        <v>0</v>
      </c>
      <c r="H18" s="179">
        <v>0</v>
      </c>
      <c r="I18" s="179" t="e">
        <v>#NUM!</v>
      </c>
      <c r="J18" s="179">
        <v>0</v>
      </c>
      <c r="K18" s="179">
        <v>0</v>
      </c>
      <c r="L18" s="179">
        <v>0</v>
      </c>
      <c r="M18" s="180"/>
      <c r="N18" s="140"/>
      <c r="O18" s="176" t="str">
        <v>Ed Bernau</v>
      </c>
      <c r="P18" s="177" t="e">
        <v>#NUM!</v>
      </c>
      <c r="Q18" s="190">
        <v>0</v>
      </c>
      <c r="R18" s="180" t="e">
        <v>#NUM!</v>
      </c>
      <c r="S18" s="180">
        <v>0</v>
      </c>
      <c r="T18" s="180">
        <v>0</v>
      </c>
      <c r="U18" s="179">
        <v>0</v>
      </c>
      <c r="V18" s="179" t="e">
        <v>#NUM!</v>
      </c>
      <c r="W18" s="179">
        <v>0</v>
      </c>
      <c r="X18" s="179">
        <v>0</v>
      </c>
      <c r="Y18" s="179">
        <v>0</v>
      </c>
      <c r="Z18" s="186"/>
      <c r="AA18" s="140"/>
    </row>
    <row r="19" spans="2:27" ht="17.5" x14ac:dyDescent="0.35">
      <c r="B19" s="176" t="str">
        <v>Steve McFadden</v>
      </c>
      <c r="C19" s="177" t="e">
        <v>#NUM!</v>
      </c>
      <c r="D19" s="190">
        <v>0</v>
      </c>
      <c r="E19" s="178" t="e">
        <v>#NUM!</v>
      </c>
      <c r="F19" s="178">
        <v>0</v>
      </c>
      <c r="G19" s="178">
        <v>0</v>
      </c>
      <c r="H19" s="179">
        <v>0</v>
      </c>
      <c r="I19" s="179" t="e">
        <v>#NUM!</v>
      </c>
      <c r="J19" s="179">
        <v>0</v>
      </c>
      <c r="K19" s="179">
        <v>0</v>
      </c>
      <c r="L19" s="179">
        <v>0</v>
      </c>
      <c r="M19" s="180"/>
      <c r="N19" s="140"/>
      <c r="O19" s="176" t="str">
        <v>Cal Dillabaugh</v>
      </c>
      <c r="P19" s="177" t="e">
        <v>#NUM!</v>
      </c>
      <c r="Q19" s="190">
        <v>0</v>
      </c>
      <c r="R19" s="180" t="e">
        <v>#NUM!</v>
      </c>
      <c r="S19" s="180">
        <v>0</v>
      </c>
      <c r="T19" s="180">
        <v>0</v>
      </c>
      <c r="U19" s="179">
        <v>0</v>
      </c>
      <c r="V19" s="179" t="e">
        <v>#NUM!</v>
      </c>
      <c r="W19" s="179">
        <v>0</v>
      </c>
      <c r="X19" s="179">
        <v>0</v>
      </c>
      <c r="Y19" s="179">
        <v>0</v>
      </c>
      <c r="Z19" s="186"/>
      <c r="AA19" s="140"/>
    </row>
    <row r="20" spans="2:27" ht="17.5" x14ac:dyDescent="0.35">
      <c r="B20" s="176" t="str">
        <v>Chris Callahan</v>
      </c>
      <c r="C20" s="177" t="e">
        <v>#NUM!</v>
      </c>
      <c r="D20" s="190">
        <v>0</v>
      </c>
      <c r="E20" s="178" t="e">
        <v>#NUM!</v>
      </c>
      <c r="F20" s="178">
        <v>0</v>
      </c>
      <c r="G20" s="178">
        <v>0</v>
      </c>
      <c r="H20" s="179">
        <v>0</v>
      </c>
      <c r="I20" s="179" t="e">
        <v>#NUM!</v>
      </c>
      <c r="J20" s="179">
        <v>0</v>
      </c>
      <c r="K20" s="179">
        <v>0</v>
      </c>
      <c r="L20" s="179">
        <v>0</v>
      </c>
      <c r="M20" s="180"/>
      <c r="N20" s="140"/>
      <c r="O20" s="176" t="str">
        <v>Ben Hill</v>
      </c>
      <c r="P20" s="177" t="e">
        <v>#NUM!</v>
      </c>
      <c r="Q20" s="190">
        <v>0</v>
      </c>
      <c r="R20" s="180" t="e">
        <v>#NUM!</v>
      </c>
      <c r="S20" s="180">
        <v>0</v>
      </c>
      <c r="T20" s="180">
        <v>0</v>
      </c>
      <c r="U20" s="179">
        <v>0</v>
      </c>
      <c r="V20" s="179" t="e">
        <v>#NUM!</v>
      </c>
      <c r="W20" s="179">
        <v>0</v>
      </c>
      <c r="X20" s="179">
        <v>0</v>
      </c>
      <c r="Y20" s="179">
        <v>0</v>
      </c>
      <c r="Z20" s="186"/>
      <c r="AA20" s="140"/>
    </row>
    <row r="21" spans="2:27" ht="17.5" x14ac:dyDescent="0.35">
      <c r="B21" s="176" t="str">
        <v>Sean Christian</v>
      </c>
      <c r="C21" s="177" t="e">
        <v>#NUM!</v>
      </c>
      <c r="D21" s="190">
        <v>0</v>
      </c>
      <c r="E21" s="178" t="e">
        <v>#NUM!</v>
      </c>
      <c r="F21" s="178">
        <v>0</v>
      </c>
      <c r="G21" s="178">
        <v>0</v>
      </c>
      <c r="H21" s="179">
        <v>0</v>
      </c>
      <c r="I21" s="179" t="e">
        <v>#NUM!</v>
      </c>
      <c r="J21" s="179">
        <v>0</v>
      </c>
      <c r="K21" s="179">
        <v>0</v>
      </c>
      <c r="L21" s="179">
        <v>0</v>
      </c>
      <c r="M21" s="180"/>
      <c r="N21" s="140"/>
      <c r="O21" s="176" t="str">
        <v>Greg Fish</v>
      </c>
      <c r="P21" s="177" t="e">
        <v>#NUM!</v>
      </c>
      <c r="Q21" s="190">
        <v>0</v>
      </c>
      <c r="R21" s="180" t="e">
        <v>#NUM!</v>
      </c>
      <c r="S21" s="180">
        <v>0</v>
      </c>
      <c r="T21" s="180">
        <v>0</v>
      </c>
      <c r="U21" s="179">
        <v>0</v>
      </c>
      <c r="V21" s="179" t="e">
        <v>#NUM!</v>
      </c>
      <c r="W21" s="179">
        <v>0</v>
      </c>
      <c r="X21" s="179">
        <v>0</v>
      </c>
      <c r="Y21" s="179">
        <v>0</v>
      </c>
      <c r="Z21" s="186"/>
      <c r="AA21" s="140"/>
    </row>
    <row r="22" spans="2:27" ht="17.5" x14ac:dyDescent="0.35">
      <c r="B22" s="176" t="str">
        <v>Mark Brenman</v>
      </c>
      <c r="C22" s="177" t="e">
        <v>#NUM!</v>
      </c>
      <c r="D22" s="190">
        <v>0</v>
      </c>
      <c r="E22" s="178" t="e">
        <v>#NUM!</v>
      </c>
      <c r="F22" s="178">
        <v>0</v>
      </c>
      <c r="G22" s="178">
        <v>0</v>
      </c>
      <c r="H22" s="179">
        <v>0</v>
      </c>
      <c r="I22" s="179" t="e">
        <v>#NUM!</v>
      </c>
      <c r="J22" s="179">
        <v>0</v>
      </c>
      <c r="K22" s="179">
        <v>0</v>
      </c>
      <c r="L22" s="179">
        <v>0</v>
      </c>
      <c r="M22" s="180"/>
      <c r="N22" s="140"/>
      <c r="O22" s="176" t="str">
        <v>Jeff Richard</v>
      </c>
      <c r="P22" s="177" t="e">
        <v>#NUM!</v>
      </c>
      <c r="Q22" s="190">
        <v>0</v>
      </c>
      <c r="R22" s="180" t="e">
        <v>#NUM!</v>
      </c>
      <c r="S22" s="180">
        <v>0</v>
      </c>
      <c r="T22" s="180">
        <v>0</v>
      </c>
      <c r="U22" s="179">
        <v>0</v>
      </c>
      <c r="V22" s="179" t="e">
        <v>#NUM!</v>
      </c>
      <c r="W22" s="179">
        <v>0</v>
      </c>
      <c r="X22" s="179">
        <v>0</v>
      </c>
      <c r="Y22" s="179">
        <v>0</v>
      </c>
      <c r="Z22" s="186"/>
      <c r="AA22" s="140"/>
    </row>
    <row r="23" spans="2:27" ht="17.5" x14ac:dyDescent="0.35">
      <c r="B23" s="176" t="str">
        <v>Ken Webster</v>
      </c>
      <c r="C23" s="177" t="e">
        <v>#NUM!</v>
      </c>
      <c r="D23" s="190">
        <v>0</v>
      </c>
      <c r="E23" s="178" t="e">
        <v>#NUM!</v>
      </c>
      <c r="F23" s="178">
        <v>0</v>
      </c>
      <c r="G23" s="178">
        <v>0</v>
      </c>
      <c r="H23" s="179">
        <v>0</v>
      </c>
      <c r="I23" s="179" t="e">
        <v>#NUM!</v>
      </c>
      <c r="J23" s="179">
        <v>0</v>
      </c>
      <c r="K23" s="179">
        <v>0</v>
      </c>
      <c r="L23" s="179">
        <v>0</v>
      </c>
      <c r="M23" s="180"/>
      <c r="N23" s="140"/>
      <c r="O23" s="176" t="str">
        <v>Rob Rakusin</v>
      </c>
      <c r="P23" s="177" t="e">
        <v>#NUM!</v>
      </c>
      <c r="Q23" s="190">
        <v>0</v>
      </c>
      <c r="R23" s="180" t="e">
        <v>#NUM!</v>
      </c>
      <c r="S23" s="180">
        <v>0</v>
      </c>
      <c r="T23" s="180">
        <v>0</v>
      </c>
      <c r="U23" s="179">
        <v>0</v>
      </c>
      <c r="V23" s="179" t="e">
        <v>#NUM!</v>
      </c>
      <c r="W23" s="179">
        <v>0</v>
      </c>
      <c r="X23" s="179">
        <v>0</v>
      </c>
      <c r="Y23" s="179">
        <v>0</v>
      </c>
      <c r="Z23" s="186"/>
      <c r="AA23" s="140"/>
    </row>
    <row r="24" spans="2:27" ht="17.5" x14ac:dyDescent="0.35">
      <c r="B24" s="176" t="str">
        <v>Matt Myers</v>
      </c>
      <c r="C24" s="177" t="e">
        <v>#NUM!</v>
      </c>
      <c r="D24" s="190">
        <v>0</v>
      </c>
      <c r="E24" s="178" t="e">
        <v>#NUM!</v>
      </c>
      <c r="F24" s="178">
        <v>0</v>
      </c>
      <c r="G24" s="178">
        <v>0</v>
      </c>
      <c r="H24" s="179">
        <v>0</v>
      </c>
      <c r="I24" s="179" t="e">
        <v>#NUM!</v>
      </c>
      <c r="J24" s="179">
        <v>0</v>
      </c>
      <c r="K24" s="179">
        <v>0</v>
      </c>
      <c r="L24" s="179">
        <v>0</v>
      </c>
      <c r="M24" s="180"/>
      <c r="N24" s="140"/>
      <c r="O24" s="176" t="str">
        <v>Leonard Howell</v>
      </c>
      <c r="P24" s="177" t="e">
        <v>#NUM!</v>
      </c>
      <c r="Q24" s="190">
        <v>0</v>
      </c>
      <c r="R24" s="180" t="e">
        <v>#NUM!</v>
      </c>
      <c r="S24" s="180">
        <v>0</v>
      </c>
      <c r="T24" s="180">
        <v>0</v>
      </c>
      <c r="U24" s="179">
        <v>0</v>
      </c>
      <c r="V24" s="179" t="e">
        <v>#NUM!</v>
      </c>
      <c r="W24" s="179">
        <v>0</v>
      </c>
      <c r="X24" s="179">
        <v>0</v>
      </c>
      <c r="Y24" s="179">
        <v>0</v>
      </c>
      <c r="Z24" s="186"/>
      <c r="AA24" s="140"/>
    </row>
    <row r="25" spans="2:27" ht="17.5" x14ac:dyDescent="0.35">
      <c r="B25" s="176" t="str">
        <v>Damon Chapman</v>
      </c>
      <c r="C25" s="177" t="e">
        <v>#NUM!</v>
      </c>
      <c r="D25" s="190">
        <v>0</v>
      </c>
      <c r="E25" s="178" t="e">
        <v>#NUM!</v>
      </c>
      <c r="F25" s="178">
        <v>0</v>
      </c>
      <c r="G25" s="178">
        <v>0</v>
      </c>
      <c r="H25" s="179">
        <v>0</v>
      </c>
      <c r="I25" s="179" t="e">
        <v>#NUM!</v>
      </c>
      <c r="J25" s="179">
        <v>0</v>
      </c>
      <c r="K25" s="179">
        <v>0</v>
      </c>
      <c r="L25" s="179">
        <v>0</v>
      </c>
      <c r="M25" s="180"/>
      <c r="N25" s="140"/>
      <c r="O25" s="176" t="str">
        <v>Kevin Eliason</v>
      </c>
      <c r="P25" s="177" t="e">
        <v>#NUM!</v>
      </c>
      <c r="Q25" s="190">
        <v>0</v>
      </c>
      <c r="R25" s="180" t="e">
        <v>#NUM!</v>
      </c>
      <c r="S25" s="180">
        <v>0</v>
      </c>
      <c r="T25" s="180">
        <v>0</v>
      </c>
      <c r="U25" s="179">
        <v>0</v>
      </c>
      <c r="V25" s="179" t="e">
        <v>#NUM!</v>
      </c>
      <c r="W25" s="179">
        <v>0</v>
      </c>
      <c r="X25" s="179">
        <v>0</v>
      </c>
      <c r="Y25" s="179">
        <v>0</v>
      </c>
      <c r="Z25" s="186"/>
      <c r="AA25" s="140"/>
    </row>
    <row r="26" spans="2:27" ht="17.5" x14ac:dyDescent="0.35">
      <c r="B26" s="176" t="str">
        <v>Chris Marinis</v>
      </c>
      <c r="C26" s="177" t="e">
        <v>#NUM!</v>
      </c>
      <c r="D26" s="190">
        <v>0</v>
      </c>
      <c r="E26" s="178" t="e">
        <v>#NUM!</v>
      </c>
      <c r="F26" s="178">
        <v>0</v>
      </c>
      <c r="G26" s="178">
        <v>0</v>
      </c>
      <c r="H26" s="179">
        <v>0</v>
      </c>
      <c r="I26" s="179" t="e">
        <v>#NUM!</v>
      </c>
      <c r="J26" s="179">
        <v>0</v>
      </c>
      <c r="K26" s="179">
        <v>0</v>
      </c>
      <c r="L26" s="179">
        <v>0</v>
      </c>
      <c r="M26" s="180"/>
      <c r="N26" s="140"/>
      <c r="O26" s="176" t="str">
        <v>Ben Balme</v>
      </c>
      <c r="P26" s="177" t="e">
        <v>#NUM!</v>
      </c>
      <c r="Q26" s="190">
        <v>0</v>
      </c>
      <c r="R26" s="180" t="e">
        <v>#NUM!</v>
      </c>
      <c r="S26" s="180">
        <v>0</v>
      </c>
      <c r="T26" s="180">
        <v>0</v>
      </c>
      <c r="U26" s="179">
        <v>0</v>
      </c>
      <c r="V26" s="179" t="e">
        <v>#NUM!</v>
      </c>
      <c r="W26" s="179">
        <v>0</v>
      </c>
      <c r="X26" s="179">
        <v>0</v>
      </c>
      <c r="Y26" s="179">
        <v>0</v>
      </c>
      <c r="Z26" s="186"/>
      <c r="AA26" s="140"/>
    </row>
    <row r="27" spans="2:27" ht="17.5" x14ac:dyDescent="0.35">
      <c r="B27" s="176" t="str">
        <v>Anthony Neville</v>
      </c>
      <c r="C27" s="177" t="e">
        <v>#NUM!</v>
      </c>
      <c r="D27" s="190">
        <v>0</v>
      </c>
      <c r="E27" s="178" t="e">
        <v>#NUM!</v>
      </c>
      <c r="F27" s="178">
        <v>0</v>
      </c>
      <c r="G27" s="178">
        <v>0</v>
      </c>
      <c r="H27" s="179">
        <v>0</v>
      </c>
      <c r="I27" s="179" t="e">
        <v>#NUM!</v>
      </c>
      <c r="J27" s="179">
        <v>0</v>
      </c>
      <c r="K27" s="179">
        <v>0</v>
      </c>
      <c r="L27" s="179">
        <v>0</v>
      </c>
      <c r="M27" s="180"/>
      <c r="N27" s="140"/>
      <c r="O27" s="176" t="str">
        <v>Mike McElroy</v>
      </c>
      <c r="P27" s="177" t="e">
        <v>#NUM!</v>
      </c>
      <c r="Q27" s="190">
        <v>0</v>
      </c>
      <c r="R27" s="180" t="e">
        <v>#NUM!</v>
      </c>
      <c r="S27" s="180">
        <v>0</v>
      </c>
      <c r="T27" s="180">
        <v>0</v>
      </c>
      <c r="U27" s="179">
        <v>0</v>
      </c>
      <c r="V27" s="179" t="e">
        <v>#NUM!</v>
      </c>
      <c r="W27" s="179">
        <v>0</v>
      </c>
      <c r="X27" s="179">
        <v>0</v>
      </c>
      <c r="Y27" s="179">
        <v>0</v>
      </c>
      <c r="Z27" s="186"/>
      <c r="AA27" s="140"/>
    </row>
    <row r="28" spans="2:27" ht="17.5" x14ac:dyDescent="0.35">
      <c r="B28" s="176" t="str">
        <v>Mike Hefner</v>
      </c>
      <c r="C28" s="177" t="e">
        <v>#NUM!</v>
      </c>
      <c r="D28" s="190">
        <v>0</v>
      </c>
      <c r="E28" s="178" t="e">
        <v>#NUM!</v>
      </c>
      <c r="F28" s="178">
        <v>0</v>
      </c>
      <c r="G28" s="178">
        <v>0</v>
      </c>
      <c r="H28" s="179">
        <v>0</v>
      </c>
      <c r="I28" s="179" t="e">
        <v>#NUM!</v>
      </c>
      <c r="J28" s="179">
        <v>0</v>
      </c>
      <c r="K28" s="179">
        <v>0</v>
      </c>
      <c r="L28" s="179">
        <v>0</v>
      </c>
      <c r="M28" s="180"/>
      <c r="N28" s="140"/>
      <c r="O28" s="176" t="str">
        <v>Doug Hitchman</v>
      </c>
      <c r="P28" s="177" t="e">
        <v>#NUM!</v>
      </c>
      <c r="Q28" s="190">
        <v>0</v>
      </c>
      <c r="R28" s="180" t="e">
        <v>#NUM!</v>
      </c>
      <c r="S28" s="180">
        <v>0</v>
      </c>
      <c r="T28" s="180">
        <v>0</v>
      </c>
      <c r="U28" s="179">
        <v>0</v>
      </c>
      <c r="V28" s="179" t="e">
        <v>#NUM!</v>
      </c>
      <c r="W28" s="179">
        <v>0</v>
      </c>
      <c r="X28" s="179">
        <v>0</v>
      </c>
      <c r="Y28" s="179">
        <v>0</v>
      </c>
      <c r="Z28" s="186"/>
      <c r="AA28" s="140"/>
    </row>
    <row r="29" spans="2:27" ht="17.5" x14ac:dyDescent="0.35">
      <c r="B29" s="176" t="str">
        <v>Karl Hellerich</v>
      </c>
      <c r="C29" s="177" t="e">
        <v>#NUM!</v>
      </c>
      <c r="D29" s="190">
        <v>0</v>
      </c>
      <c r="E29" s="178" t="e">
        <v>#NUM!</v>
      </c>
      <c r="F29" s="178">
        <v>0</v>
      </c>
      <c r="G29" s="178">
        <v>0</v>
      </c>
      <c r="H29" s="179">
        <v>0</v>
      </c>
      <c r="I29" s="179" t="e">
        <v>#NUM!</v>
      </c>
      <c r="J29" s="179">
        <v>0</v>
      </c>
      <c r="K29" s="179">
        <v>0</v>
      </c>
      <c r="L29" s="179">
        <v>0</v>
      </c>
      <c r="M29" s="180"/>
      <c r="N29" s="140"/>
      <c r="O29" s="176" t="str">
        <v>Jasper Hempel</v>
      </c>
      <c r="P29" s="177" t="e">
        <v>#NUM!</v>
      </c>
      <c r="Q29" s="190">
        <v>0</v>
      </c>
      <c r="R29" s="180" t="e">
        <v>#NUM!</v>
      </c>
      <c r="S29" s="180">
        <v>0</v>
      </c>
      <c r="T29" s="180">
        <v>0</v>
      </c>
      <c r="U29" s="179">
        <v>0</v>
      </c>
      <c r="V29" s="179" t="e">
        <v>#NUM!</v>
      </c>
      <c r="W29" s="179">
        <v>0</v>
      </c>
      <c r="X29" s="179">
        <v>0</v>
      </c>
      <c r="Y29" s="179">
        <v>0</v>
      </c>
      <c r="Z29" s="186"/>
      <c r="AA29" s="140"/>
    </row>
    <row r="30" spans="2:27" ht="17.5" x14ac:dyDescent="0.35">
      <c r="B30" s="176" t="str">
        <v>Regina Przywara</v>
      </c>
      <c r="C30" s="177" t="e">
        <v>#NUM!</v>
      </c>
      <c r="D30" s="190">
        <v>0</v>
      </c>
      <c r="E30" s="178" t="e">
        <v>#NUM!</v>
      </c>
      <c r="F30" s="178">
        <v>0</v>
      </c>
      <c r="G30" s="178">
        <v>0</v>
      </c>
      <c r="H30" s="179">
        <v>0</v>
      </c>
      <c r="I30" s="179" t="e">
        <v>#NUM!</v>
      </c>
      <c r="J30" s="179">
        <v>0</v>
      </c>
      <c r="K30" s="179">
        <v>0</v>
      </c>
      <c r="L30" s="179">
        <v>0</v>
      </c>
      <c r="M30" s="180"/>
      <c r="N30" s="140"/>
      <c r="O30" s="176" t="str">
        <v>Carol Langer</v>
      </c>
      <c r="P30" s="177" t="e">
        <v>#NUM!</v>
      </c>
      <c r="Q30" s="190">
        <v>0</v>
      </c>
      <c r="R30" s="180" t="e">
        <v>#NUM!</v>
      </c>
      <c r="S30" s="180">
        <v>0</v>
      </c>
      <c r="T30" s="180">
        <v>0</v>
      </c>
      <c r="U30" s="179">
        <v>0</v>
      </c>
      <c r="V30" s="179" t="e">
        <v>#NUM!</v>
      </c>
      <c r="W30" s="179">
        <v>0</v>
      </c>
      <c r="X30" s="179">
        <v>0</v>
      </c>
      <c r="Y30" s="179">
        <v>0</v>
      </c>
      <c r="Z30" s="186"/>
      <c r="AA30" s="140"/>
    </row>
    <row r="31" spans="2:27" ht="17.5" x14ac:dyDescent="0.35">
      <c r="B31" s="176" t="str">
        <v>Alicia Nangle</v>
      </c>
      <c r="C31" s="177" t="e">
        <v>#NUM!</v>
      </c>
      <c r="D31" s="190">
        <v>0</v>
      </c>
      <c r="E31" s="178" t="e">
        <v>#NUM!</v>
      </c>
      <c r="F31" s="178">
        <v>0</v>
      </c>
      <c r="G31" s="178">
        <v>0</v>
      </c>
      <c r="H31" s="179">
        <v>0</v>
      </c>
      <c r="I31" s="179" t="e">
        <v>#NUM!</v>
      </c>
      <c r="J31" s="179">
        <v>0</v>
      </c>
      <c r="K31" s="179">
        <v>0</v>
      </c>
      <c r="L31" s="179">
        <v>0</v>
      </c>
      <c r="M31" s="180"/>
      <c r="N31" s="140"/>
      <c r="O31" s="176" t="str">
        <v>Gary Weiss</v>
      </c>
      <c r="P31" s="177" t="e">
        <v>#NUM!</v>
      </c>
      <c r="Q31" s="190">
        <v>0</v>
      </c>
      <c r="R31" s="180" t="e">
        <v>#NUM!</v>
      </c>
      <c r="S31" s="180">
        <v>0</v>
      </c>
      <c r="T31" s="180">
        <v>0</v>
      </c>
      <c r="U31" s="179">
        <v>0</v>
      </c>
      <c r="V31" s="179" t="e">
        <v>#NUM!</v>
      </c>
      <c r="W31" s="179">
        <v>0</v>
      </c>
      <c r="X31" s="179">
        <v>0</v>
      </c>
      <c r="Y31" s="179">
        <v>0</v>
      </c>
      <c r="Z31" s="186"/>
      <c r="AA31" s="140"/>
    </row>
    <row r="32" spans="2:27" ht="17.5" x14ac:dyDescent="0.35">
      <c r="B32" s="176" t="str">
        <v>Jimmy Barker</v>
      </c>
      <c r="C32" s="177" t="e">
        <v>#NUM!</v>
      </c>
      <c r="D32" s="190">
        <v>0</v>
      </c>
      <c r="E32" s="178" t="e">
        <v>#NUM!</v>
      </c>
      <c r="F32" s="178">
        <v>0</v>
      </c>
      <c r="G32" s="178">
        <v>0</v>
      </c>
      <c r="H32" s="179">
        <v>0</v>
      </c>
      <c r="I32" s="179" t="e">
        <v>#NUM!</v>
      </c>
      <c r="J32" s="179">
        <v>0</v>
      </c>
      <c r="K32" s="179">
        <v>0</v>
      </c>
      <c r="L32" s="179">
        <v>0</v>
      </c>
      <c r="M32" s="180"/>
      <c r="N32" s="140"/>
      <c r="O32" s="176" t="str">
        <v>Mark Steigmeyer</v>
      </c>
      <c r="P32" s="177" t="e">
        <v>#NUM!</v>
      </c>
      <c r="Q32" s="190">
        <v>0</v>
      </c>
      <c r="R32" s="180" t="e">
        <v>#NUM!</v>
      </c>
      <c r="S32" s="180">
        <v>0</v>
      </c>
      <c r="T32" s="180">
        <v>0</v>
      </c>
      <c r="U32" s="179">
        <v>0</v>
      </c>
      <c r="V32" s="179" t="e">
        <v>#NUM!</v>
      </c>
      <c r="W32" s="179">
        <v>0</v>
      </c>
      <c r="X32" s="179">
        <v>0</v>
      </c>
      <c r="Y32" s="179">
        <v>0</v>
      </c>
      <c r="Z32" s="186"/>
      <c r="AA32" s="140"/>
    </row>
    <row r="33" spans="2:27" ht="17.5" x14ac:dyDescent="0.35">
      <c r="B33" s="181" t="str">
        <v>Frank Prestifilippo</v>
      </c>
      <c r="C33" s="182" t="e">
        <v>#NUM!</v>
      </c>
      <c r="D33" s="191">
        <v>0</v>
      </c>
      <c r="E33" s="183" t="e">
        <v>#NUM!</v>
      </c>
      <c r="F33" s="183">
        <v>0</v>
      </c>
      <c r="G33" s="183">
        <v>0</v>
      </c>
      <c r="H33" s="184">
        <v>0</v>
      </c>
      <c r="I33" s="184" t="e">
        <v>#NUM!</v>
      </c>
      <c r="J33" s="184">
        <v>0</v>
      </c>
      <c r="K33" s="184">
        <v>0</v>
      </c>
      <c r="L33" s="184">
        <v>0</v>
      </c>
      <c r="M33" s="185"/>
      <c r="N33" s="140"/>
      <c r="O33" s="176" t="str">
        <v>Jerry Stabile</v>
      </c>
      <c r="P33" s="177" t="e">
        <v>#NUM!</v>
      </c>
      <c r="Q33" s="190">
        <v>0</v>
      </c>
      <c r="R33" s="180" t="e">
        <v>#NUM!</v>
      </c>
      <c r="S33" s="180">
        <v>0</v>
      </c>
      <c r="T33" s="180">
        <v>0</v>
      </c>
      <c r="U33" s="179">
        <v>0</v>
      </c>
      <c r="V33" s="179" t="e">
        <v>#NUM!</v>
      </c>
      <c r="W33" s="179">
        <v>0</v>
      </c>
      <c r="X33" s="179">
        <v>0</v>
      </c>
      <c r="Y33" s="179">
        <v>0</v>
      </c>
      <c r="Z33" s="186"/>
      <c r="AA33" s="140"/>
    </row>
    <row r="34" spans="2:27" ht="17.5" x14ac:dyDescent="0.35">
      <c r="B34" s="140"/>
      <c r="C34" s="140"/>
      <c r="D34" s="140"/>
      <c r="E34" s="140"/>
      <c r="F34" s="140"/>
      <c r="G34" s="140"/>
      <c r="H34" s="140"/>
      <c r="I34" s="140"/>
      <c r="J34" s="140"/>
      <c r="K34" s="140"/>
      <c r="L34" s="140"/>
      <c r="M34" s="140"/>
      <c r="N34" s="140"/>
      <c r="O34" s="176" t="str">
        <v>Rod Cruickshank</v>
      </c>
      <c r="P34" s="177" t="e">
        <v>#NUM!</v>
      </c>
      <c r="Q34" s="190">
        <v>0</v>
      </c>
      <c r="R34" s="180" t="e">
        <v>#NUM!</v>
      </c>
      <c r="S34" s="180">
        <v>0</v>
      </c>
      <c r="T34" s="180">
        <v>0</v>
      </c>
      <c r="U34" s="179">
        <v>0</v>
      </c>
      <c r="V34" s="179" t="e">
        <v>#NUM!</v>
      </c>
      <c r="W34" s="179">
        <v>0</v>
      </c>
      <c r="X34" s="179">
        <v>0</v>
      </c>
      <c r="Y34" s="179">
        <v>0</v>
      </c>
      <c r="Z34" s="186"/>
      <c r="AA34" s="140"/>
    </row>
    <row r="35" spans="2:27" ht="17.5" x14ac:dyDescent="0.35">
      <c r="B35" s="140"/>
      <c r="C35" s="140"/>
      <c r="D35" s="140"/>
      <c r="E35" s="140"/>
      <c r="F35" s="140"/>
      <c r="G35" s="140"/>
      <c r="H35" s="140"/>
      <c r="I35" s="140"/>
      <c r="J35" s="140"/>
      <c r="K35" s="140"/>
      <c r="L35" s="140"/>
      <c r="M35" s="140"/>
      <c r="N35" s="140"/>
      <c r="O35" s="176" t="str">
        <v>Kevin Isaacson</v>
      </c>
      <c r="P35" s="177" t="e">
        <v>#NUM!</v>
      </c>
      <c r="Q35" s="190">
        <v>0</v>
      </c>
      <c r="R35" s="180" t="e">
        <v>#NUM!</v>
      </c>
      <c r="S35" s="180">
        <v>0</v>
      </c>
      <c r="T35" s="180">
        <v>0</v>
      </c>
      <c r="U35" s="179">
        <v>0</v>
      </c>
      <c r="V35" s="179" t="e">
        <v>#NUM!</v>
      </c>
      <c r="W35" s="179">
        <v>0</v>
      </c>
      <c r="X35" s="179">
        <v>0</v>
      </c>
      <c r="Y35" s="179">
        <v>0</v>
      </c>
      <c r="Z35" s="186"/>
      <c r="AA35" s="140"/>
    </row>
    <row r="36" spans="2:27" ht="17.5" x14ac:dyDescent="0.35">
      <c r="B36" s="140"/>
      <c r="C36" s="140"/>
      <c r="D36" s="140"/>
      <c r="E36" s="140"/>
      <c r="F36" s="140"/>
      <c r="G36" s="140"/>
      <c r="H36" s="140"/>
      <c r="I36" s="140"/>
      <c r="J36" s="140"/>
      <c r="K36" s="140"/>
      <c r="L36" s="140"/>
      <c r="M36" s="140"/>
      <c r="N36" s="140"/>
      <c r="O36" s="181" t="str">
        <v>Dan Jones</v>
      </c>
      <c r="P36" s="182" t="e">
        <v>#NUM!</v>
      </c>
      <c r="Q36" s="191">
        <v>0</v>
      </c>
      <c r="R36" s="185" t="e">
        <v>#NUM!</v>
      </c>
      <c r="S36" s="185">
        <v>0</v>
      </c>
      <c r="T36" s="185">
        <v>0</v>
      </c>
      <c r="U36" s="184">
        <v>0</v>
      </c>
      <c r="V36" s="184" t="e">
        <v>#NUM!</v>
      </c>
      <c r="W36" s="184">
        <v>0</v>
      </c>
      <c r="X36" s="184">
        <v>0</v>
      </c>
      <c r="Y36" s="184">
        <v>0</v>
      </c>
      <c r="Z36" s="187"/>
      <c r="AA36" s="140"/>
    </row>
    <row r="37" spans="2:27" ht="17.5" x14ac:dyDescent="0.35">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row>
    <row r="38" spans="2:27" ht="17.5" x14ac:dyDescent="0.35">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row>
    <row r="39" spans="2:27" ht="17.5" x14ac:dyDescent="0.35">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row>
  </sheetData>
  <mergeCells count="10">
    <mergeCell ref="E5:H5"/>
    <mergeCell ref="O3:Z3"/>
    <mergeCell ref="R5:U5"/>
    <mergeCell ref="I5:L5"/>
    <mergeCell ref="V5:Y5"/>
    <mergeCell ref="C1:E1"/>
    <mergeCell ref="F1:H1"/>
    <mergeCell ref="P1:R1"/>
    <mergeCell ref="S1:U1"/>
    <mergeCell ref="B3:M3"/>
  </mergeCells>
  <conditionalFormatting sqref="C7:M33 P7:Z36">
    <cfRule type="expression" dxfId="67" priority="1">
      <formula>AND(C7=0, SUM(ABS(C$7:C$33))=0)</formula>
    </cfRule>
  </conditionalFormatting>
  <hyperlinks>
    <hyperlink ref="B1" r:id="rId1" xr:uid="{034E0C6F-4FB0-4C76-BFE5-C2A0F1416FE8}"/>
    <hyperlink ref="O1" r:id="rId2" xr:uid="{B9C19C5C-D0E2-4126-A535-2AAB18CE4C8D}"/>
  </hyperlinks>
  <pageMargins left="0.25" right="0.25" top="0.25" bottom="0.25" header="0.3" footer="0.3"/>
  <pageSetup orientation="portrait" r:id="rId3"/>
  <webPublishItems count="2">
    <webPublishItem id="12844" divId="JoeMagneticoMicro_12844" sourceType="range" sourceRef="B1:M33" destinationFile="C:\pga\html\JMStandings.htm"/>
    <webPublishItem id="16534" divId="JoeMagneticoMicro_16534" sourceType="range" sourceRef="O1:Z36" destinationFile="C:\pga\html\MicroStandings.htm"/>
  </webPublishItem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73"/>
  <sheetViews>
    <sheetView topLeftCell="A10" zoomScaleNormal="100" workbookViewId="0">
      <selection activeCell="A7" sqref="A7"/>
    </sheetView>
  </sheetViews>
  <sheetFormatPr defaultRowHeight="12.5" x14ac:dyDescent="0.25"/>
  <cols>
    <col min="1" max="1" width="15.7265625" bestFit="1" customWidth="1"/>
    <col min="2" max="2" width="9.54296875" bestFit="1" customWidth="1"/>
  </cols>
  <sheetData>
    <row r="1" spans="1:2" x14ac:dyDescent="0.25">
      <c r="A1" s="18" t="s">
        <v>112</v>
      </c>
      <c r="B1" t="s">
        <v>113</v>
      </c>
    </row>
    <row r="2" spans="1:2" x14ac:dyDescent="0.25">
      <c r="A2" t="s">
        <v>24</v>
      </c>
      <c r="B2" s="18">
        <v>-21</v>
      </c>
    </row>
    <row r="3" spans="1:2" x14ac:dyDescent="0.25">
      <c r="A3" t="s">
        <v>43</v>
      </c>
      <c r="B3" s="18">
        <v>-21</v>
      </c>
    </row>
    <row r="4" spans="1:2" x14ac:dyDescent="0.25">
      <c r="A4" t="s">
        <v>37</v>
      </c>
      <c r="B4" s="18">
        <v>-20</v>
      </c>
    </row>
    <row r="5" spans="1:2" x14ac:dyDescent="0.25">
      <c r="A5" s="18" t="s">
        <v>31</v>
      </c>
      <c r="B5" s="18">
        <v>-19</v>
      </c>
    </row>
    <row r="6" spans="1:2" x14ac:dyDescent="0.25">
      <c r="A6" t="s">
        <v>45</v>
      </c>
      <c r="B6" s="18">
        <v>-18</v>
      </c>
    </row>
    <row r="7" spans="1:2" x14ac:dyDescent="0.25">
      <c r="A7" t="s">
        <v>74</v>
      </c>
      <c r="B7" s="18">
        <v>-18</v>
      </c>
    </row>
    <row r="8" spans="1:2" x14ac:dyDescent="0.25">
      <c r="A8" t="s">
        <v>35</v>
      </c>
      <c r="B8" s="18">
        <v>-17</v>
      </c>
    </row>
    <row r="9" spans="1:2" x14ac:dyDescent="0.25">
      <c r="A9" t="s">
        <v>161</v>
      </c>
      <c r="B9" s="18">
        <v>-17</v>
      </c>
    </row>
    <row r="10" spans="1:2" x14ac:dyDescent="0.25">
      <c r="A10" t="s">
        <v>118</v>
      </c>
      <c r="B10" s="18">
        <v>-17</v>
      </c>
    </row>
    <row r="11" spans="1:2" x14ac:dyDescent="0.25">
      <c r="A11" t="s">
        <v>67</v>
      </c>
      <c r="B11" s="18">
        <v>-16</v>
      </c>
    </row>
    <row r="12" spans="1:2" x14ac:dyDescent="0.25">
      <c r="A12" t="s">
        <v>73</v>
      </c>
      <c r="B12" s="18">
        <v>-16</v>
      </c>
    </row>
    <row r="13" spans="1:2" x14ac:dyDescent="0.25">
      <c r="A13" t="s">
        <v>30</v>
      </c>
      <c r="B13" s="18">
        <v>-15</v>
      </c>
    </row>
    <row r="14" spans="1:2" x14ac:dyDescent="0.25">
      <c r="A14" t="s">
        <v>40</v>
      </c>
      <c r="B14" s="18">
        <v>-15</v>
      </c>
    </row>
    <row r="15" spans="1:2" x14ac:dyDescent="0.25">
      <c r="A15" t="s">
        <v>143</v>
      </c>
      <c r="B15" s="18">
        <v>-14</v>
      </c>
    </row>
    <row r="16" spans="1:2" x14ac:dyDescent="0.25">
      <c r="A16" t="s">
        <v>44</v>
      </c>
      <c r="B16" s="18">
        <v>-14</v>
      </c>
    </row>
    <row r="17" spans="1:2" x14ac:dyDescent="0.25">
      <c r="A17" t="s">
        <v>269</v>
      </c>
      <c r="B17" s="18">
        <v>-14</v>
      </c>
    </row>
    <row r="18" spans="1:2" x14ac:dyDescent="0.25">
      <c r="A18" t="s">
        <v>29</v>
      </c>
      <c r="B18" s="18">
        <v>-14</v>
      </c>
    </row>
    <row r="19" spans="1:2" x14ac:dyDescent="0.25">
      <c r="A19" t="s">
        <v>52</v>
      </c>
      <c r="B19" s="18">
        <v>-14</v>
      </c>
    </row>
    <row r="20" spans="1:2" x14ac:dyDescent="0.25">
      <c r="A20" t="s">
        <v>124</v>
      </c>
      <c r="B20" s="18">
        <v>-14</v>
      </c>
    </row>
    <row r="21" spans="1:2" x14ac:dyDescent="0.25">
      <c r="A21" t="s">
        <v>57</v>
      </c>
      <c r="B21" s="18">
        <v>-14</v>
      </c>
    </row>
    <row r="22" spans="1:2" x14ac:dyDescent="0.25">
      <c r="A22" t="s">
        <v>27</v>
      </c>
      <c r="B22" s="18">
        <v>-14</v>
      </c>
    </row>
    <row r="23" spans="1:2" x14ac:dyDescent="0.25">
      <c r="A23" t="s">
        <v>131</v>
      </c>
      <c r="B23" s="18">
        <v>-13</v>
      </c>
    </row>
    <row r="24" spans="1:2" x14ac:dyDescent="0.25">
      <c r="A24" t="s">
        <v>154</v>
      </c>
      <c r="B24" s="18">
        <v>-13</v>
      </c>
    </row>
    <row r="25" spans="1:2" x14ac:dyDescent="0.25">
      <c r="A25" t="s">
        <v>58</v>
      </c>
      <c r="B25" s="18">
        <v>-13</v>
      </c>
    </row>
    <row r="26" spans="1:2" x14ac:dyDescent="0.25">
      <c r="A26" t="s">
        <v>38</v>
      </c>
      <c r="B26" s="18">
        <v>-12</v>
      </c>
    </row>
    <row r="27" spans="1:2" x14ac:dyDescent="0.25">
      <c r="A27" t="s">
        <v>116</v>
      </c>
      <c r="B27" s="18">
        <v>-12</v>
      </c>
    </row>
    <row r="28" spans="1:2" x14ac:dyDescent="0.25">
      <c r="A28" t="s">
        <v>51</v>
      </c>
      <c r="B28" s="18">
        <v>-12</v>
      </c>
    </row>
    <row r="29" spans="1:2" x14ac:dyDescent="0.25">
      <c r="A29" t="s">
        <v>28</v>
      </c>
      <c r="B29" s="18">
        <v>-12</v>
      </c>
    </row>
    <row r="30" spans="1:2" x14ac:dyDescent="0.25">
      <c r="A30" t="s">
        <v>47</v>
      </c>
      <c r="B30" s="18">
        <v>-12</v>
      </c>
    </row>
    <row r="31" spans="1:2" x14ac:dyDescent="0.25">
      <c r="A31" t="s">
        <v>121</v>
      </c>
      <c r="B31" s="18">
        <v>-11</v>
      </c>
    </row>
    <row r="32" spans="1:2" x14ac:dyDescent="0.25">
      <c r="A32" t="s">
        <v>117</v>
      </c>
      <c r="B32">
        <v>-11</v>
      </c>
    </row>
    <row r="33" spans="1:2" x14ac:dyDescent="0.25">
      <c r="A33" t="s">
        <v>119</v>
      </c>
      <c r="B33">
        <v>-11</v>
      </c>
    </row>
    <row r="34" spans="1:2" x14ac:dyDescent="0.25">
      <c r="A34" t="s">
        <v>248</v>
      </c>
      <c r="B34">
        <v>-11</v>
      </c>
    </row>
    <row r="35" spans="1:2" x14ac:dyDescent="0.25">
      <c r="A35" t="s">
        <v>34</v>
      </c>
      <c r="B35">
        <v>-11</v>
      </c>
    </row>
    <row r="36" spans="1:2" x14ac:dyDescent="0.25">
      <c r="A36" t="s">
        <v>64</v>
      </c>
      <c r="B36">
        <v>-11</v>
      </c>
    </row>
    <row r="37" spans="1:2" x14ac:dyDescent="0.25">
      <c r="A37" t="s">
        <v>109</v>
      </c>
      <c r="B37">
        <v>-11</v>
      </c>
    </row>
    <row r="38" spans="1:2" x14ac:dyDescent="0.25">
      <c r="A38" t="s">
        <v>234</v>
      </c>
      <c r="B38">
        <v>-11</v>
      </c>
    </row>
    <row r="39" spans="1:2" x14ac:dyDescent="0.25">
      <c r="A39" t="s">
        <v>268</v>
      </c>
      <c r="B39">
        <v>-10</v>
      </c>
    </row>
    <row r="40" spans="1:2" x14ac:dyDescent="0.25">
      <c r="A40" t="s">
        <v>33</v>
      </c>
      <c r="B40">
        <v>-10</v>
      </c>
    </row>
    <row r="41" spans="1:2" x14ac:dyDescent="0.25">
      <c r="A41" t="s">
        <v>146</v>
      </c>
      <c r="B41">
        <v>-10</v>
      </c>
    </row>
    <row r="42" spans="1:2" x14ac:dyDescent="0.25">
      <c r="A42" t="s">
        <v>267</v>
      </c>
      <c r="B42">
        <v>-10</v>
      </c>
    </row>
    <row r="43" spans="1:2" x14ac:dyDescent="0.25">
      <c r="A43" t="s">
        <v>46</v>
      </c>
      <c r="B43">
        <v>-10</v>
      </c>
    </row>
    <row r="44" spans="1:2" x14ac:dyDescent="0.25">
      <c r="A44" t="s">
        <v>156</v>
      </c>
      <c r="B44">
        <v>-10</v>
      </c>
    </row>
    <row r="45" spans="1:2" x14ac:dyDescent="0.25">
      <c r="A45" t="s">
        <v>126</v>
      </c>
      <c r="B45">
        <v>-9</v>
      </c>
    </row>
    <row r="46" spans="1:2" x14ac:dyDescent="0.25">
      <c r="A46" t="s">
        <v>272</v>
      </c>
      <c r="B46">
        <v>-9</v>
      </c>
    </row>
    <row r="47" spans="1:2" x14ac:dyDescent="0.25">
      <c r="A47" t="s">
        <v>36</v>
      </c>
      <c r="B47">
        <v>-9</v>
      </c>
    </row>
    <row r="48" spans="1:2" x14ac:dyDescent="0.25">
      <c r="A48" t="s">
        <v>50</v>
      </c>
      <c r="B48">
        <v>-8</v>
      </c>
    </row>
    <row r="49" spans="1:2" x14ac:dyDescent="0.25">
      <c r="A49" t="s">
        <v>157</v>
      </c>
      <c r="B49">
        <v>-8</v>
      </c>
    </row>
    <row r="50" spans="1:2" x14ac:dyDescent="0.25">
      <c r="A50" t="s">
        <v>125</v>
      </c>
      <c r="B50">
        <v>-8</v>
      </c>
    </row>
    <row r="51" spans="1:2" x14ac:dyDescent="0.25">
      <c r="A51" t="s">
        <v>266</v>
      </c>
      <c r="B51">
        <v>-8</v>
      </c>
    </row>
    <row r="52" spans="1:2" x14ac:dyDescent="0.25">
      <c r="A52" t="s">
        <v>48</v>
      </c>
      <c r="B52">
        <v>-7</v>
      </c>
    </row>
    <row r="53" spans="1:2" x14ac:dyDescent="0.25">
      <c r="A53" t="s">
        <v>270</v>
      </c>
      <c r="B53">
        <v>-7</v>
      </c>
    </row>
    <row r="54" spans="1:2" x14ac:dyDescent="0.25">
      <c r="A54" t="s">
        <v>123</v>
      </c>
      <c r="B54">
        <v>-7</v>
      </c>
    </row>
    <row r="55" spans="1:2" x14ac:dyDescent="0.25">
      <c r="A55" t="s">
        <v>32</v>
      </c>
      <c r="B55">
        <v>-7</v>
      </c>
    </row>
    <row r="56" spans="1:2" x14ac:dyDescent="0.25">
      <c r="A56" t="s">
        <v>104</v>
      </c>
      <c r="B56">
        <v>-6</v>
      </c>
    </row>
    <row r="57" spans="1:2" x14ac:dyDescent="0.25">
      <c r="A57" t="s">
        <v>69</v>
      </c>
      <c r="B57">
        <v>-6</v>
      </c>
    </row>
    <row r="58" spans="1:2" x14ac:dyDescent="0.25">
      <c r="A58" t="s">
        <v>39</v>
      </c>
      <c r="B58">
        <v>-6</v>
      </c>
    </row>
    <row r="59" spans="1:2" x14ac:dyDescent="0.25">
      <c r="A59" t="s">
        <v>62</v>
      </c>
      <c r="B59">
        <v>-6</v>
      </c>
    </row>
    <row r="60" spans="1:2" x14ac:dyDescent="0.25">
      <c r="A60" t="s">
        <v>273</v>
      </c>
      <c r="B60">
        <v>-6</v>
      </c>
    </row>
    <row r="61" spans="1:2" x14ac:dyDescent="0.25">
      <c r="A61" t="s">
        <v>108</v>
      </c>
      <c r="B61">
        <v>-6</v>
      </c>
    </row>
    <row r="62" spans="1:2" x14ac:dyDescent="0.25">
      <c r="A62" t="s">
        <v>72</v>
      </c>
      <c r="B62">
        <v>-5</v>
      </c>
    </row>
    <row r="63" spans="1:2" x14ac:dyDescent="0.25">
      <c r="A63" t="s">
        <v>61</v>
      </c>
      <c r="B63">
        <v>-4</v>
      </c>
    </row>
    <row r="64" spans="1:2" x14ac:dyDescent="0.25">
      <c r="A64" t="s">
        <v>246</v>
      </c>
      <c r="B64">
        <v>-4</v>
      </c>
    </row>
    <row r="65" spans="1:2" x14ac:dyDescent="0.25">
      <c r="A65" t="s">
        <v>235</v>
      </c>
      <c r="B65">
        <v>-4</v>
      </c>
    </row>
    <row r="66" spans="1:2" x14ac:dyDescent="0.25">
      <c r="A66" t="s">
        <v>59</v>
      </c>
      <c r="B66">
        <v>-3</v>
      </c>
    </row>
    <row r="67" spans="1:2" x14ac:dyDescent="0.25">
      <c r="A67" t="s">
        <v>60</v>
      </c>
      <c r="B67">
        <v>0</v>
      </c>
    </row>
    <row r="68" spans="1:2" x14ac:dyDescent="0.25">
      <c r="A68" t="s">
        <v>41</v>
      </c>
      <c r="B68">
        <v>0</v>
      </c>
    </row>
    <row r="69" spans="1:2" x14ac:dyDescent="0.25">
      <c r="A69" t="s">
        <v>274</v>
      </c>
      <c r="B69">
        <v>0</v>
      </c>
    </row>
    <row r="70" spans="1:2" x14ac:dyDescent="0.25">
      <c r="A70" t="s">
        <v>49</v>
      </c>
      <c r="B70">
        <v>1</v>
      </c>
    </row>
    <row r="71" spans="1:2" x14ac:dyDescent="0.25">
      <c r="A71" t="s">
        <v>271</v>
      </c>
      <c r="B71">
        <v>2</v>
      </c>
    </row>
    <row r="72" spans="1:2" x14ac:dyDescent="0.25">
      <c r="A72" t="s">
        <v>134</v>
      </c>
      <c r="B72">
        <v>5</v>
      </c>
    </row>
    <row r="73" spans="1:2" x14ac:dyDescent="0.25">
      <c r="A73" t="s">
        <v>42</v>
      </c>
      <c r="B73">
        <v>10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B8C1E-141E-4B94-AF58-0CF40487737D}">
  <sheetPr codeName="Sheet2"/>
  <dimension ref="A1:G117"/>
  <sheetViews>
    <sheetView workbookViewId="0"/>
  </sheetViews>
  <sheetFormatPr defaultRowHeight="12.5" x14ac:dyDescent="0.25"/>
  <cols>
    <col min="1" max="1" width="15.7265625" bestFit="1" customWidth="1"/>
    <col min="2" max="2" width="8.1796875" customWidth="1"/>
    <col min="3" max="3" width="30.1796875" style="95" customWidth="1"/>
    <col min="6" max="6" width="11.81640625" style="3" customWidth="1"/>
    <col min="7" max="7" width="12.7265625" style="3" customWidth="1"/>
  </cols>
  <sheetData>
    <row r="1" spans="1:7" ht="13" x14ac:dyDescent="0.3">
      <c r="A1" t="s">
        <v>112</v>
      </c>
      <c r="C1" s="111" t="s">
        <v>176</v>
      </c>
      <c r="F1" s="154" t="s">
        <v>253</v>
      </c>
      <c r="G1" s="154" t="s">
        <v>254</v>
      </c>
    </row>
    <row r="2" spans="1:7" x14ac:dyDescent="0.25">
      <c r="A2" t="s">
        <v>74</v>
      </c>
      <c r="C2" s="95" t="str" cm="1">
        <f t="array" ref="C2:C65">_xlfn._xlws.FILTER(A2:A100, COUNTIF(OWGR!A2:A41, A2:A100) = 0)</f>
        <v>Brian Campbell</v>
      </c>
      <c r="F2" s="3">
        <f>COUNTIF(ESPNPicks!$F$4:$R$53,$C2)-COUNTIF(ESPNPicks!$R$38:$R$44,$C2)</f>
        <v>1</v>
      </c>
      <c r="G2" s="3">
        <f>COUNTIF(ESPNMicro!$F$4:$R$53,$C2)-COUNTIF(ESPNMicro!$R$38:$R$44,$C2)</f>
        <v>1</v>
      </c>
    </row>
    <row r="3" spans="1:7" x14ac:dyDescent="0.25">
      <c r="A3" t="s">
        <v>43</v>
      </c>
      <c r="C3" s="95" t="str">
        <v>Bud Cauley</v>
      </c>
      <c r="F3" s="3">
        <f>COUNTIF(ESPNPicks!$F$4:$R$53,$C3)-COUNTIF(ESPNPicks!$R$38:$R$44,$C3)</f>
        <v>1</v>
      </c>
      <c r="G3" s="3">
        <f>COUNTIF(ESPNMicro!$F$4:$R$53,$C3)-COUNTIF(ESPNMicro!$R$38:$R$44,$C3)</f>
        <v>1</v>
      </c>
    </row>
    <row r="4" spans="1:7" x14ac:dyDescent="0.25">
      <c r="A4" t="s">
        <v>24</v>
      </c>
      <c r="C4" s="95" t="str">
        <v>Eric Cole</v>
      </c>
      <c r="F4" s="3">
        <f>COUNTIF(ESPNPicks!$F$4:$R$53,$C4)-COUNTIF(ESPNPicks!$R$38:$R$44,$C4)</f>
        <v>0</v>
      </c>
      <c r="G4" s="3">
        <f>COUNTIF(ESPNMicro!$F$4:$R$53,$C4)-COUNTIF(ESPNMicro!$R$38:$R$44,$C4)</f>
        <v>0</v>
      </c>
    </row>
    <row r="5" spans="1:7" x14ac:dyDescent="0.25">
      <c r="A5" t="s">
        <v>266</v>
      </c>
      <c r="C5" s="95" t="str">
        <v>Michael Kim</v>
      </c>
      <c r="F5" s="3">
        <f>COUNTIF(ESPNPicks!$F$4:$R$53,$C5)-COUNTIF(ESPNPicks!$R$38:$R$44,$C5)</f>
        <v>0</v>
      </c>
      <c r="G5" s="3">
        <f>COUNTIF(ESPNMicro!$F$4:$R$53,$C5)-COUNTIF(ESPNMicro!$R$38:$R$44,$C5)</f>
        <v>0</v>
      </c>
    </row>
    <row r="6" spans="1:7" x14ac:dyDescent="0.25">
      <c r="A6" t="s">
        <v>124</v>
      </c>
      <c r="C6" s="95" t="str">
        <v>Taylor Pendrith</v>
      </c>
      <c r="F6" s="3">
        <f>COUNTIF(ESPNPicks!$F$4:$R$53,$C6)-COUNTIF(ESPNPicks!$R$38:$R$44,$C6)</f>
        <v>0</v>
      </c>
      <c r="G6" s="3">
        <f>COUNTIF(ESPNMicro!$F$4:$R$53,$C6)-COUNTIF(ESPNMicro!$R$38:$R$44,$C6)</f>
        <v>0</v>
      </c>
    </row>
    <row r="7" spans="1:7" x14ac:dyDescent="0.25">
      <c r="A7" t="s">
        <v>51</v>
      </c>
      <c r="C7" s="95" t="str">
        <v>Nico Echavarria</v>
      </c>
      <c r="F7" s="3">
        <f>COUNTIF(ESPNPicks!$F$4:$R$53,$C7)-COUNTIF(ESPNPicks!$R$38:$R$44,$C7)</f>
        <v>0</v>
      </c>
      <c r="G7" s="3">
        <f>COUNTIF(ESPNMicro!$F$4:$R$53,$C7)-COUNTIF(ESPNMicro!$R$38:$R$44,$C7)</f>
        <v>0</v>
      </c>
    </row>
    <row r="8" spans="1:7" x14ac:dyDescent="0.25">
      <c r="A8" t="s">
        <v>118</v>
      </c>
      <c r="C8" s="95" t="str">
        <v>Rickie Fowler</v>
      </c>
      <c r="F8" s="3">
        <f>COUNTIF(ESPNPicks!$F$4:$R$53,$C8)-COUNTIF(ESPNPicks!$R$38:$R$44,$C8)</f>
        <v>0</v>
      </c>
      <c r="G8" s="3">
        <f>COUNTIF(ESPNMicro!$F$4:$R$53,$C8)-COUNTIF(ESPNMicro!$R$38:$R$44,$C8)</f>
        <v>0</v>
      </c>
    </row>
    <row r="9" spans="1:7" x14ac:dyDescent="0.25">
      <c r="A9" t="s">
        <v>156</v>
      </c>
      <c r="C9" s="95" t="str">
        <v>Tom Hoge</v>
      </c>
      <c r="F9" s="3">
        <f>COUNTIF(ESPNPicks!$F$4:$R$53,$C9)-COUNTIF(ESPNPicks!$R$38:$R$44,$C9)</f>
        <v>0</v>
      </c>
      <c r="G9" s="3">
        <f>COUNTIF(ESPNMicro!$F$4:$R$53,$C9)-COUNTIF(ESPNMicro!$R$38:$R$44,$C9)</f>
        <v>0</v>
      </c>
    </row>
    <row r="10" spans="1:7" x14ac:dyDescent="0.25">
      <c r="A10" t="s">
        <v>46</v>
      </c>
      <c r="C10" s="95" t="str">
        <v>Brandt Snedeker</v>
      </c>
      <c r="F10" s="3">
        <f>COUNTIF(ESPNPicks!$F$4:$R$53,$C10)-COUNTIF(ESPNPicks!$R$38:$R$44,$C10)</f>
        <v>0</v>
      </c>
      <c r="G10" s="3">
        <f>COUNTIF(ESPNMicro!$F$4:$R$53,$C10)-COUNTIF(ESPNMicro!$R$38:$R$44,$C10)</f>
        <v>0</v>
      </c>
    </row>
    <row r="11" spans="1:7" x14ac:dyDescent="0.25">
      <c r="A11" t="s">
        <v>117</v>
      </c>
      <c r="C11" s="95" t="str">
        <v>Keith Mitchell</v>
      </c>
      <c r="F11" s="3">
        <f>COUNTIF(ESPNPicks!$F$4:$R$53,$C11)-COUNTIF(ESPNPicks!$R$38:$R$44,$C11)</f>
        <v>0</v>
      </c>
      <c r="G11" s="3">
        <f>COUNTIF(ESPNMicro!$F$4:$R$53,$C11)-COUNTIF(ESPNMicro!$R$38:$R$44,$C11)</f>
        <v>0</v>
      </c>
    </row>
    <row r="12" spans="1:7" x14ac:dyDescent="0.25">
      <c r="A12" t="s">
        <v>72</v>
      </c>
      <c r="C12" s="95" t="str">
        <v>Sungjae Im</v>
      </c>
      <c r="F12" s="3">
        <f>COUNTIF(ESPNPicks!$F$4:$R$53,$C12)-COUNTIF(ESPNPicks!$R$38:$R$44,$C12)</f>
        <v>0</v>
      </c>
      <c r="G12" s="3">
        <f>COUNTIF(ESPNMicro!$F$4:$R$53,$C12)-COUNTIF(ESPNMicro!$R$38:$R$44,$C12)</f>
        <v>0</v>
      </c>
    </row>
    <row r="13" spans="1:7" x14ac:dyDescent="0.25">
      <c r="A13" t="s">
        <v>47</v>
      </c>
      <c r="C13" s="95" t="str">
        <v>Brian Harman</v>
      </c>
      <c r="F13" s="3">
        <f>COUNTIF(ESPNPicks!$F$4:$R$53,$C13)-COUNTIF(ESPNPicks!$R$38:$R$44,$C13)</f>
        <v>0</v>
      </c>
      <c r="G13" s="3">
        <f>COUNTIF(ESPNMicro!$F$4:$R$53,$C13)-COUNTIF(ESPNMicro!$R$38:$R$44,$C13)</f>
        <v>0</v>
      </c>
    </row>
    <row r="14" spans="1:7" x14ac:dyDescent="0.25">
      <c r="A14" t="s">
        <v>44</v>
      </c>
      <c r="C14" s="95" t="str">
        <v>Daniel Berger</v>
      </c>
      <c r="F14" s="3">
        <f>COUNTIF(ESPNPicks!$F$4:$R$53,$C14)-COUNTIF(ESPNPicks!$R$38:$R$44,$C14)</f>
        <v>0</v>
      </c>
      <c r="G14" s="3">
        <f>COUNTIF(ESPNMicro!$F$4:$R$53,$C14)-COUNTIF(ESPNMicro!$R$38:$R$44,$C14)</f>
        <v>0</v>
      </c>
    </row>
    <row r="15" spans="1:7" x14ac:dyDescent="0.25">
      <c r="A15" t="s">
        <v>248</v>
      </c>
      <c r="C15" s="95" t="str">
        <v>Corey Conners</v>
      </c>
      <c r="F15" s="3">
        <f>COUNTIF(ESPNPicks!$F$4:$R$53,$C15)-COUNTIF(ESPNPicks!$R$38:$R$44,$C15)</f>
        <v>1</v>
      </c>
      <c r="G15" s="3">
        <f>COUNTIF(ESPNMicro!$F$4:$R$53,$C15)-COUNTIF(ESPNMicro!$R$38:$R$44,$C15)</f>
        <v>0</v>
      </c>
    </row>
    <row r="16" spans="1:7" x14ac:dyDescent="0.25">
      <c r="A16" t="s">
        <v>73</v>
      </c>
      <c r="C16" s="95" t="str">
        <v>Denny McCarthy</v>
      </c>
      <c r="F16" s="3">
        <f>COUNTIF(ESPNPicks!$F$4:$R$53,$C16)-COUNTIF(ESPNPicks!$R$38:$R$44,$C16)</f>
        <v>0</v>
      </c>
      <c r="G16" s="3">
        <f>COUNTIF(ESPNMicro!$F$4:$R$53,$C16)-COUNTIF(ESPNMicro!$R$38:$R$44,$C16)</f>
        <v>0</v>
      </c>
    </row>
    <row r="17" spans="1:7" x14ac:dyDescent="0.25">
      <c r="A17" t="s">
        <v>31</v>
      </c>
      <c r="C17" s="95" t="str">
        <v>Jackson Suber</v>
      </c>
      <c r="F17" s="3">
        <f>COUNTIF(ESPNPicks!$F$4:$R$53,$C17)-COUNTIF(ESPNPicks!$R$38:$R$44,$C17)</f>
        <v>0</v>
      </c>
      <c r="G17" s="3">
        <f>COUNTIF(ESPNMicro!$F$4:$R$53,$C17)-COUNTIF(ESPNMicro!$R$38:$R$44,$C17)</f>
        <v>0</v>
      </c>
    </row>
    <row r="18" spans="1:7" x14ac:dyDescent="0.25">
      <c r="A18" t="s">
        <v>131</v>
      </c>
      <c r="C18" s="95" t="str">
        <v>Harry Hall</v>
      </c>
      <c r="F18" s="3">
        <f>COUNTIF(ESPNPicks!$F$4:$R$53,$C18)-COUNTIF(ESPNPicks!$R$38:$R$44,$C18)</f>
        <v>0</v>
      </c>
      <c r="G18" s="3">
        <f>COUNTIF(ESPNMicro!$F$4:$R$53,$C18)-COUNTIF(ESPNMicro!$R$38:$R$44,$C18)</f>
        <v>0</v>
      </c>
    </row>
    <row r="19" spans="1:7" x14ac:dyDescent="0.25">
      <c r="A19" t="s">
        <v>62</v>
      </c>
      <c r="C19" s="95" t="str">
        <v>Jason Day</v>
      </c>
      <c r="F19" s="3">
        <f>COUNTIF(ESPNPicks!$F$4:$R$53,$C19)-COUNTIF(ESPNPicks!$R$38:$R$44,$C19)</f>
        <v>0</v>
      </c>
      <c r="G19" s="3">
        <f>COUNTIF(ESPNMicro!$F$4:$R$53,$C19)-COUNTIF(ESPNMicro!$R$38:$R$44,$C19)</f>
        <v>0</v>
      </c>
    </row>
    <row r="20" spans="1:7" x14ac:dyDescent="0.25">
      <c r="A20" t="s">
        <v>33</v>
      </c>
      <c r="C20" s="95" t="str">
        <v>Sam Stevens</v>
      </c>
      <c r="F20" s="3">
        <f>COUNTIF(ESPNPicks!$F$4:$R$53,$C20)-COUNTIF(ESPNPicks!$R$38:$R$44,$C20)</f>
        <v>0</v>
      </c>
      <c r="G20" s="3">
        <f>COUNTIF(ESPNMicro!$F$4:$R$53,$C20)-COUNTIF(ESPNMicro!$R$38:$R$44,$C20)</f>
        <v>0</v>
      </c>
    </row>
    <row r="21" spans="1:7" x14ac:dyDescent="0.25">
      <c r="A21" t="s">
        <v>45</v>
      </c>
      <c r="C21" s="95" t="str">
        <v>Ryo Hisatsune</v>
      </c>
      <c r="F21" s="3">
        <f>COUNTIF(ESPNPicks!$F$4:$R$53,$C21)-COUNTIF(ESPNPicks!$R$38:$R$44,$C21)</f>
        <v>0</v>
      </c>
      <c r="G21" s="3">
        <f>COUNTIF(ESPNMicro!$F$4:$R$53,$C21)-COUNTIF(ESPNMicro!$R$38:$R$44,$C21)</f>
        <v>0</v>
      </c>
    </row>
    <row r="22" spans="1:7" x14ac:dyDescent="0.25">
      <c r="A22" t="s">
        <v>267</v>
      </c>
      <c r="C22" s="95" t="str">
        <v>Matt McCarty</v>
      </c>
      <c r="F22" s="3">
        <f>COUNTIF(ESPNPicks!$F$4:$R$53,$C22)-COUNTIF(ESPNPicks!$R$38:$R$44,$C22)</f>
        <v>0</v>
      </c>
      <c r="G22" s="3">
        <f>COUNTIF(ESPNMicro!$F$4:$R$53,$C22)-COUNTIF(ESPNMicro!$R$38:$R$44,$C22)</f>
        <v>0</v>
      </c>
    </row>
    <row r="23" spans="1:7" x14ac:dyDescent="0.25">
      <c r="A23" t="s">
        <v>27</v>
      </c>
      <c r="C23" s="95" t="str">
        <v>Ben James</v>
      </c>
      <c r="F23" s="3">
        <f>COUNTIF(ESPNPicks!$F$4:$R$53,$C23)-COUNTIF(ESPNPicks!$R$38:$R$44,$C23)</f>
        <v>0</v>
      </c>
      <c r="G23" s="3">
        <f>COUNTIF(ESPNMicro!$F$4:$R$53,$C23)-COUNTIF(ESPNMicro!$R$38:$R$44,$C23)</f>
        <v>0</v>
      </c>
    </row>
    <row r="24" spans="1:7" x14ac:dyDescent="0.25">
      <c r="A24" t="s">
        <v>268</v>
      </c>
      <c r="C24" s="95" t="str">
        <v>Shane Lowry</v>
      </c>
      <c r="F24" s="3">
        <f>COUNTIF(ESPNPicks!$F$4:$R$53,$C24)-COUNTIF(ESPNPicks!$R$38:$R$44,$C24)</f>
        <v>0</v>
      </c>
      <c r="G24" s="3">
        <f>COUNTIF(ESPNMicro!$F$4:$R$53,$C24)-COUNTIF(ESPNMicro!$R$38:$R$44,$C24)</f>
        <v>0</v>
      </c>
    </row>
    <row r="25" spans="1:7" x14ac:dyDescent="0.25">
      <c r="A25" t="s">
        <v>64</v>
      </c>
      <c r="C25" s="95" t="str">
        <v>Nick Taylor</v>
      </c>
      <c r="F25" s="3">
        <f>COUNTIF(ESPNPicks!$F$4:$R$53,$C25)-COUNTIF(ESPNPicks!$R$38:$R$44,$C25)</f>
        <v>0</v>
      </c>
      <c r="G25" s="3">
        <f>COUNTIF(ESPNMicro!$F$4:$R$53,$C25)-COUNTIF(ESPNMicro!$R$38:$R$44,$C25)</f>
        <v>0</v>
      </c>
    </row>
    <row r="26" spans="1:7" x14ac:dyDescent="0.25">
      <c r="A26" t="s">
        <v>154</v>
      </c>
      <c r="C26" s="95" t="str">
        <v>Andrew Novak</v>
      </c>
      <c r="F26" s="3">
        <f>COUNTIF(ESPNPicks!$F$4:$R$53,$C26)-COUNTIF(ESPNPicks!$R$38:$R$44,$C26)</f>
        <v>0</v>
      </c>
      <c r="G26" s="3">
        <f>COUNTIF(ESPNMicro!$F$4:$R$53,$C26)-COUNTIF(ESPNMicro!$R$38:$R$44,$C26)</f>
        <v>0</v>
      </c>
    </row>
    <row r="27" spans="1:7" x14ac:dyDescent="0.25">
      <c r="A27" t="s">
        <v>34</v>
      </c>
      <c r="C27" s="95" t="str">
        <v>Gary Woodland</v>
      </c>
      <c r="F27" s="3">
        <f>COUNTIF(ESPNPicks!$F$4:$R$53,$C27)-COUNTIF(ESPNPicks!$R$38:$R$44,$C27)</f>
        <v>0</v>
      </c>
      <c r="G27" s="3">
        <f>COUNTIF(ESPNMicro!$F$4:$R$53,$C27)-COUNTIF(ESPNMicro!$R$38:$R$44,$C27)</f>
        <v>0</v>
      </c>
    </row>
    <row r="28" spans="1:7" x14ac:dyDescent="0.25">
      <c r="A28" t="s">
        <v>40</v>
      </c>
      <c r="C28" s="95" t="str">
        <v>Alex Fitzpatrick</v>
      </c>
      <c r="F28" s="3">
        <f>COUNTIF(ESPNPicks!$F$4:$R$53,$C28)-COUNTIF(ESPNPicks!$R$38:$R$44,$C28)</f>
        <v>1</v>
      </c>
      <c r="G28" s="3">
        <f>COUNTIF(ESPNMicro!$F$4:$R$53,$C28)-COUNTIF(ESPNMicro!$R$38:$R$44,$C28)</f>
        <v>0</v>
      </c>
    </row>
    <row r="29" spans="1:7" x14ac:dyDescent="0.25">
      <c r="A29" t="s">
        <v>29</v>
      </c>
      <c r="C29" s="95" t="str">
        <v>Jhonattan Vegas</v>
      </c>
      <c r="F29" s="3">
        <f>COUNTIF(ESPNPicks!$F$4:$R$53,$C29)-COUNTIF(ESPNPicks!$R$38:$R$44,$C29)</f>
        <v>0</v>
      </c>
      <c r="G29" s="3">
        <f>COUNTIF(ESPNMicro!$F$4:$R$53,$C29)-COUNTIF(ESPNMicro!$R$38:$R$44,$C29)</f>
        <v>0</v>
      </c>
    </row>
    <row r="30" spans="1:7" ht="13" x14ac:dyDescent="0.3">
      <c r="A30" t="s">
        <v>36</v>
      </c>
      <c r="C30" s="95" t="str">
        <v>Mark Hubbard</v>
      </c>
      <c r="F30" s="8">
        <f>COUNTIF(ESPNPicks!$F$4:$R$53,$C30)-COUNTIF(ESPNPicks!$R$38:$R$44,$C30)</f>
        <v>0</v>
      </c>
      <c r="G30" s="3">
        <f>COUNTIF(ESPNMicro!$F$4:$R$53,$C30)-COUNTIF(ESPNMicro!$R$38:$R$44,$C30)</f>
        <v>0</v>
      </c>
    </row>
    <row r="31" spans="1:7" x14ac:dyDescent="0.25">
      <c r="A31" t="s">
        <v>30</v>
      </c>
      <c r="C31" s="95" t="str">
        <v>Adam Scott</v>
      </c>
      <c r="F31" s="3">
        <f>COUNTIF(ESPNPicks!$F$4:$R$53,$C31)-COUNTIF(ESPNPicks!$R$38:$R$44,$C31)</f>
        <v>0</v>
      </c>
      <c r="G31" s="3">
        <f>COUNTIF(ESPNMicro!$F$4:$R$53,$C31)-COUNTIF(ESPNMicro!$R$38:$R$44,$C31)</f>
        <v>0</v>
      </c>
    </row>
    <row r="32" spans="1:7" ht="13" x14ac:dyDescent="0.3">
      <c r="A32" t="s">
        <v>28</v>
      </c>
      <c r="C32" s="95" t="str">
        <v>Mac Meissner</v>
      </c>
      <c r="F32" s="3">
        <f>COUNTIF(ESPNPicks!$F$4:$R$53,$C32)-COUNTIF(ESPNPicks!$R$38:$R$44,$C32)</f>
        <v>0</v>
      </c>
      <c r="G32" s="8">
        <f>COUNTIF(ESPNMicro!$F$4:$R$53,$C32)-COUNTIF(ESPNMicro!$R$38:$R$44,$C32)</f>
        <v>0</v>
      </c>
    </row>
    <row r="33" spans="1:7" x14ac:dyDescent="0.25">
      <c r="A33" t="s">
        <v>157</v>
      </c>
      <c r="C33" s="95" t="str">
        <v>Tony Finau</v>
      </c>
      <c r="F33" s="3">
        <f>COUNTIF(ESPNPicks!$F$4:$R$53,$C33)-COUNTIF(ESPNPicks!$R$38:$R$44,$C33)</f>
        <v>0</v>
      </c>
      <c r="G33" s="3">
        <f>COUNTIF(ESPNMicro!$F$4:$R$53,$C33)-COUNTIF(ESPNMicro!$R$38:$R$44,$C33)</f>
        <v>0</v>
      </c>
    </row>
    <row r="34" spans="1:7" x14ac:dyDescent="0.25">
      <c r="A34" t="s">
        <v>116</v>
      </c>
      <c r="C34" s="95" t="str">
        <v>Jordan Spieth</v>
      </c>
      <c r="F34" s="3">
        <f>COUNTIF(ESPNPicks!$F$4:$R$53,$C34)-COUNTIF(ESPNPicks!$R$38:$R$44,$C34)</f>
        <v>0</v>
      </c>
      <c r="G34" s="3">
        <f>COUNTIF(ESPNMicro!$F$4:$R$53,$C34)-COUNTIF(ESPNMicro!$R$38:$R$44,$C34)</f>
        <v>0</v>
      </c>
    </row>
    <row r="35" spans="1:7" x14ac:dyDescent="0.25">
      <c r="A35" t="s">
        <v>109</v>
      </c>
      <c r="C35" s="95" t="str">
        <v>Ryan Fox</v>
      </c>
      <c r="F35" s="3">
        <f>COUNTIF(ESPNPicks!$F$4:$R$53,$C35)-COUNTIF(ESPNPicks!$R$38:$R$44,$C35)</f>
        <v>0</v>
      </c>
      <c r="G35" s="3">
        <f>COUNTIF(ESPNMicro!$F$4:$R$53,$C35)-COUNTIF(ESPNMicro!$R$38:$R$44,$C35)</f>
        <v>0</v>
      </c>
    </row>
    <row r="36" spans="1:7" x14ac:dyDescent="0.25">
      <c r="A36" t="s">
        <v>49</v>
      </c>
      <c r="C36" s="95" t="str">
        <v>Jake Knapp</v>
      </c>
      <c r="F36" s="3">
        <f>COUNTIF(ESPNPicks!$F$4:$R$53,$C36)-COUNTIF(ESPNPicks!$R$38:$R$44,$C36)</f>
        <v>0</v>
      </c>
      <c r="G36" s="3">
        <f>COUNTIF(ESPNMicro!$F$4:$R$53,$C36)-COUNTIF(ESPNMicro!$R$38:$R$44,$C36)</f>
        <v>0</v>
      </c>
    </row>
    <row r="37" spans="1:7" x14ac:dyDescent="0.25">
      <c r="A37" t="s">
        <v>35</v>
      </c>
      <c r="C37" s="95" t="str">
        <v>Sahith Theegala</v>
      </c>
      <c r="F37" s="3">
        <f>COUNTIF(ESPNPicks!$F$4:$R$53,$C37)-COUNTIF(ESPNPicks!$R$38:$R$44,$C37)</f>
        <v>0</v>
      </c>
      <c r="G37" s="3">
        <f>COUNTIF(ESPNMicro!$F$4:$R$53,$C37)-COUNTIF(ESPNMicro!$R$38:$R$44,$C37)</f>
        <v>0</v>
      </c>
    </row>
    <row r="38" spans="1:7" x14ac:dyDescent="0.25">
      <c r="A38" t="s">
        <v>269</v>
      </c>
      <c r="C38" s="95" t="str">
        <v>Lucas Glover</v>
      </c>
      <c r="F38" s="3">
        <f>COUNTIF(ESPNPicks!$F$4:$R$53,$C38)-COUNTIF(ESPNPicks!$R$38:$R$44,$C38)</f>
        <v>0</v>
      </c>
      <c r="G38" s="3">
        <f>COUNTIF(ESPNMicro!$F$4:$R$53,$C38)-COUNTIF(ESPNMicro!$R$38:$R$44,$C38)</f>
        <v>0</v>
      </c>
    </row>
    <row r="39" spans="1:7" x14ac:dyDescent="0.25">
      <c r="A39" t="s">
        <v>234</v>
      </c>
      <c r="C39" s="95">
        <v>0</v>
      </c>
      <c r="F39" s="3">
        <f>COUNTIF(ESPNPicks!$F$4:$R$53,$C39)-COUNTIF(ESPNPicks!$R$38:$R$44,$C39)</f>
        <v>0</v>
      </c>
      <c r="G39" s="3">
        <f>COUNTIF(ESPNMicro!$F$4:$R$53,$C39)-COUNTIF(ESPNMicro!$R$38:$R$44,$C39)</f>
        <v>0</v>
      </c>
    </row>
    <row r="40" spans="1:7" x14ac:dyDescent="0.25">
      <c r="A40" t="s">
        <v>67</v>
      </c>
      <c r="C40" s="95">
        <v>0</v>
      </c>
      <c r="F40" s="3">
        <f>COUNTIF(ESPNPicks!$F$4:$R$53,$C40)-COUNTIF(ESPNPicks!$R$38:$R$44,$C40)</f>
        <v>0</v>
      </c>
      <c r="G40" s="3">
        <f>COUNTIF(ESPNMicro!$F$4:$R$53,$C40)-COUNTIF(ESPNMicro!$R$38:$R$44,$C40)</f>
        <v>0</v>
      </c>
    </row>
    <row r="41" spans="1:7" x14ac:dyDescent="0.25">
      <c r="A41" t="s">
        <v>123</v>
      </c>
      <c r="C41" s="95">
        <v>0</v>
      </c>
      <c r="F41" s="3">
        <f>COUNTIF(ESPNPicks!$F$4:$R$53,$C41)-COUNTIF(ESPNPicks!$R$38:$R$44,$C41)</f>
        <v>0</v>
      </c>
      <c r="G41" s="3">
        <f>COUNTIF(ESPNMicro!$F$4:$R$53,$C41)-COUNTIF(ESPNMicro!$R$38:$R$44,$C41)</f>
        <v>0</v>
      </c>
    </row>
    <row r="42" spans="1:7" x14ac:dyDescent="0.25">
      <c r="A42" t="s">
        <v>52</v>
      </c>
      <c r="C42" s="95">
        <v>0</v>
      </c>
      <c r="F42" s="3">
        <f>COUNTIF(ESPNPicks!$F$4:$R$53,$C42)-COUNTIF(ESPNPicks!$R$38:$R$44,$C42)</f>
        <v>0</v>
      </c>
      <c r="G42" s="3">
        <f>COUNTIF(ESPNMicro!$F$4:$R$53,$C42)-COUNTIF(ESPNMicro!$R$38:$R$44,$C42)</f>
        <v>0</v>
      </c>
    </row>
    <row r="43" spans="1:7" x14ac:dyDescent="0.25">
      <c r="A43" t="s">
        <v>108</v>
      </c>
      <c r="C43" s="95">
        <v>0</v>
      </c>
      <c r="F43" s="3">
        <f>COUNTIF(ESPNPicks!$F$4:$R$53,$C43)-COUNTIF(ESPNPicks!$R$38:$R$44,$C43)</f>
        <v>0</v>
      </c>
      <c r="G43" s="3">
        <f>COUNTIF(ESPNMicro!$F$4:$R$53,$C43)-COUNTIF(ESPNMicro!$R$38:$R$44,$C43)</f>
        <v>0</v>
      </c>
    </row>
    <row r="44" spans="1:7" x14ac:dyDescent="0.25">
      <c r="A44" t="s">
        <v>32</v>
      </c>
      <c r="C44" s="95">
        <v>0</v>
      </c>
      <c r="F44" s="3">
        <f>COUNTIF(ESPNPicks!$F$4:$R$53,$C44)-COUNTIF(ESPNPicks!$R$38:$R$44,$C44)</f>
        <v>0</v>
      </c>
      <c r="G44" s="3">
        <f>COUNTIF(ESPNMicro!$F$4:$R$53,$C44)-COUNTIF(ESPNMicro!$R$38:$R$44,$C44)</f>
        <v>0</v>
      </c>
    </row>
    <row r="45" spans="1:7" x14ac:dyDescent="0.25">
      <c r="A45" t="s">
        <v>39</v>
      </c>
      <c r="C45" s="95">
        <v>0</v>
      </c>
      <c r="F45" s="3">
        <f>COUNTIF(ESPNPicks!$F$4:$R$53,$C45)-COUNTIF(ESPNPicks!$R$38:$R$44,$C45)</f>
        <v>0</v>
      </c>
      <c r="G45" s="3">
        <f>COUNTIF(ESPNMicro!$F$4:$R$53,$C45)-COUNTIF(ESPNMicro!$R$38:$R$44,$C45)</f>
        <v>0</v>
      </c>
    </row>
    <row r="46" spans="1:7" x14ac:dyDescent="0.25">
      <c r="A46" t="s">
        <v>246</v>
      </c>
      <c r="C46" s="95">
        <v>0</v>
      </c>
      <c r="F46" s="3">
        <f>COUNTIF(ESPNPicks!$F$4:$R$53,$C46)-COUNTIF(ESPNPicks!$R$38:$R$44,$C46)</f>
        <v>0</v>
      </c>
      <c r="G46" s="3">
        <f>COUNTIF(ESPNMicro!$F$4:$R$53,$C46)-COUNTIF(ESPNMicro!$R$38:$R$44,$C46)</f>
        <v>0</v>
      </c>
    </row>
    <row r="47" spans="1:7" x14ac:dyDescent="0.25">
      <c r="A47" t="s">
        <v>146</v>
      </c>
      <c r="C47" s="95">
        <v>0</v>
      </c>
      <c r="F47" s="3">
        <f>COUNTIF(ESPNPicks!$F$4:$R$53,$C47)-COUNTIF(ESPNPicks!$R$38:$R$44,$C47)</f>
        <v>0</v>
      </c>
      <c r="G47" s="3">
        <f>COUNTIF(ESPNMicro!$F$4:$R$53,$C47)-COUNTIF(ESPNMicro!$R$38:$R$44,$C47)</f>
        <v>0</v>
      </c>
    </row>
    <row r="48" spans="1:7" x14ac:dyDescent="0.25">
      <c r="A48" t="s">
        <v>125</v>
      </c>
      <c r="C48" s="95">
        <v>0</v>
      </c>
      <c r="F48" s="3">
        <f>COUNTIF(ESPNPicks!$F$4:$R$53,$C48)-COUNTIF(ESPNPicks!$R$38:$R$44,$C48)</f>
        <v>0</v>
      </c>
      <c r="G48" s="3">
        <f>COUNTIF(ESPNMicro!$F$4:$R$53,$C48)-COUNTIF(ESPNMicro!$R$38:$R$44,$C48)</f>
        <v>0</v>
      </c>
    </row>
    <row r="49" spans="1:7" x14ac:dyDescent="0.25">
      <c r="A49" t="s">
        <v>119</v>
      </c>
      <c r="C49" s="95">
        <v>0</v>
      </c>
      <c r="F49" s="3">
        <f>COUNTIF(ESPNPicks!$F$4:$R$53,$C49)-COUNTIF(ESPNPicks!$R$38:$R$44,$C49)</f>
        <v>0</v>
      </c>
      <c r="G49" s="3">
        <f>COUNTIF(ESPNMicro!$F$4:$R$53,$C49)-COUNTIF(ESPNMicro!$R$38:$R$44,$C49)</f>
        <v>0</v>
      </c>
    </row>
    <row r="50" spans="1:7" x14ac:dyDescent="0.25">
      <c r="A50" t="s">
        <v>126</v>
      </c>
      <c r="C50" s="95">
        <v>0</v>
      </c>
      <c r="F50" s="3">
        <f>COUNTIF(ESPNPicks!$F$4:$R$53,$C50)-COUNTIF(ESPNPicks!$R$38:$R$44,$C50)</f>
        <v>0</v>
      </c>
      <c r="G50" s="3">
        <f>COUNTIF(ESPNMicro!$F$4:$R$53,$C50)-COUNTIF(ESPNMicro!$R$38:$R$44,$C50)</f>
        <v>0</v>
      </c>
    </row>
    <row r="51" spans="1:7" x14ac:dyDescent="0.25">
      <c r="A51" t="s">
        <v>235</v>
      </c>
      <c r="C51" s="95">
        <v>0</v>
      </c>
      <c r="F51" s="3">
        <f>COUNTIF(ESPNPicks!$F$4:$R$53,$C51)-COUNTIF(ESPNPicks!$R$38:$R$44,$C51)</f>
        <v>0</v>
      </c>
      <c r="G51" s="3">
        <f>COUNTIF(ESPNMicro!$F$4:$R$53,$C51)-COUNTIF(ESPNMicro!$R$38:$R$44,$C51)</f>
        <v>0</v>
      </c>
    </row>
    <row r="52" spans="1:7" x14ac:dyDescent="0.25">
      <c r="A52" t="s">
        <v>58</v>
      </c>
      <c r="C52" s="95">
        <v>0</v>
      </c>
      <c r="F52" s="3">
        <f>COUNTIF(ESPNPicks!$F$4:$R$53,$C52)-COUNTIF(ESPNPicks!$R$38:$R$44,$C52)</f>
        <v>0</v>
      </c>
      <c r="G52" s="3">
        <f>COUNTIF(ESPNMicro!$F$4:$R$53,$C52)-COUNTIF(ESPNMicro!$R$38:$R$44,$C52)</f>
        <v>0</v>
      </c>
    </row>
    <row r="53" spans="1:7" x14ac:dyDescent="0.25">
      <c r="A53" t="s">
        <v>38</v>
      </c>
      <c r="C53" s="95">
        <v>0</v>
      </c>
      <c r="F53" s="3">
        <f>COUNTIF(ESPNPicks!$F$4:$R$53,$C53)-COUNTIF(ESPNPicks!$R$38:$R$44,$C53)</f>
        <v>0</v>
      </c>
      <c r="G53" s="3">
        <f>COUNTIF(ESPNMicro!$F$4:$R$53,$C53)-COUNTIF(ESPNMicro!$R$38:$R$44,$C53)</f>
        <v>0</v>
      </c>
    </row>
    <row r="54" spans="1:7" x14ac:dyDescent="0.25">
      <c r="A54" t="s">
        <v>57</v>
      </c>
      <c r="C54" s="95">
        <v>0</v>
      </c>
      <c r="F54" s="3">
        <f>COUNTIF(ESPNPicks!$F$4:$R$53,$C54)-COUNTIF(ESPNPicks!$R$38:$R$44,$C54)</f>
        <v>0</v>
      </c>
      <c r="G54" s="3">
        <f>COUNTIF(ESPNMicro!$F$4:$R$53,$C54)-COUNTIF(ESPNMicro!$R$38:$R$44,$C54)</f>
        <v>0</v>
      </c>
    </row>
    <row r="55" spans="1:7" x14ac:dyDescent="0.25">
      <c r="A55" t="s">
        <v>121</v>
      </c>
      <c r="C55" s="95">
        <v>0</v>
      </c>
      <c r="F55" s="3">
        <f>COUNTIF(ESPNPicks!$F$4:$R$53,$C55)-COUNTIF(ESPNPicks!$R$38:$R$44,$C55)</f>
        <v>0</v>
      </c>
      <c r="G55" s="3">
        <f>COUNTIF(ESPNMicro!$F$4:$R$53,$C55)-COUNTIF(ESPNMicro!$R$38:$R$44,$C55)</f>
        <v>0</v>
      </c>
    </row>
    <row r="56" spans="1:7" x14ac:dyDescent="0.25">
      <c r="A56" t="s">
        <v>61</v>
      </c>
      <c r="C56" s="95">
        <v>0</v>
      </c>
      <c r="F56" s="3">
        <f>COUNTIF(ESPNPicks!$F$4:$R$53,$C56)-COUNTIF(ESPNPicks!$R$38:$R$44,$C56)</f>
        <v>0</v>
      </c>
      <c r="G56" s="3">
        <f>COUNTIF(ESPNMicro!$F$4:$R$53,$C56)-COUNTIF(ESPNMicro!$R$38:$R$44,$C56)</f>
        <v>0</v>
      </c>
    </row>
    <row r="57" spans="1:7" x14ac:dyDescent="0.25">
      <c r="A57" t="s">
        <v>134</v>
      </c>
      <c r="C57" s="95">
        <v>0</v>
      </c>
      <c r="F57" s="3">
        <f>COUNTIF(ESPNPicks!$F$4:$R$53,$C57)-COUNTIF(ESPNPicks!$R$38:$R$44,$C57)</f>
        <v>0</v>
      </c>
      <c r="G57" s="3">
        <f>COUNTIF(ESPNMicro!$F$4:$R$53,$C57)-COUNTIF(ESPNMicro!$R$38:$R$44,$C57)</f>
        <v>0</v>
      </c>
    </row>
    <row r="58" spans="1:7" x14ac:dyDescent="0.25">
      <c r="A58" t="s">
        <v>161</v>
      </c>
      <c r="C58" s="95">
        <v>0</v>
      </c>
      <c r="F58" s="3">
        <f>COUNTIF(ESPNPicks!$F$4:$R$53,$C58)-COUNTIF(ESPNPicks!$R$38:$R$44,$C58)</f>
        <v>0</v>
      </c>
      <c r="G58" s="3">
        <f>COUNTIF(ESPNMicro!$F$4:$R$53,$C58)-COUNTIF(ESPNMicro!$R$38:$R$44,$C58)</f>
        <v>0</v>
      </c>
    </row>
    <row r="59" spans="1:7" x14ac:dyDescent="0.25">
      <c r="A59" t="s">
        <v>37</v>
      </c>
      <c r="C59" s="95">
        <v>0</v>
      </c>
      <c r="F59" s="3">
        <f>COUNTIF(ESPNPicks!$F$4:$R$53,$C59)-COUNTIF(ESPNPicks!$R$38:$R$44,$C59)</f>
        <v>0</v>
      </c>
      <c r="G59" s="3">
        <f>COUNTIF(ESPNMicro!$F$4:$R$53,$C59)-COUNTIF(ESPNMicro!$R$38:$R$44,$C59)</f>
        <v>0</v>
      </c>
    </row>
    <row r="60" spans="1:7" x14ac:dyDescent="0.25">
      <c r="A60" t="s">
        <v>270</v>
      </c>
      <c r="C60" s="95">
        <v>0</v>
      </c>
      <c r="F60" s="3">
        <f>COUNTIF(ESPNPicks!$F$4:$R$53,$C60)-COUNTIF(ESPNPicks!$R$38:$R$44,$C60)</f>
        <v>0</v>
      </c>
      <c r="G60" s="3">
        <f>COUNTIF(ESPNMicro!$F$4:$R$53,$C60)-COUNTIF(ESPNMicro!$R$38:$R$44,$C60)</f>
        <v>0</v>
      </c>
    </row>
    <row r="61" spans="1:7" x14ac:dyDescent="0.25">
      <c r="A61" t="s">
        <v>271</v>
      </c>
      <c r="C61" s="95">
        <v>0</v>
      </c>
      <c r="F61" s="3">
        <f>COUNTIF(ESPNPicks!$F$4:$R$53,$C61)-COUNTIF(ESPNPicks!$R$38:$R$44,$C61)</f>
        <v>0</v>
      </c>
      <c r="G61" s="3">
        <f>COUNTIF(ESPNMicro!$F$4:$R$53,$C61)-COUNTIF(ESPNMicro!$R$38:$R$44,$C61)</f>
        <v>0</v>
      </c>
    </row>
    <row r="62" spans="1:7" x14ac:dyDescent="0.25">
      <c r="A62" t="s">
        <v>59</v>
      </c>
      <c r="C62" s="95">
        <v>0</v>
      </c>
      <c r="F62" s="3">
        <f>COUNTIF(ESPNPicks!$F$4:$R$53,$C62)-COUNTIF(ESPNPicks!$R$38:$R$44,$C62)</f>
        <v>0</v>
      </c>
      <c r="G62" s="3">
        <f>COUNTIF(ESPNMicro!$F$4:$R$53,$C62)-COUNTIF(ESPNMicro!$R$38:$R$44,$C62)</f>
        <v>0</v>
      </c>
    </row>
    <row r="63" spans="1:7" x14ac:dyDescent="0.25">
      <c r="A63" t="s">
        <v>272</v>
      </c>
      <c r="C63" s="95">
        <v>0</v>
      </c>
      <c r="F63" s="3">
        <f>COUNTIF(ESPNPicks!$F$4:$R$53,$C63)-COUNTIF(ESPNPicks!$R$38:$R$44,$C63)</f>
        <v>0</v>
      </c>
      <c r="G63" s="3">
        <f>COUNTIF(ESPNMicro!$F$4:$R$53,$C63)-COUNTIF(ESPNMicro!$R$38:$R$44,$C63)</f>
        <v>0</v>
      </c>
    </row>
    <row r="64" spans="1:7" x14ac:dyDescent="0.25">
      <c r="A64" t="s">
        <v>143</v>
      </c>
      <c r="C64" s="95">
        <v>0</v>
      </c>
      <c r="F64" s="3">
        <f>COUNTIF(ESPNPicks!$F$4:$R$53,$C64)-COUNTIF(ESPNPicks!$R$38:$R$44,$C64)</f>
        <v>0</v>
      </c>
      <c r="G64" s="3">
        <f>COUNTIF(ESPNMicro!$F$4:$R$53,$C64)-COUNTIF(ESPNMicro!$R$38:$R$44,$C64)</f>
        <v>0</v>
      </c>
    </row>
    <row r="65" spans="1:7" x14ac:dyDescent="0.25">
      <c r="A65" t="s">
        <v>273</v>
      </c>
      <c r="C65" s="95">
        <v>0</v>
      </c>
      <c r="F65" s="3">
        <f>COUNTIF(ESPNPicks!$F$4:$R$53,$C65)-COUNTIF(ESPNPicks!$R$38:$R$44,$C65)</f>
        <v>0</v>
      </c>
      <c r="G65" s="3">
        <f>COUNTIF(ESPNMicro!$F$4:$R$53,$C65)-COUNTIF(ESPNMicro!$R$38:$R$44,$C65)</f>
        <v>0</v>
      </c>
    </row>
    <row r="66" spans="1:7" x14ac:dyDescent="0.25">
      <c r="A66" t="s">
        <v>104</v>
      </c>
      <c r="F66" s="3">
        <f>COUNTIF(ESPNPicks!$F$4:$R$53,$C66)-COUNTIF(ESPNPicks!$R$38:$R$44,$C66)</f>
        <v>0</v>
      </c>
      <c r="G66" s="3">
        <f>COUNTIF(ESPNMicro!$F$4:$R$53,$C66)-COUNTIF(ESPNMicro!$R$38:$R$44,$C66)</f>
        <v>0</v>
      </c>
    </row>
    <row r="67" spans="1:7" x14ac:dyDescent="0.25">
      <c r="A67" t="s">
        <v>41</v>
      </c>
      <c r="F67" s="3">
        <f>COUNTIF(ESPNPicks!$F$4:$R$53,$C67)-COUNTIF(ESPNPicks!$R$38:$R$44,$C67)</f>
        <v>0</v>
      </c>
      <c r="G67" s="3">
        <f>COUNTIF(ESPNMicro!$F$4:$R$53,$C67)-COUNTIF(ESPNMicro!$R$38:$R$44,$C67)</f>
        <v>0</v>
      </c>
    </row>
    <row r="68" spans="1:7" x14ac:dyDescent="0.25">
      <c r="A68" t="s">
        <v>60</v>
      </c>
      <c r="F68" s="3">
        <f>COUNTIF(ESPNPicks!$F$4:$R$53,$C68)-COUNTIF(ESPNPicks!$R$38:$R$44,$C68)</f>
        <v>0</v>
      </c>
      <c r="G68" s="3">
        <f>COUNTIF(ESPNMicro!$F$4:$R$53,$C68)-COUNTIF(ESPNMicro!$R$38:$R$44,$C68)</f>
        <v>0</v>
      </c>
    </row>
    <row r="69" spans="1:7" x14ac:dyDescent="0.25">
      <c r="A69" t="s">
        <v>50</v>
      </c>
      <c r="F69" s="3">
        <f>COUNTIF(ESPNPicks!$F$4:$R$53,$C69)-COUNTIF(ESPNPicks!$R$38:$R$44,$C69)</f>
        <v>0</v>
      </c>
      <c r="G69" s="3">
        <f>COUNTIF(ESPNMicro!$F$4:$R$53,$C69)-COUNTIF(ESPNMicro!$R$38:$R$44,$C69)</f>
        <v>0</v>
      </c>
    </row>
    <row r="70" spans="1:7" x14ac:dyDescent="0.25">
      <c r="A70" t="s">
        <v>42</v>
      </c>
      <c r="F70" s="3">
        <f>COUNTIF(ESPNPicks!$F$4:$R$53,$C70)-COUNTIF(ESPNPicks!$R$38:$R$44,$C70)</f>
        <v>0</v>
      </c>
      <c r="G70" s="3">
        <f>COUNTIF(ESPNMicro!$F$4:$R$53,$C70)-COUNTIF(ESPNMicro!$R$38:$R$44,$C70)</f>
        <v>0</v>
      </c>
    </row>
    <row r="71" spans="1:7" x14ac:dyDescent="0.25">
      <c r="A71" t="s">
        <v>69</v>
      </c>
      <c r="F71" s="3">
        <f>COUNTIF(ESPNPicks!$F$4:$R$53,$C71)-COUNTIF(ESPNPicks!$R$38:$R$44,$C71)</f>
        <v>0</v>
      </c>
      <c r="G71" s="3">
        <f>COUNTIF(ESPNMicro!$F$4:$R$53,$C71)-COUNTIF(ESPNMicro!$R$38:$R$44,$C71)</f>
        <v>0</v>
      </c>
    </row>
    <row r="72" spans="1:7" x14ac:dyDescent="0.25">
      <c r="A72" t="s">
        <v>48</v>
      </c>
      <c r="F72" s="3">
        <f>COUNTIF(ESPNPicks!$F$4:$R$53,$C72)-COUNTIF(ESPNPicks!$R$38:$R$44,$C72)</f>
        <v>0</v>
      </c>
      <c r="G72" s="3">
        <f>COUNTIF(ESPNMicro!$F$4:$R$53,$C72)-COUNTIF(ESPNMicro!$R$38:$R$44,$C72)</f>
        <v>0</v>
      </c>
    </row>
    <row r="73" spans="1:7" x14ac:dyDescent="0.25">
      <c r="A73" t="s">
        <v>274</v>
      </c>
      <c r="F73" s="3">
        <f>COUNTIF(ESPNPicks!$F$4:$R$53,$C73)-COUNTIF(ESPNPicks!$R$38:$R$44,$C73)</f>
        <v>0</v>
      </c>
      <c r="G73" s="3">
        <f>COUNTIF(ESPNMicro!$F$4:$R$53,$C73)-COUNTIF(ESPNMicro!$R$38:$R$44,$C73)</f>
        <v>0</v>
      </c>
    </row>
    <row r="74" spans="1:7" x14ac:dyDescent="0.25">
      <c r="F74" s="3">
        <f>COUNTIF(ESPNPicks!$F$4:$R$53,$C74)-COUNTIF(ESPNPicks!$R$38:$R$44,$C74)</f>
        <v>0</v>
      </c>
      <c r="G74" s="3">
        <f>COUNTIF(ESPNMicro!$F$4:$R$53,$C74)-COUNTIF(ESPNMicro!$R$38:$R$44,$C74)</f>
        <v>0</v>
      </c>
    </row>
    <row r="75" spans="1:7" x14ac:dyDescent="0.25">
      <c r="F75" s="3">
        <f>COUNTIF(ESPNPicks!$F$4:$R$53,$C75)-COUNTIF(ESPNPicks!$R$38:$R$44,$C75)</f>
        <v>0</v>
      </c>
      <c r="G75" s="3">
        <f>COUNTIF(ESPNMicro!$F$4:$R$53,$C75)-COUNTIF(ESPNMicro!$R$38:$R$44,$C75)</f>
        <v>0</v>
      </c>
    </row>
    <row r="76" spans="1:7" x14ac:dyDescent="0.25">
      <c r="F76" s="3">
        <f>COUNTIF(ESPNPicks!$F$4:$R$53,$C76)-COUNTIF(ESPNPicks!$R$38:$R$44,$C76)</f>
        <v>0</v>
      </c>
      <c r="G76" s="3">
        <f>COUNTIF(ESPNMicro!$F$4:$R$53,$C76)-COUNTIF(ESPNMicro!$R$38:$R$44,$C76)</f>
        <v>0</v>
      </c>
    </row>
    <row r="77" spans="1:7" x14ac:dyDescent="0.25">
      <c r="F77" s="3">
        <f>COUNTIF(ESPNPicks!$F$4:$R$53,$C77)-COUNTIF(ESPNPicks!$R$38:$R$44,$C77)</f>
        <v>0</v>
      </c>
      <c r="G77" s="3">
        <f>COUNTIF(ESPNMicro!$F$4:$R$53,$C77)-COUNTIF(ESPNMicro!$R$38:$R$44,$C77)</f>
        <v>0</v>
      </c>
    </row>
    <row r="78" spans="1:7" x14ac:dyDescent="0.25">
      <c r="F78" s="3">
        <f>COUNTIF(ESPNPicks!$F$4:$R$53,$C78)-COUNTIF(ESPNPicks!$R$38:$R$44,$C78)</f>
        <v>0</v>
      </c>
      <c r="G78" s="3">
        <f>COUNTIF(ESPNMicro!$F$4:$R$53,$C78)-COUNTIF(ESPNMicro!$R$38:$R$44,$C78)</f>
        <v>0</v>
      </c>
    </row>
    <row r="79" spans="1:7" x14ac:dyDescent="0.25">
      <c r="F79" s="3">
        <f>COUNTIF(ESPNPicks!$F$4:$R$53,$C79)-COUNTIF(ESPNPicks!$R$38:$R$44,$C79)</f>
        <v>0</v>
      </c>
      <c r="G79" s="3">
        <f>COUNTIF(ESPNMicro!$F$4:$R$53,$C79)-COUNTIF(ESPNMicro!$R$38:$R$44,$C79)</f>
        <v>0</v>
      </c>
    </row>
    <row r="80" spans="1:7" x14ac:dyDescent="0.25">
      <c r="F80" s="3">
        <f>COUNTIF(ESPNPicks!$F$4:$R$53,$C80)-COUNTIF(ESPNPicks!$R$38:$R$44,$C80)</f>
        <v>0</v>
      </c>
      <c r="G80" s="3">
        <f>COUNTIF(ESPNMicro!$F$4:$R$53,$C80)-COUNTIF(ESPNMicro!$R$38:$R$44,$C80)</f>
        <v>0</v>
      </c>
    </row>
    <row r="81" spans="6:7" x14ac:dyDescent="0.25">
      <c r="F81" s="3">
        <f>COUNTIF(ESPNPicks!$F$4:$R$53,$C81)-COUNTIF(ESPNPicks!$R$38:$R$44,$C81)</f>
        <v>0</v>
      </c>
      <c r="G81" s="3">
        <f>COUNTIF(ESPNMicro!$F$4:$R$53,$C81)-COUNTIF(ESPNMicro!$R$38:$R$44,$C81)</f>
        <v>0</v>
      </c>
    </row>
    <row r="82" spans="6:7" x14ac:dyDescent="0.25">
      <c r="F82" s="3">
        <f>COUNTIF(ESPNPicks!$F$4:$R$53,$C82)-COUNTIF(ESPNPicks!$R$38:$R$44,$C82)</f>
        <v>0</v>
      </c>
      <c r="G82" s="3">
        <f>COUNTIF(ESPNMicro!$F$4:$R$53,$C82)-COUNTIF(ESPNMicro!$R$38:$R$44,$C82)</f>
        <v>0</v>
      </c>
    </row>
    <row r="83" spans="6:7" x14ac:dyDescent="0.25">
      <c r="F83" s="3">
        <f>COUNTIF(ESPNPicks!$F$4:$R$53,$C83)-COUNTIF(ESPNPicks!$R$38:$R$44,$C83)</f>
        <v>0</v>
      </c>
      <c r="G83" s="3">
        <f>COUNTIF(ESPNMicro!$F$4:$R$53,$C83)-COUNTIF(ESPNMicro!$R$38:$R$44,$C83)</f>
        <v>0</v>
      </c>
    </row>
    <row r="84" spans="6:7" x14ac:dyDescent="0.25">
      <c r="F84" s="3">
        <f>COUNTIF(ESPNPicks!$F$4:$R$53,$C84)-COUNTIF(ESPNPicks!$R$38:$R$44,$C84)</f>
        <v>0</v>
      </c>
      <c r="G84" s="3">
        <f>COUNTIF(ESPNMicro!$F$4:$R$53,$C84)-COUNTIF(ESPNMicro!$R$38:$R$44,$C84)</f>
        <v>0</v>
      </c>
    </row>
    <row r="85" spans="6:7" x14ac:dyDescent="0.25">
      <c r="F85" s="3">
        <f>COUNTIF(ESPNPicks!$F$4:$R$53,$C85)-COUNTIF(ESPNPicks!$R$38:$R$44,$C85)</f>
        <v>0</v>
      </c>
      <c r="G85" s="3">
        <f>COUNTIF(ESPNMicro!$F$4:$R$53,$C85)-COUNTIF(ESPNMicro!$R$38:$R$44,$C85)</f>
        <v>0</v>
      </c>
    </row>
    <row r="86" spans="6:7" x14ac:dyDescent="0.25">
      <c r="F86" s="3">
        <f>COUNTIF(ESPNPicks!$F$4:$R$53,$C86)-COUNTIF(ESPNPicks!$R$38:$R$44,$C86)</f>
        <v>0</v>
      </c>
      <c r="G86" s="3">
        <f>COUNTIF(ESPNMicro!$F$4:$R$53,$C86)-COUNTIF(ESPNMicro!$R$38:$R$44,$C86)</f>
        <v>0</v>
      </c>
    </row>
    <row r="87" spans="6:7" x14ac:dyDescent="0.25">
      <c r="F87" s="3">
        <f>COUNTIF(ESPNPicks!$F$4:$R$53,$C87)-COUNTIF(ESPNPicks!$R$38:$R$44,$C87)</f>
        <v>0</v>
      </c>
      <c r="G87" s="3">
        <f>COUNTIF(ESPNMicro!$F$4:$R$53,$C87)-COUNTIF(ESPNMicro!$R$38:$R$44,$C87)</f>
        <v>0</v>
      </c>
    </row>
    <row r="88" spans="6:7" x14ac:dyDescent="0.25">
      <c r="F88" s="3">
        <f>COUNTIF(ESPNPicks!$F$4:$R$53,$C88)-COUNTIF(ESPNPicks!$R$38:$R$44,$C88)</f>
        <v>0</v>
      </c>
      <c r="G88" s="3">
        <f>COUNTIF(ESPNMicro!$F$4:$R$53,$C88)-COUNTIF(ESPNMicro!$R$38:$R$44,$C88)</f>
        <v>0</v>
      </c>
    </row>
    <row r="89" spans="6:7" x14ac:dyDescent="0.25">
      <c r="F89" s="3">
        <f>COUNTIF(ESPNPicks!$F$4:$R$53,$C89)-COUNTIF(ESPNPicks!$R$38:$R$44,$C89)</f>
        <v>0</v>
      </c>
      <c r="G89" s="3">
        <f>COUNTIF(ESPNMicro!$F$4:$R$53,$C89)-COUNTIF(ESPNMicro!$R$38:$R$44,$C89)</f>
        <v>0</v>
      </c>
    </row>
    <row r="90" spans="6:7" x14ac:dyDescent="0.25">
      <c r="F90" s="3">
        <f>COUNTIF(ESPNPicks!$F$4:$R$53,$C90)-COUNTIF(ESPNPicks!$R$38:$R$44,$C90)</f>
        <v>0</v>
      </c>
      <c r="G90" s="3">
        <f>COUNTIF(ESPNMicro!$F$4:$R$53,$C90)-COUNTIF(ESPNMicro!$R$38:$R$44,$C90)</f>
        <v>0</v>
      </c>
    </row>
    <row r="91" spans="6:7" x14ac:dyDescent="0.25">
      <c r="F91" s="3">
        <f>COUNTIF(ESPNPicks!$F$4:$R$53,$C91)-COUNTIF(ESPNPicks!$R$38:$R$44,$C91)</f>
        <v>0</v>
      </c>
      <c r="G91" s="3">
        <f>COUNTIF(ESPNMicro!$F$4:$R$53,$C91)-COUNTIF(ESPNMicro!$R$38:$R$44,$C91)</f>
        <v>0</v>
      </c>
    </row>
    <row r="92" spans="6:7" x14ac:dyDescent="0.25">
      <c r="F92" s="3">
        <f>COUNTIF(ESPNPicks!$F$4:$R$53,$C92)-COUNTIF(ESPNPicks!$R$38:$R$44,$C92)</f>
        <v>0</v>
      </c>
      <c r="G92" s="3">
        <f>COUNTIF(ESPNMicro!$F$4:$R$53,$C92)-COUNTIF(ESPNMicro!$R$38:$R$44,$C92)</f>
        <v>0</v>
      </c>
    </row>
    <row r="93" spans="6:7" x14ac:dyDescent="0.25">
      <c r="F93" s="3">
        <f>COUNTIF(ESPNPicks!$F$4:$R$53,$C93)-COUNTIF(ESPNPicks!$R$38:$R$44,$C93)</f>
        <v>0</v>
      </c>
      <c r="G93" s="3">
        <f>COUNTIF(ESPNMicro!$F$4:$R$53,$C93)-COUNTIF(ESPNMicro!$R$38:$R$44,$C93)</f>
        <v>0</v>
      </c>
    </row>
    <row r="94" spans="6:7" ht="13" x14ac:dyDescent="0.3">
      <c r="F94" s="8">
        <f>COUNTIF(ESPNPicks!$F$4:$R$53,$C94)-COUNTIF(ESPNPicks!$R$38:$R$44,$C94)</f>
        <v>0</v>
      </c>
      <c r="G94" s="8">
        <f>COUNTIF(ESPNMicro!$F$4:$R$53,$C94)-COUNTIF(ESPNMicro!$R$38:$R$44,$C94)</f>
        <v>0</v>
      </c>
    </row>
    <row r="95" spans="6:7" x14ac:dyDescent="0.25">
      <c r="F95" s="3">
        <f>COUNTIF(ESPNPicks!$F$4:$R$53,$C95)-COUNTIF(ESPNPicks!$R$38:$R$44,$C95)</f>
        <v>0</v>
      </c>
      <c r="G95" s="3">
        <f>COUNTIF(ESPNMicro!$F$4:$R$53,$C95)-COUNTIF(ESPNMicro!$R$38:$R$44,$C95)</f>
        <v>0</v>
      </c>
    </row>
    <row r="96" spans="6:7" x14ac:dyDescent="0.25">
      <c r="F96" s="3">
        <f>COUNTIF(ESPNPicks!$F$4:$R$53,$C96)-COUNTIF(ESPNPicks!$R$38:$R$44,$C96)</f>
        <v>0</v>
      </c>
      <c r="G96" s="3">
        <f>COUNTIF(ESPNMicro!$F$4:$R$53,$C96)-COUNTIF(ESPNMicro!$R$38:$R$44,$C96)</f>
        <v>0</v>
      </c>
    </row>
    <row r="97" spans="6:7" x14ac:dyDescent="0.25">
      <c r="F97" s="3">
        <f>COUNTIF(ESPNPicks!$F$4:$R$53,$C97)-COUNTIF(ESPNPicks!$R$38:$R$44,$C97)</f>
        <v>0</v>
      </c>
      <c r="G97" s="3">
        <f>COUNTIF(ESPNMicro!$F$4:$R$53,$C97)-COUNTIF(ESPNMicro!$R$38:$R$44,$C97)</f>
        <v>0</v>
      </c>
    </row>
    <row r="98" spans="6:7" x14ac:dyDescent="0.25">
      <c r="F98" s="3">
        <f>COUNTIF(ESPNPicks!$F$4:$R$53,$C98)-COUNTIF(ESPNPicks!$R$38:$R$44,$C98)</f>
        <v>0</v>
      </c>
      <c r="G98" s="3">
        <f>COUNTIF(ESPNMicro!$F$4:$R$53,$C98)-COUNTIF(ESPNMicro!$R$38:$R$44,$C98)</f>
        <v>0</v>
      </c>
    </row>
    <row r="99" spans="6:7" ht="13" x14ac:dyDescent="0.3">
      <c r="F99" s="3">
        <f>COUNTIF(ESPNPicks!$F$4:$R$53,$C99)-COUNTIF(ESPNPicks!$R$38:$R$44,$C99)</f>
        <v>0</v>
      </c>
      <c r="G99" s="8">
        <f>COUNTIF(ESPNMicro!$F$4:$R$53,$C99)-COUNTIF(ESPNMicro!$R$38:$R$44,$C99)</f>
        <v>0</v>
      </c>
    </row>
    <row r="100" spans="6:7" x14ac:dyDescent="0.25">
      <c r="F100" s="3">
        <f>COUNTIF(ESPNPicks!$F$4:$R$53,$C100)-COUNTIF(ESPNPicks!$R$38:$R$44,$C100)</f>
        <v>0</v>
      </c>
      <c r="G100" s="3">
        <f>COUNTIF(ESPNMicro!$F$4:$R$53,$C100)-COUNTIF(ESPNMicro!$R$38:$R$44,$C100)</f>
        <v>0</v>
      </c>
    </row>
    <row r="101" spans="6:7" x14ac:dyDescent="0.25">
      <c r="F101" s="3">
        <f>COUNTIF(ESPNPicks!$F$4:$R$53,$C101)-COUNTIF(ESPNPicks!$R$38:$R$44,$C101)</f>
        <v>0</v>
      </c>
      <c r="G101" s="3">
        <f>COUNTIF(ESPNMicro!$F$4:$R$53,$C101)-COUNTIF(ESPNMicro!$R$38:$R$44,$C101)</f>
        <v>0</v>
      </c>
    </row>
    <row r="102" spans="6:7" x14ac:dyDescent="0.25">
      <c r="F102" s="3">
        <f>COUNTIF(ESPNPicks!$F$4:$R$53,$C102)-COUNTIF(ESPNPicks!$R$38:$R$44,$C102)</f>
        <v>0</v>
      </c>
      <c r="G102" s="3">
        <f>COUNTIF(ESPNMicro!$F$4:$R$53,$C102)-COUNTIF(ESPNMicro!$R$38:$R$44,$C102)</f>
        <v>0</v>
      </c>
    </row>
    <row r="103" spans="6:7" x14ac:dyDescent="0.25">
      <c r="F103" s="3">
        <f>COUNTIF(ESPNPicks!$F$4:$R$53,$C103)-COUNTIF(ESPNPicks!$R$38:$R$44,$C103)</f>
        <v>0</v>
      </c>
      <c r="G103" s="3">
        <f>COUNTIF(ESPNMicro!$F$4:$R$53,$C103)-COUNTIF(ESPNMicro!$R$38:$R$44,$C103)</f>
        <v>0</v>
      </c>
    </row>
    <row r="104" spans="6:7" x14ac:dyDescent="0.25">
      <c r="F104" s="3">
        <f>COUNTIF(ESPNPicks!$F$4:$R$53,$C104)-COUNTIF(ESPNPicks!$R$38:$R$44,$C104)</f>
        <v>0</v>
      </c>
      <c r="G104" s="3">
        <f>COUNTIF(ESPNMicro!$F$4:$R$53,$C104)-COUNTIF(ESPNMicro!$R$38:$R$44,$C104)</f>
        <v>0</v>
      </c>
    </row>
    <row r="105" spans="6:7" x14ac:dyDescent="0.25">
      <c r="F105" s="3">
        <f>COUNTIF(ESPNPicks!$F$4:$R$53,$C105)-COUNTIF(ESPNPicks!$R$38:$R$44,$C105)</f>
        <v>0</v>
      </c>
      <c r="G105" s="3">
        <f>COUNTIF(ESPNMicro!$F$4:$R$53,$C105)-COUNTIF(ESPNMicro!$R$38:$R$44,$C105)</f>
        <v>0</v>
      </c>
    </row>
    <row r="106" spans="6:7" x14ac:dyDescent="0.25">
      <c r="F106" s="3">
        <f>COUNTIF(ESPNPicks!$F$4:$R$53,$C106)-COUNTIF(ESPNPicks!$R$38:$R$44,$C106)</f>
        <v>0</v>
      </c>
      <c r="G106" s="3">
        <f>COUNTIF(ESPNMicro!$F$4:$R$53,$C106)-COUNTIF(ESPNMicro!$R$38:$R$44,$C106)</f>
        <v>0</v>
      </c>
    </row>
    <row r="107" spans="6:7" x14ac:dyDescent="0.25">
      <c r="F107" s="3">
        <f>COUNTIF(ESPNPicks!$F$4:$R$53,$C107)-COUNTIF(ESPNPicks!$R$38:$R$44,$C107)</f>
        <v>0</v>
      </c>
      <c r="G107" s="3">
        <f>COUNTIF(ESPNMicro!$F$4:$R$53,$C107)-COUNTIF(ESPNMicro!$R$38:$R$44,$C107)</f>
        <v>0</v>
      </c>
    </row>
    <row r="108" spans="6:7" x14ac:dyDescent="0.25">
      <c r="F108" s="3">
        <f>COUNTIF(ESPNPicks!$F$4:$R$53,$C108)-COUNTIF(ESPNPicks!$R$38:$R$44,$C108)</f>
        <v>0</v>
      </c>
      <c r="G108" s="3">
        <f>COUNTIF(ESPNMicro!$F$4:$R$53,$C108)-COUNTIF(ESPNMicro!$R$38:$R$44,$C108)</f>
        <v>0</v>
      </c>
    </row>
    <row r="109" spans="6:7" x14ac:dyDescent="0.25">
      <c r="F109" s="3">
        <f>COUNTIF(ESPNPicks!$F$4:$R$53,$C109)-COUNTIF(ESPNPicks!$R$38:$R$44,$C109)</f>
        <v>0</v>
      </c>
      <c r="G109" s="3">
        <f>COUNTIF(ESPNMicro!$F$4:$R$53,$C109)-COUNTIF(ESPNMicro!$R$38:$R$44,$C109)</f>
        <v>0</v>
      </c>
    </row>
    <row r="110" spans="6:7" x14ac:dyDescent="0.25">
      <c r="F110" s="3">
        <f>COUNTIF(ESPNPicks!$F$4:$R$53,$C110)-COUNTIF(ESPNPicks!$R$38:$R$44,$C110)</f>
        <v>0</v>
      </c>
      <c r="G110" s="3">
        <f>COUNTIF(ESPNMicro!$F$4:$R$53,$C110)-COUNTIF(ESPNMicro!$R$38:$R$44,$C110)</f>
        <v>0</v>
      </c>
    </row>
    <row r="111" spans="6:7" x14ac:dyDescent="0.25">
      <c r="F111" s="3">
        <f>COUNTIF(ESPNPicks!$F$4:$R$53,$C111)-COUNTIF(ESPNPicks!$R$38:$R$44,$C111)</f>
        <v>0</v>
      </c>
      <c r="G111" s="3">
        <f>COUNTIF(ESPNMicro!$F$4:$R$53,$C111)-COUNTIF(ESPNMicro!$R$38:$R$44,$C111)</f>
        <v>0</v>
      </c>
    </row>
    <row r="112" spans="6:7" x14ac:dyDescent="0.25">
      <c r="F112" s="3">
        <f>COUNTIF(ESPNPicks!$F$4:$R$53,$C112)-COUNTIF(ESPNPicks!$R$38:$R$44,$C112)</f>
        <v>0</v>
      </c>
      <c r="G112" s="3">
        <f>COUNTIF(ESPNMicro!$F$4:$R$53,$C112)-COUNTIF(ESPNMicro!$R$38:$R$44,$C112)</f>
        <v>0</v>
      </c>
    </row>
    <row r="113" spans="6:7" x14ac:dyDescent="0.25">
      <c r="F113" s="3">
        <f>COUNTIF(ESPNPicks!$F$4:$R$53,$C113)-COUNTIF(ESPNPicks!$R$38:$R$44,$C113)</f>
        <v>0</v>
      </c>
      <c r="G113" s="3">
        <f>COUNTIF(ESPNMicro!$F$4:$R$53,$C113)-COUNTIF(ESPNMicro!$R$38:$R$44,$C113)</f>
        <v>0</v>
      </c>
    </row>
    <row r="114" spans="6:7" x14ac:dyDescent="0.25">
      <c r="F114" s="3">
        <f>COUNTIF(ESPNPicks!$F$4:$R$53,$C114)-COUNTIF(ESPNPicks!$R$38:$R$44,$C114)</f>
        <v>0</v>
      </c>
      <c r="G114" s="3">
        <f>COUNTIF(ESPNMicro!$F$4:$R$53,$C114)-COUNTIF(ESPNMicro!$R$38:$R$44,$C114)</f>
        <v>0</v>
      </c>
    </row>
    <row r="115" spans="6:7" x14ac:dyDescent="0.25">
      <c r="F115" s="3">
        <f>COUNTIF(ESPNPicks!$F$4:$R$53,$C115)-COUNTIF(ESPNPicks!$R$38:$R$44,$C115)</f>
        <v>0</v>
      </c>
      <c r="G115" s="3">
        <f>COUNTIF(ESPNMicro!$F$4:$R$53,$C115)-COUNTIF(ESPNMicro!$R$38:$R$44,$C115)</f>
        <v>0</v>
      </c>
    </row>
    <row r="116" spans="6:7" x14ac:dyDescent="0.25">
      <c r="F116" s="3">
        <f>COUNTIF(ESPNPicks!$F$4:$R$53,$C116)-COUNTIF(ESPNPicks!$R$38:$R$44,$C116)</f>
        <v>0</v>
      </c>
      <c r="G116" s="3">
        <f>COUNTIF(ESPNMicro!$F$4:$R$53,$C116)-COUNTIF(ESPNMicro!$R$38:$R$44,$C116)</f>
        <v>0</v>
      </c>
    </row>
    <row r="117" spans="6:7" x14ac:dyDescent="0.25">
      <c r="F117" s="3">
        <f>COUNTIF(ESPNPicks!$F$4:$R$53,$C117)-COUNTIF(ESPNPicks!$R$38:$R$44,$C117)</f>
        <v>0</v>
      </c>
      <c r="G117" s="3">
        <f>COUNTIF(ESPNMicro!$F$4:$R$53,$C117)-COUNTIF(ESPNMicro!$R$38:$R$44,$C117)</f>
        <v>0</v>
      </c>
    </row>
  </sheetData>
  <conditionalFormatting sqref="F2:F158">
    <cfRule type="cellIs" dxfId="64" priority="2" operator="equal">
      <formula>0</formula>
    </cfRule>
  </conditionalFormatting>
  <conditionalFormatting sqref="G2:G158">
    <cfRule type="cellIs" dxfId="63" priority="1" operator="equal">
      <formula>0</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O124"/>
  <sheetViews>
    <sheetView zoomScaleNormal="100" workbookViewId="0"/>
  </sheetViews>
  <sheetFormatPr defaultRowHeight="13" x14ac:dyDescent="0.25"/>
  <cols>
    <col min="1" max="1" width="7" customWidth="1"/>
    <col min="2" max="2" width="9.1796875" style="1"/>
    <col min="3" max="3" width="19" style="4" customWidth="1"/>
    <col min="4" max="4" width="20.1796875" style="4" customWidth="1"/>
    <col min="5" max="5" width="18.1796875" style="4" customWidth="1"/>
    <col min="6" max="6" width="19.453125" style="4" customWidth="1"/>
    <col min="7" max="7" width="21.81640625" style="4" customWidth="1"/>
    <col min="8" max="8" width="14.1796875" customWidth="1"/>
    <col min="9" max="9" width="16.1796875" customWidth="1"/>
    <col min="14" max="14" width="11.36328125" customWidth="1"/>
    <col min="15" max="15" width="16.453125" customWidth="1"/>
  </cols>
  <sheetData>
    <row r="1" spans="2:7" x14ac:dyDescent="0.25">
      <c r="E1" s="4" t="s">
        <v>0</v>
      </c>
    </row>
    <row r="2" spans="2:7" x14ac:dyDescent="0.25">
      <c r="B2" s="1" t="s">
        <v>53</v>
      </c>
    </row>
    <row r="3" spans="2:7" x14ac:dyDescent="0.25">
      <c r="B3" s="1">
        <v>1</v>
      </c>
      <c r="C3" s="6" t="str" cm="1">
        <f t="array" ref="C3:G3">TRANSPOSE(INDEX(OWGR[rankingsList.player.fullName],_xlfn.SEQUENCE(5)))</f>
        <v>Scottie Scheffler</v>
      </c>
      <c r="D3" s="6" t="str">
        <v>Rory McIlroy</v>
      </c>
      <c r="E3" s="6" t="str">
        <v>Cameron Young</v>
      </c>
      <c r="F3" s="6" t="str">
        <v>Matt Fitzpatrick</v>
      </c>
      <c r="G3" s="6" t="str">
        <v>Russell Henley</v>
      </c>
    </row>
    <row r="4" spans="2:7" x14ac:dyDescent="0.25">
      <c r="B4" s="1">
        <v>2</v>
      </c>
      <c r="C4" s="5" t="str" cm="1">
        <f t="array" ref="C4:G4">TRANSPOSE(INDEX(OWGR[rankingsList.player.fullName],_xlfn.SEQUENCE(5,1,6,1)))</f>
        <v>Justin Rose</v>
      </c>
      <c r="D4" s="6" t="str">
        <v>Tommy Fleetwood</v>
      </c>
      <c r="E4" s="6" t="str">
        <v>Jon Rahm</v>
      </c>
      <c r="F4" s="6" t="str">
        <v>J.J. Spaun</v>
      </c>
      <c r="G4" s="6" t="str">
        <v>Collin Morikawa</v>
      </c>
    </row>
    <row r="5" spans="2:7" x14ac:dyDescent="0.25">
      <c r="B5" s="1">
        <v>3</v>
      </c>
      <c r="C5" s="5" t="str" cm="1">
        <f t="array" ref="C5:G5">TRANSPOSE(INDEX(OWGR[rankingsList.player.fullName],_xlfn.SEQUENCE(5,1,11,1)))</f>
        <v>Chris Gotterup</v>
      </c>
      <c r="D5" s="6" t="str">
        <v>Xander Schauffele</v>
      </c>
      <c r="E5" s="6" t="str">
        <v>Aaron Rai</v>
      </c>
      <c r="F5" s="6" t="str">
        <v>Ludvig Åberg</v>
      </c>
      <c r="G5" s="6" t="str">
        <v>Ben Griffin</v>
      </c>
    </row>
    <row r="6" spans="2:7" x14ac:dyDescent="0.25">
      <c r="B6" s="1">
        <v>4</v>
      </c>
      <c r="C6" s="5" t="str" cm="1">
        <f t="array" ref="C6:G6">TRANSPOSE(INDEX(OWGR[rankingsList.player.fullName],_xlfn.SEQUENCE(5,1,16,1)))</f>
        <v>Justin Thomas</v>
      </c>
      <c r="D6" s="6" t="str">
        <v>Robert MacIntyre</v>
      </c>
      <c r="E6" s="6" t="str">
        <v>Si Woo Kim</v>
      </c>
      <c r="F6" s="6" t="str">
        <v>Sepp Straka</v>
      </c>
      <c r="G6" s="6" t="str">
        <v>Alex Noren</v>
      </c>
    </row>
    <row r="7" spans="2:7" x14ac:dyDescent="0.25">
      <c r="B7" s="1">
        <v>5</v>
      </c>
      <c r="C7" s="5" t="str" cm="1">
        <f t="array" ref="C7:G7">TRANSPOSE(INDEX(OWGR[rankingsList.player.fullName],_xlfn.SEQUENCE(5,1,21,1)))</f>
        <v>Tyrrell Hatton</v>
      </c>
      <c r="D7" s="6" t="str">
        <v>Harris English</v>
      </c>
      <c r="E7" s="6" t="str">
        <v>Ryan Gerard</v>
      </c>
      <c r="F7" s="6" t="str">
        <v>Kristoffer Reitan</v>
      </c>
      <c r="G7" s="6" t="str">
        <v>Hideki Matsuyama</v>
      </c>
    </row>
    <row r="8" spans="2:7" x14ac:dyDescent="0.25">
      <c r="B8" s="1">
        <v>6</v>
      </c>
      <c r="C8" s="5" t="str" cm="1">
        <f t="array" ref="C8:G8">TRANSPOSE(INDEX(OWGR[rankingsList.player.fullName],_xlfn.SEQUENCE(5,1,26,1)))</f>
        <v>Patrick Reed</v>
      </c>
      <c r="D8" s="6" t="str">
        <v>Jacob Bridgeman</v>
      </c>
      <c r="E8" s="6" t="str">
        <v>Akshay Bhatia</v>
      </c>
      <c r="F8" s="6" t="str">
        <v>Sam Burns</v>
      </c>
      <c r="G8" s="6" t="str">
        <v>Bryson DeChambeau</v>
      </c>
    </row>
    <row r="9" spans="2:7" x14ac:dyDescent="0.25">
      <c r="B9" s="1">
        <v>7</v>
      </c>
      <c r="C9" s="5" t="str" cm="1">
        <f t="array" ref="C9:G9">TRANSPOSE(INDEX(OWGR[rankingsList.player.fullName],_xlfn.SEQUENCE(5,1,31,1)))</f>
        <v>Kurt Kitayama</v>
      </c>
      <c r="D9" s="6" t="str">
        <v>Nicolai Højgaard</v>
      </c>
      <c r="E9" s="6" t="str">
        <v>Viktor Hovland</v>
      </c>
      <c r="F9" s="6" t="str">
        <v>Patrick Cantlay</v>
      </c>
      <c r="G9" s="6" t="str">
        <v>Maverick McNealy</v>
      </c>
    </row>
    <row r="10" spans="2:7" x14ac:dyDescent="0.25">
      <c r="B10" s="1">
        <v>8</v>
      </c>
      <c r="C10" s="5" t="str" cm="1">
        <f t="array" ref="C10:G10">TRANSPOSE(INDEX(OWGR[rankingsList.player.fullName],_xlfn.SEQUENCE(5,1,36,1)))</f>
        <v>Min Woo Lee</v>
      </c>
      <c r="D10" s="6" t="str">
        <v>Wyndham Clark</v>
      </c>
      <c r="E10" s="6" t="str">
        <v>Keegan Bradley</v>
      </c>
      <c r="F10" s="6" t="str">
        <v>J.T. Poston</v>
      </c>
      <c r="G10" s="6" t="str">
        <v>Alex Smalley</v>
      </c>
    </row>
    <row r="12" spans="2:7" x14ac:dyDescent="0.25">
      <c r="B12" s="1">
        <v>1</v>
      </c>
      <c r="C12" t="str">
        <f>UPPER(MID(C3,FIND(" ", C3, 1),30))</f>
        <v xml:space="preserve"> SCHEFFLER</v>
      </c>
      <c r="D12" t="str">
        <f t="shared" ref="C12:G19" si="0">UPPER(MID(D3,FIND(" ", D3, 1),30))</f>
        <v xml:space="preserve"> MCILROY</v>
      </c>
      <c r="E12" t="str">
        <f t="shared" si="0"/>
        <v xml:space="preserve"> YOUNG</v>
      </c>
      <c r="F12" t="str">
        <f t="shared" ref="F12:G15" si="1">UPPER(MID(F3,FIND(" ", F3, 1),30))</f>
        <v xml:space="preserve"> FITZPATRICK</v>
      </c>
      <c r="G12" t="str">
        <f t="shared" si="1"/>
        <v xml:space="preserve"> HENLEY</v>
      </c>
    </row>
    <row r="13" spans="2:7" x14ac:dyDescent="0.25">
      <c r="B13" s="1">
        <v>2</v>
      </c>
      <c r="C13" t="str">
        <f t="shared" si="0"/>
        <v xml:space="preserve"> ROSE</v>
      </c>
      <c r="D13" t="str">
        <f t="shared" si="0"/>
        <v xml:space="preserve"> FLEETWOOD</v>
      </c>
      <c r="E13" t="str">
        <f t="shared" si="0"/>
        <v xml:space="preserve"> RAHM</v>
      </c>
      <c r="F13" t="str">
        <f t="shared" si="1"/>
        <v xml:space="preserve"> SPAUN</v>
      </c>
      <c r="G13" t="str">
        <f t="shared" si="1"/>
        <v xml:space="preserve"> MORIKAWA</v>
      </c>
    </row>
    <row r="14" spans="2:7" x14ac:dyDescent="0.25">
      <c r="B14" s="1">
        <v>3</v>
      </c>
      <c r="C14" t="str">
        <f t="shared" si="0"/>
        <v xml:space="preserve"> GOTTERUP</v>
      </c>
      <c r="D14" t="str">
        <f t="shared" si="0"/>
        <v xml:space="preserve"> SCHAUFFELE</v>
      </c>
      <c r="E14" t="str">
        <f t="shared" si="0"/>
        <v xml:space="preserve"> RAI</v>
      </c>
      <c r="F14" t="str">
        <f t="shared" si="1"/>
        <v xml:space="preserve"> ÅBERG</v>
      </c>
      <c r="G14" t="str">
        <f t="shared" si="1"/>
        <v xml:space="preserve"> GRIFFIN</v>
      </c>
    </row>
    <row r="15" spans="2:7" x14ac:dyDescent="0.25">
      <c r="B15" s="1">
        <v>4</v>
      </c>
      <c r="C15" t="str">
        <f t="shared" si="0"/>
        <v xml:space="preserve"> THOMAS</v>
      </c>
      <c r="D15" t="str">
        <f t="shared" si="0"/>
        <v xml:space="preserve"> MACINTYRE</v>
      </c>
      <c r="E15" t="str">
        <f t="shared" si="0"/>
        <v xml:space="preserve"> WOO KIM</v>
      </c>
      <c r="F15" t="str">
        <f t="shared" si="1"/>
        <v xml:space="preserve"> STRAKA</v>
      </c>
      <c r="G15" t="str">
        <f t="shared" si="1"/>
        <v xml:space="preserve"> NOREN</v>
      </c>
    </row>
    <row r="16" spans="2:7" x14ac:dyDescent="0.25">
      <c r="B16" s="1">
        <v>5</v>
      </c>
      <c r="C16" t="str">
        <f t="shared" si="0"/>
        <v xml:space="preserve"> HATTON</v>
      </c>
      <c r="D16" t="str">
        <f t="shared" si="0"/>
        <v xml:space="preserve"> ENGLISH</v>
      </c>
      <c r="E16" t="str">
        <f t="shared" si="0"/>
        <v xml:space="preserve"> GERARD</v>
      </c>
      <c r="F16" t="str">
        <f t="shared" si="0"/>
        <v xml:space="preserve"> REITAN</v>
      </c>
      <c r="G16" t="str">
        <f t="shared" si="0"/>
        <v xml:space="preserve"> MATSUYAMA</v>
      </c>
    </row>
    <row r="17" spans="2:7" x14ac:dyDescent="0.25">
      <c r="B17" s="1">
        <v>6</v>
      </c>
      <c r="C17" t="str">
        <f t="shared" si="0"/>
        <v xml:space="preserve"> REED</v>
      </c>
      <c r="D17" t="str">
        <f t="shared" si="0"/>
        <v xml:space="preserve"> BRIDGEMAN</v>
      </c>
      <c r="E17" t="str">
        <f t="shared" si="0"/>
        <v xml:space="preserve"> BHATIA</v>
      </c>
      <c r="F17" t="str">
        <f t="shared" si="0"/>
        <v xml:space="preserve"> BURNS</v>
      </c>
      <c r="G17" t="str">
        <f t="shared" si="0"/>
        <v xml:space="preserve"> DECHAMBEAU</v>
      </c>
    </row>
    <row r="18" spans="2:7" x14ac:dyDescent="0.3">
      <c r="B18" s="8">
        <v>7</v>
      </c>
      <c r="C18" t="str">
        <f t="shared" si="0"/>
        <v xml:space="preserve"> KITAYAMA</v>
      </c>
      <c r="D18" t="str">
        <f t="shared" si="0"/>
        <v xml:space="preserve"> HØJGAARD</v>
      </c>
      <c r="E18" t="str">
        <f t="shared" si="0"/>
        <v xml:space="preserve"> HOVLAND</v>
      </c>
      <c r="F18" t="str">
        <f t="shared" si="0"/>
        <v xml:space="preserve"> CANTLAY</v>
      </c>
      <c r="G18" t="str">
        <f t="shared" si="0"/>
        <v xml:space="preserve"> MCNEALY</v>
      </c>
    </row>
    <row r="19" spans="2:7" x14ac:dyDescent="0.3">
      <c r="B19" s="8">
        <v>8</v>
      </c>
      <c r="C19" t="str">
        <f t="shared" si="0"/>
        <v xml:space="preserve"> WOO LEE</v>
      </c>
      <c r="D19" t="str">
        <f t="shared" si="0"/>
        <v xml:space="preserve"> CLARK</v>
      </c>
      <c r="E19" t="str">
        <f t="shared" si="0"/>
        <v xml:space="preserve"> BRADLEY</v>
      </c>
      <c r="F19" t="str">
        <f t="shared" si="0"/>
        <v xml:space="preserve"> POSTON</v>
      </c>
      <c r="G19" t="str">
        <f t="shared" si="0"/>
        <v xml:space="preserve"> SMALLEY</v>
      </c>
    </row>
    <row r="20" spans="2:7" ht="12.5" x14ac:dyDescent="0.25">
      <c r="B20" s="3"/>
      <c r="C20"/>
      <c r="D20"/>
      <c r="E20"/>
      <c r="F20"/>
      <c r="G20"/>
    </row>
    <row r="21" spans="2:7" x14ac:dyDescent="0.3">
      <c r="B21" s="3"/>
      <c r="C21" s="7" t="s">
        <v>54</v>
      </c>
      <c r="D21"/>
      <c r="E21" s="3"/>
      <c r="F21" s="7" t="s">
        <v>54</v>
      </c>
      <c r="G21" s="5"/>
    </row>
    <row r="22" spans="2:7" x14ac:dyDescent="0.3">
      <c r="B22" s="8">
        <v>1</v>
      </c>
      <c r="C22"/>
      <c r="D22"/>
      <c r="E22" s="8">
        <v>1</v>
      </c>
      <c r="F22"/>
    </row>
    <row r="23" spans="2:7" x14ac:dyDescent="0.3">
      <c r="B23" s="8">
        <v>2</v>
      </c>
      <c r="C23"/>
      <c r="D23"/>
      <c r="E23" s="8">
        <v>2</v>
      </c>
      <c r="F23"/>
      <c r="G23" s="5"/>
    </row>
    <row r="24" spans="2:7" x14ac:dyDescent="0.3">
      <c r="B24" s="8">
        <v>3</v>
      </c>
      <c r="C24"/>
      <c r="D24"/>
      <c r="E24" s="8">
        <v>3</v>
      </c>
      <c r="F24"/>
      <c r="G24" s="5"/>
    </row>
    <row r="25" spans="2:7" x14ac:dyDescent="0.3">
      <c r="B25" s="8">
        <v>4</v>
      </c>
      <c r="C25"/>
      <c r="D25"/>
      <c r="E25" s="8">
        <v>4</v>
      </c>
      <c r="F25"/>
      <c r="G25" s="5"/>
    </row>
    <row r="26" spans="2:7" x14ac:dyDescent="0.3">
      <c r="B26" s="8">
        <v>5</v>
      </c>
      <c r="C26"/>
      <c r="D26"/>
      <c r="E26" s="8">
        <v>5</v>
      </c>
      <c r="F26"/>
      <c r="G26" s="5"/>
    </row>
    <row r="27" spans="2:7" x14ac:dyDescent="0.3">
      <c r="B27" s="8">
        <v>6</v>
      </c>
      <c r="C27"/>
      <c r="D27"/>
      <c r="E27" s="8">
        <v>6</v>
      </c>
      <c r="F27"/>
      <c r="G27" s="5"/>
    </row>
    <row r="28" spans="2:7" x14ac:dyDescent="0.3">
      <c r="B28" s="8">
        <v>7</v>
      </c>
      <c r="C28"/>
      <c r="D28"/>
      <c r="E28" s="8">
        <v>7</v>
      </c>
      <c r="F28"/>
      <c r="G28" s="5"/>
    </row>
    <row r="29" spans="2:7" x14ac:dyDescent="0.3">
      <c r="B29" s="8">
        <v>8</v>
      </c>
      <c r="C29"/>
      <c r="D29"/>
      <c r="E29" s="8">
        <v>8</v>
      </c>
      <c r="F29"/>
      <c r="G29" s="5"/>
    </row>
    <row r="30" spans="2:7" x14ac:dyDescent="0.3">
      <c r="B30" s="8" t="s">
        <v>9</v>
      </c>
      <c r="C30"/>
      <c r="D30"/>
      <c r="E30" s="8" t="s">
        <v>9</v>
      </c>
      <c r="F30"/>
      <c r="G30" s="5"/>
    </row>
    <row r="31" spans="2:7" x14ac:dyDescent="0.3">
      <c r="B31" s="8" t="s">
        <v>10</v>
      </c>
      <c r="C31"/>
      <c r="D31"/>
      <c r="E31" s="8" t="s">
        <v>10</v>
      </c>
      <c r="F31"/>
    </row>
    <row r="32" spans="2:7" x14ac:dyDescent="0.3">
      <c r="B32" s="8" t="s">
        <v>55</v>
      </c>
      <c r="C32"/>
      <c r="D32"/>
      <c r="E32" s="8" t="s">
        <v>55</v>
      </c>
      <c r="F32"/>
    </row>
    <row r="33" spans="1:15" ht="12.5" x14ac:dyDescent="0.25">
      <c r="B33" s="3"/>
      <c r="C33"/>
      <c r="D33"/>
    </row>
    <row r="34" spans="1:15" ht="12.5" x14ac:dyDescent="0.25">
      <c r="B34" s="3"/>
      <c r="C34"/>
      <c r="D34"/>
    </row>
    <row r="35" spans="1:15" x14ac:dyDescent="0.3">
      <c r="A35" s="18" t="s">
        <v>56</v>
      </c>
      <c r="B35" s="16">
        <f>SMALL(B36:B43,1)+SMALL(B36:B43,2)+SMALL(B36:B43,3)+SMALL(B36:B43,4)+SMALL(B36:B43,5)</f>
        <v>-98</v>
      </c>
      <c r="C35"/>
      <c r="D35"/>
      <c r="K35" s="18" t="s">
        <v>167</v>
      </c>
    </row>
    <row r="36" spans="1:15" x14ac:dyDescent="0.25">
      <c r="B36" s="3">
        <f t="shared" ref="B36:B42" si="2">MIN(C36:G36)</f>
        <v>-21</v>
      </c>
      <c r="C36" s="21">
        <f>IFERROR(VLOOKUP(C3,ESPNScores!$A$2:$B$133,2,FALSE),100)</f>
        <v>-21</v>
      </c>
      <c r="D36" s="21">
        <f>IFERROR(VLOOKUP(D3,ESPNScores!$A$2:$B$133,2,FALSE),100)</f>
        <v>100</v>
      </c>
      <c r="E36" s="21">
        <f>IFERROR(VLOOKUP(E3,ESPNScores!$A$2:$B$133,2,FALSE),100)</f>
        <v>-8</v>
      </c>
      <c r="F36" s="21">
        <f>IFERROR(VLOOKUP(F3,ESPNScores!$A$2:$B$133,2,FALSE),100)</f>
        <v>-19</v>
      </c>
      <c r="G36" s="21">
        <f>IFERROR(VLOOKUP(G3,ESPNScores!$A$2:$B$133,2,FALSE),100)</f>
        <v>-15</v>
      </c>
      <c r="J36" s="1">
        <v>1</v>
      </c>
      <c r="K36">
        <f t="shared" ref="K36:K43" si="3">COUNTIF(C36:G36, MIN(C36:G36))</f>
        <v>1</v>
      </c>
    </row>
    <row r="37" spans="1:15" x14ac:dyDescent="0.25">
      <c r="B37" s="3">
        <f t="shared" si="2"/>
        <v>-20</v>
      </c>
      <c r="C37" s="21">
        <f>IFERROR(VLOOKUP(C4,ESPNScores!$A$2:$B$133,2,FALSE),100)</f>
        <v>-12</v>
      </c>
      <c r="D37" s="21">
        <f>IFERROR(VLOOKUP(D4,ESPNScores!$A$2:$B$133,2,FALSE),100)</f>
        <v>-14</v>
      </c>
      <c r="E37" s="21">
        <f>IFERROR(VLOOKUP(E4,ESPNScores!$A$2:$B$133,2,FALSE),100)</f>
        <v>100</v>
      </c>
      <c r="F37" s="21">
        <f>IFERROR(VLOOKUP(F4,ESPNScores!$A$2:$B$133,2,FALSE),100)</f>
        <v>-17</v>
      </c>
      <c r="G37" s="21">
        <f>IFERROR(VLOOKUP(G4,ESPNScores!$A$2:$B$133,2,FALSE),100)</f>
        <v>-20</v>
      </c>
      <c r="J37" s="1">
        <v>2</v>
      </c>
      <c r="K37">
        <f t="shared" si="3"/>
        <v>1</v>
      </c>
    </row>
    <row r="38" spans="1:15" x14ac:dyDescent="0.25">
      <c r="B38" s="3">
        <f t="shared" si="2"/>
        <v>-16</v>
      </c>
      <c r="C38" s="21">
        <f>IFERROR(VLOOKUP(C5,ESPNScores!$A$2:$B$133,2,FALSE),100)</f>
        <v>-11</v>
      </c>
      <c r="D38" s="21">
        <f>IFERROR(VLOOKUP(D5,ESPNScores!$A$2:$B$133,2,FALSE),100)</f>
        <v>-7</v>
      </c>
      <c r="E38" s="21">
        <f>IFERROR(VLOOKUP(E5,ESPNScores!$A$2:$B$133,2,FALSE),100)</f>
        <v>-11</v>
      </c>
      <c r="F38" s="21">
        <f>IFERROR(VLOOKUP(F5,ESPNScores!$A$2:$B$133,2,FALSE),100)</f>
        <v>-6</v>
      </c>
      <c r="G38" s="21">
        <f>IFERROR(VLOOKUP(G5,ESPNScores!$A$2:$B$133,2,FALSE),100)</f>
        <v>-16</v>
      </c>
      <c r="J38" s="1">
        <v>3</v>
      </c>
      <c r="K38">
        <f t="shared" si="3"/>
        <v>1</v>
      </c>
    </row>
    <row r="39" spans="1:15" x14ac:dyDescent="0.25">
      <c r="B39" s="3">
        <f t="shared" si="2"/>
        <v>-16</v>
      </c>
      <c r="C39" s="21">
        <f>IFERROR(VLOOKUP(C6,ESPNScores!$A$2:$B$133,2,FALSE),100)</f>
        <v>-14</v>
      </c>
      <c r="D39" s="21">
        <f>IFERROR(VLOOKUP(D6,ESPNScores!$A$2:$B$133,2,FALSE),100)</f>
        <v>-16</v>
      </c>
      <c r="E39" s="21">
        <f>IFERROR(VLOOKUP(E6,ESPNScores!$A$2:$B$133,2,FALSE),100)</f>
        <v>-9</v>
      </c>
      <c r="F39" s="21">
        <f>IFERROR(VLOOKUP(F6,ESPNScores!$A$2:$B$133,2,FALSE),100)</f>
        <v>10</v>
      </c>
      <c r="G39" s="21">
        <f>IFERROR(VLOOKUP(G6,ESPNScores!$A$2:$B$133,2,FALSE),100)</f>
        <v>-6</v>
      </c>
      <c r="J39" s="1">
        <v>4</v>
      </c>
      <c r="K39">
        <f t="shared" si="3"/>
        <v>1</v>
      </c>
    </row>
    <row r="40" spans="1:15" x14ac:dyDescent="0.25">
      <c r="B40" s="3">
        <f t="shared" si="2"/>
        <v>-14</v>
      </c>
      <c r="C40" s="21">
        <f>IFERROR(VLOOKUP(C7,ESPNScores!$A$2:$B$133,2,FALSE),100)</f>
        <v>100</v>
      </c>
      <c r="D40" s="21">
        <f>IFERROR(VLOOKUP(D7,ESPNScores!$A$2:$B$133,2,FALSE),100)</f>
        <v>-10</v>
      </c>
      <c r="E40" s="21">
        <f>IFERROR(VLOOKUP(E7,ESPNScores!$A$2:$B$133,2,FALSE),100)</f>
        <v>-9</v>
      </c>
      <c r="F40" s="21">
        <f>IFERROR(VLOOKUP(F7,ESPNScores!$A$2:$B$133,2,FALSE),100)</f>
        <v>-13</v>
      </c>
      <c r="G40" s="21">
        <f>IFERROR(VLOOKUP(G7,ESPNScores!$A$2:$B$133,2,FALSE),100)</f>
        <v>-14</v>
      </c>
      <c r="J40" s="1">
        <v>5</v>
      </c>
      <c r="K40">
        <f t="shared" si="3"/>
        <v>1</v>
      </c>
    </row>
    <row r="41" spans="1:15" x14ac:dyDescent="0.25">
      <c r="B41" s="3">
        <f t="shared" si="2"/>
        <v>-18</v>
      </c>
      <c r="C41" s="21">
        <f>IFERROR(VLOOKUP(C8,ESPNScores!$A$2:$B$133,2,FALSE),100)</f>
        <v>100</v>
      </c>
      <c r="D41" s="21">
        <f>IFERROR(VLOOKUP(D8,ESPNScores!$A$2:$B$133,2,FALSE),100)</f>
        <v>-8</v>
      </c>
      <c r="E41" s="21">
        <f>IFERROR(VLOOKUP(E8,ESPNScores!$A$2:$B$133,2,FALSE),100)</f>
        <v>-18</v>
      </c>
      <c r="F41" s="21">
        <f>IFERROR(VLOOKUP(F8,ESPNScores!$A$2:$B$133,2,FALSE),100)</f>
        <v>-15</v>
      </c>
      <c r="G41" s="21">
        <f>IFERROR(VLOOKUP(G8,ESPNScores!$A$2:$B$133,2,FALSE),100)</f>
        <v>100</v>
      </c>
      <c r="J41" s="1">
        <v>6</v>
      </c>
      <c r="K41">
        <f t="shared" si="3"/>
        <v>1</v>
      </c>
    </row>
    <row r="42" spans="1:15" x14ac:dyDescent="0.25">
      <c r="B42" s="3">
        <f t="shared" si="2"/>
        <v>-21</v>
      </c>
      <c r="C42" s="21">
        <f>IFERROR(VLOOKUP(C9,ESPNScores!$A$2:$B$133,2,FALSE),100)</f>
        <v>-12</v>
      </c>
      <c r="D42" s="21">
        <f>IFERROR(VLOOKUP(D9,ESPNScores!$A$2:$B$133,2,FALSE),100)</f>
        <v>-14</v>
      </c>
      <c r="E42" s="21">
        <f>IFERROR(VLOOKUP(E9,ESPNScores!$A$2:$B$133,2,FALSE),100)</f>
        <v>-21</v>
      </c>
      <c r="F42" s="21">
        <f>IFERROR(VLOOKUP(F9,ESPNScores!$A$2:$B$133,2,FALSE),100)</f>
        <v>-14</v>
      </c>
      <c r="G42" s="21">
        <f>IFERROR(VLOOKUP(G9,ESPNScores!$A$2:$B$133,2,FALSE),100)</f>
        <v>-6</v>
      </c>
      <c r="J42" s="1">
        <v>7</v>
      </c>
      <c r="K42">
        <f t="shared" si="3"/>
        <v>1</v>
      </c>
    </row>
    <row r="43" spans="1:15" x14ac:dyDescent="0.3">
      <c r="B43" s="3">
        <f>MIN(C43:I43)</f>
        <v>-18</v>
      </c>
      <c r="C43" s="21">
        <f>IFERROR(VLOOKUP(C10,ESPNScores!$A$2:$B$133,2,FALSE),100)</f>
        <v>-4</v>
      </c>
      <c r="D43" s="21">
        <f>IFERROR(VLOOKUP(D10,ESPNScores!$A$2:$B$133,2,FALSE),100)</f>
        <v>-18</v>
      </c>
      <c r="E43" s="21">
        <f>IFERROR(VLOOKUP(E10,ESPNScores!$A$2:$B$133,2,FALSE),100)</f>
        <v>-14</v>
      </c>
      <c r="F43" s="21">
        <f>IFERROR(VLOOKUP(F10,ESPNScores!$A$2:$B$133,2,FALSE),100)</f>
        <v>1</v>
      </c>
      <c r="G43" s="21">
        <f>IFERROR(VLOOKUP(G10,ESPNScores!$A$2:$B$133,2,FALSE),100)</f>
        <v>-8</v>
      </c>
      <c r="J43" s="8">
        <v>8</v>
      </c>
      <c r="K43">
        <f t="shared" si="3"/>
        <v>1</v>
      </c>
    </row>
    <row r="44" spans="1:15" ht="12.5" x14ac:dyDescent="0.25">
      <c r="B44" s="3"/>
      <c r="C44"/>
      <c r="D44"/>
      <c r="E44"/>
      <c r="F44"/>
      <c r="G44"/>
    </row>
    <row r="45" spans="1:15" ht="12.5" x14ac:dyDescent="0.25">
      <c r="B45" s="3"/>
      <c r="C45"/>
      <c r="D45"/>
    </row>
    <row r="46" spans="1:15" x14ac:dyDescent="0.3">
      <c r="B46" s="3"/>
      <c r="C46"/>
      <c r="D46"/>
      <c r="M46" s="7" t="s">
        <v>224</v>
      </c>
    </row>
    <row r="47" spans="1:15" x14ac:dyDescent="0.3">
      <c r="B47" s="3"/>
      <c r="C47" s="107" t="s">
        <v>239</v>
      </c>
      <c r="D47"/>
      <c r="H47" s="15" t="s">
        <v>177</v>
      </c>
      <c r="M47" s="8" t="s">
        <v>222</v>
      </c>
      <c r="N47" s="8" t="s">
        <v>223</v>
      </c>
    </row>
    <row r="48" spans="1:15" ht="12.5" x14ac:dyDescent="0.25">
      <c r="B48" s="3"/>
      <c r="C48" t="str">
        <f>C3</f>
        <v>Scottie Scheffler</v>
      </c>
      <c r="D48">
        <f>IFERROR(VLOOKUP(C48,ESPNScores[],2,FALSE),100)</f>
        <v>-21</v>
      </c>
      <c r="F48" s="4" t="str">
        <f>(MID(C48,FIND(" ", C48, 1)+1,30))</f>
        <v>Scheffler</v>
      </c>
      <c r="G48" s="131">
        <v>1</v>
      </c>
      <c r="H48" t="str" cm="1">
        <f t="array" ref="H48">IF(K36&gt;1,_xlfn.TEXTJOIN("/", TRUE, _xlfn._xlws.FILTER(F48:F52, D48:D52 = MIN(D48:D52))),INDEX(_xlfn._xlws.SORT(C48:D52,2,1),1,1))</f>
        <v>Scottie Scheffler</v>
      </c>
      <c r="M48" s="147">
        <f>COUNTIF(ESPNPicks!$F$5:$P$53,'Top 40'!C48) + COUNTIF(ESPNPicks!$R$5:$R$40,'Top 40'!C48)</f>
        <v>1</v>
      </c>
      <c r="N48" s="147">
        <f>COUNTIF(ESPNMicro!$F$5:$R$53,'Top 40'!$C48) + COUNTIF(ESPNMicro!$T$5:$T$40,'Top 40'!$C48)</f>
        <v>1</v>
      </c>
      <c r="O48" s="148" t="str">
        <f>C48</f>
        <v>Scottie Scheffler</v>
      </c>
    </row>
    <row r="49" spans="2:15" ht="12.5" x14ac:dyDescent="0.25">
      <c r="B49" s="3"/>
      <c r="C49" t="str">
        <f>D3</f>
        <v>Rory McIlroy</v>
      </c>
      <c r="D49">
        <f>IFERROR(VLOOKUP(C49,ESPNScores[],2,FALSE),100)</f>
        <v>100</v>
      </c>
      <c r="F49" s="4" t="str">
        <f t="shared" ref="F49:F87" si="4">(MID(C49,FIND(" ", C49, 1)+1,30))</f>
        <v>McIlroy</v>
      </c>
      <c r="G49" s="131"/>
      <c r="M49" s="3">
        <f>COUNTIF(ESPNPicks!$F$5:$P$53,'Top 40'!C49) + COUNTIF(ESPNPicks!$R$5:$R$40,'Top 40'!C49)</f>
        <v>0</v>
      </c>
      <c r="N49" s="3">
        <f>COUNTIF(ESPNMicro!$F$5:$R$53,'Top 40'!$C49) + COUNTIF(ESPNMicro!$T$5:$T$40,'Top 40'!$C49)</f>
        <v>0</v>
      </c>
      <c r="O49" t="str">
        <f t="shared" ref="O49:O87" si="5">C49</f>
        <v>Rory McIlroy</v>
      </c>
    </row>
    <row r="50" spans="2:15" ht="12.5" x14ac:dyDescent="0.25">
      <c r="B50" s="3"/>
      <c r="C50" t="str">
        <f>E3</f>
        <v>Cameron Young</v>
      </c>
      <c r="D50">
        <f>IFERROR(VLOOKUP(C50,ESPNScores[],2,FALSE),100)</f>
        <v>-8</v>
      </c>
      <c r="F50" s="4" t="str">
        <f t="shared" si="4"/>
        <v>Young</v>
      </c>
      <c r="G50" s="131"/>
      <c r="M50" s="3">
        <f>COUNTIF(ESPNPicks!$F$5:$P$53,'Top 40'!C50) + COUNTIF(ESPNPicks!$R$5:$R$40,'Top 40'!C50)</f>
        <v>0</v>
      </c>
      <c r="N50" s="3">
        <f>COUNTIF(ESPNMicro!$F$5:$R$53,'Top 40'!$C50) + COUNTIF(ESPNMicro!$T$5:$T$40,'Top 40'!$C50)</f>
        <v>0</v>
      </c>
      <c r="O50" t="str">
        <f t="shared" si="5"/>
        <v>Cameron Young</v>
      </c>
    </row>
    <row r="51" spans="2:15" ht="12.5" x14ac:dyDescent="0.25">
      <c r="B51" s="3"/>
      <c r="C51" t="str">
        <f>F3</f>
        <v>Matt Fitzpatrick</v>
      </c>
      <c r="D51">
        <f>IFERROR(VLOOKUP(C51,ESPNScores[],2,FALSE),100)</f>
        <v>-19</v>
      </c>
      <c r="F51" s="4" t="str">
        <f t="shared" si="4"/>
        <v>Fitzpatrick</v>
      </c>
      <c r="G51" s="131"/>
      <c r="M51" s="3">
        <f>COUNTIF(ESPNPicks!$F$5:$P$53,'Top 40'!C51) + COUNTIF(ESPNPicks!$R$5:$R$40,'Top 40'!C51)</f>
        <v>0</v>
      </c>
      <c r="N51" s="3">
        <f>COUNTIF(ESPNMicro!$F$5:$R$53,'Top 40'!$C51) + COUNTIF(ESPNMicro!$T$5:$T$40,'Top 40'!$C51)</f>
        <v>0</v>
      </c>
      <c r="O51" t="str">
        <f t="shared" si="5"/>
        <v>Matt Fitzpatrick</v>
      </c>
    </row>
    <row r="52" spans="2:15" s="20" customFormat="1" ht="12.5" x14ac:dyDescent="0.25">
      <c r="B52" s="128"/>
      <c r="C52" s="20" t="str">
        <f>G3</f>
        <v>Russell Henley</v>
      </c>
      <c r="D52" s="20">
        <f>IFERROR(VLOOKUP(C52,ESPNScores[],2,FALSE),100)</f>
        <v>-15</v>
      </c>
      <c r="E52" s="145"/>
      <c r="F52" s="145" t="str">
        <f t="shared" si="4"/>
        <v>Henley</v>
      </c>
      <c r="G52" s="146"/>
      <c r="M52" s="128">
        <f>COUNTIF(ESPNPicks!$F$5:$P$53,'Top 40'!C52) + COUNTIF(ESPNPicks!$R$5:$R$40,'Top 40'!C52)</f>
        <v>0</v>
      </c>
      <c r="N52" s="128">
        <f>COUNTIF(ESPNMicro!$F$5:$R$53,'Top 40'!$C52) + COUNTIF(ESPNMicro!$T$5:$T$40,'Top 40'!$C52)</f>
        <v>0</v>
      </c>
      <c r="O52" s="20" t="str">
        <f t="shared" si="5"/>
        <v>Russell Henley</v>
      </c>
    </row>
    <row r="53" spans="2:15" ht="12.5" x14ac:dyDescent="0.25">
      <c r="B53" s="3"/>
      <c r="C53" t="str">
        <f>C4</f>
        <v>Justin Rose</v>
      </c>
      <c r="D53">
        <f>IFERROR(VLOOKUP(C53,ESPNScores[],2,FALSE),100)</f>
        <v>-12</v>
      </c>
      <c r="F53" s="4" t="str">
        <f t="shared" si="4"/>
        <v>Rose</v>
      </c>
      <c r="G53" s="131">
        <v>2</v>
      </c>
      <c r="H53" t="str" cm="1">
        <f t="array" ref="H53">IF(K37&gt;1,_xlfn.TEXTJOIN("/", TRUE, _xlfn._xlws.FILTER(F53:F57, D53:D57 = MIN(D53:D57))),INDEX(_xlfn._xlws.SORT(C53:D57,2,1),1,1))</f>
        <v>Collin Morikawa</v>
      </c>
      <c r="M53" s="3">
        <f>COUNTIF(ESPNPicks!$F$5:$P$53,'Top 40'!C53) + COUNTIF(ESPNPicks!$R$5:$R$40,'Top 40'!C53)</f>
        <v>0</v>
      </c>
      <c r="N53" s="3">
        <f>COUNTIF(ESPNMicro!$F$5:$R$53,'Top 40'!$C53) + COUNTIF(ESPNMicro!$T$5:$T$40,'Top 40'!$C53)</f>
        <v>0</v>
      </c>
      <c r="O53" t="str">
        <f t="shared" si="5"/>
        <v>Justin Rose</v>
      </c>
    </row>
    <row r="54" spans="2:15" ht="12.5" x14ac:dyDescent="0.25">
      <c r="B54" s="3"/>
      <c r="C54" t="str">
        <f>D4</f>
        <v>Tommy Fleetwood</v>
      </c>
      <c r="D54">
        <f>IFERROR(VLOOKUP(C54,ESPNScores[],2,FALSE),100)</f>
        <v>-14</v>
      </c>
      <c r="F54" s="4" t="str">
        <f t="shared" si="4"/>
        <v>Fleetwood</v>
      </c>
      <c r="G54" s="131"/>
      <c r="M54" s="147">
        <f>COUNTIF(ESPNPicks!$F$5:$P$53,'Top 40'!C54) + COUNTIF(ESPNPicks!$R$5:$R$40,'Top 40'!C54)</f>
        <v>0</v>
      </c>
      <c r="N54" s="147">
        <f>COUNTIF(ESPNMicro!$F$5:$R$53,'Top 40'!$C54) + COUNTIF(ESPNMicro!$T$5:$T$40,'Top 40'!$C54)</f>
        <v>0</v>
      </c>
      <c r="O54" s="148" t="str">
        <f t="shared" si="5"/>
        <v>Tommy Fleetwood</v>
      </c>
    </row>
    <row r="55" spans="2:15" ht="12.5" x14ac:dyDescent="0.25">
      <c r="B55" s="3"/>
      <c r="C55" t="str">
        <f>E4</f>
        <v>Jon Rahm</v>
      </c>
      <c r="D55">
        <f>IFERROR(VLOOKUP(C55,ESPNScores[],2,FALSE),100)</f>
        <v>100</v>
      </c>
      <c r="F55" s="4" t="str">
        <f t="shared" si="4"/>
        <v>Rahm</v>
      </c>
      <c r="G55" s="131"/>
      <c r="M55" s="3">
        <f>COUNTIF(ESPNPicks!$F$5:$P$53,'Top 40'!C55) + COUNTIF(ESPNPicks!$R$5:$R$40,'Top 40'!C55)</f>
        <v>0</v>
      </c>
      <c r="N55" s="3">
        <f>COUNTIF(ESPNMicro!$F$5:$R$53,'Top 40'!$C55) + COUNTIF(ESPNMicro!$T$5:$T$40,'Top 40'!$C55)</f>
        <v>0</v>
      </c>
      <c r="O55" t="str">
        <f t="shared" si="5"/>
        <v>Jon Rahm</v>
      </c>
    </row>
    <row r="56" spans="2:15" ht="12.5" x14ac:dyDescent="0.25">
      <c r="B56" s="3"/>
      <c r="C56" t="str">
        <f>F4</f>
        <v>J.J. Spaun</v>
      </c>
      <c r="D56">
        <f>IFERROR(VLOOKUP(C56,ESPNScores[],2,FALSE),100)</f>
        <v>-17</v>
      </c>
      <c r="F56" s="4" t="str">
        <f t="shared" si="4"/>
        <v>Spaun</v>
      </c>
      <c r="G56" s="131"/>
      <c r="M56" s="3">
        <f>COUNTIF(ESPNPicks!$F$5:$P$53,'Top 40'!C56) + COUNTIF(ESPNPicks!$R$5:$R$40,'Top 40'!C56)</f>
        <v>1</v>
      </c>
      <c r="N56" s="3">
        <f>COUNTIF(ESPNMicro!$F$5:$R$53,'Top 40'!$C56) + COUNTIF(ESPNMicro!$T$5:$T$40,'Top 40'!$C56)</f>
        <v>1</v>
      </c>
      <c r="O56" t="str">
        <f t="shared" si="5"/>
        <v>J.J. Spaun</v>
      </c>
    </row>
    <row r="57" spans="2:15" s="20" customFormat="1" ht="12.5" x14ac:dyDescent="0.25">
      <c r="B57" s="128"/>
      <c r="C57" s="20" t="str">
        <f>G4</f>
        <v>Collin Morikawa</v>
      </c>
      <c r="D57" s="20">
        <f>IFERROR(VLOOKUP(C57,ESPNScores[],2,FALSE),100)</f>
        <v>-20</v>
      </c>
      <c r="E57" s="145"/>
      <c r="F57" s="145" t="str">
        <f t="shared" si="4"/>
        <v>Morikawa</v>
      </c>
      <c r="G57" s="146"/>
      <c r="M57" s="128">
        <f>COUNTIF(ESPNPicks!$F$5:$P$53,'Top 40'!C57) + COUNTIF(ESPNPicks!$R$5:$R$40,'Top 40'!C57)</f>
        <v>0</v>
      </c>
      <c r="N57" s="128">
        <f>COUNTIF(ESPNMicro!$F$5:$R$53,'Top 40'!$C57) + COUNTIF(ESPNMicro!$T$5:$T$40,'Top 40'!$C57)</f>
        <v>0</v>
      </c>
      <c r="O57" s="20" t="str">
        <f t="shared" si="5"/>
        <v>Collin Morikawa</v>
      </c>
    </row>
    <row r="58" spans="2:15" ht="12.5" x14ac:dyDescent="0.25">
      <c r="B58" s="3"/>
      <c r="C58" t="str">
        <f>C5</f>
        <v>Chris Gotterup</v>
      </c>
      <c r="D58">
        <f>IFERROR(VLOOKUP(C58,ESPNScores[],2,FALSE),100)</f>
        <v>-11</v>
      </c>
      <c r="F58" s="4" t="str">
        <f t="shared" si="4"/>
        <v>Gotterup</v>
      </c>
      <c r="G58" s="131">
        <v>3</v>
      </c>
      <c r="H58" t="str" cm="1">
        <f t="array" ref="H58">IF(K38&gt;1,_xlfn.TEXTJOIN("/", TRUE, _xlfn._xlws.FILTER(F58:F62, D58:D62 = MIN(D58:D62))),INDEX(_xlfn._xlws.SORT(C58:D62,2,1),1,1))</f>
        <v>Ben Griffin</v>
      </c>
      <c r="M58" s="3">
        <f>COUNTIF(ESPNPicks!$F$5:$P$53,'Top 40'!C58) + COUNTIF(ESPNPicks!$R$5:$R$40,'Top 40'!C58)</f>
        <v>0</v>
      </c>
      <c r="N58" s="3">
        <f>COUNTIF(ESPNMicro!$F$5:$R$53,'Top 40'!$C58) + COUNTIF(ESPNMicro!$T$5:$T$40,'Top 40'!$C58)</f>
        <v>0</v>
      </c>
      <c r="O58" t="str">
        <f t="shared" si="5"/>
        <v>Chris Gotterup</v>
      </c>
    </row>
    <row r="59" spans="2:15" ht="12.5" x14ac:dyDescent="0.25">
      <c r="B59" s="3"/>
      <c r="C59" t="str">
        <f>D5</f>
        <v>Xander Schauffele</v>
      </c>
      <c r="D59">
        <f>IFERROR(VLOOKUP(C59,ESPNScores[],2,FALSE),100)</f>
        <v>-7</v>
      </c>
      <c r="F59" s="4" t="str">
        <f t="shared" si="4"/>
        <v>Schauffele</v>
      </c>
      <c r="G59" s="131"/>
      <c r="M59" s="147">
        <f>COUNTIF(ESPNPicks!$F$5:$P$53,'Top 40'!C59) + COUNTIF(ESPNPicks!$R$5:$R$40,'Top 40'!C59)</f>
        <v>1</v>
      </c>
      <c r="N59" s="147">
        <f>COUNTIF(ESPNMicro!$F$5:$R$53,'Top 40'!$C59) + COUNTIF(ESPNMicro!$T$5:$T$40,'Top 40'!$C59)</f>
        <v>0</v>
      </c>
      <c r="O59" s="148" t="str">
        <f t="shared" si="5"/>
        <v>Xander Schauffele</v>
      </c>
    </row>
    <row r="60" spans="2:15" ht="12.5" x14ac:dyDescent="0.25">
      <c r="B60" s="3"/>
      <c r="C60" t="str">
        <f>E5</f>
        <v>Aaron Rai</v>
      </c>
      <c r="D60">
        <f>IFERROR(VLOOKUP(C60,ESPNScores[],2,FALSE),100)</f>
        <v>-11</v>
      </c>
      <c r="F60" s="4" t="str">
        <f t="shared" si="4"/>
        <v>Rai</v>
      </c>
      <c r="G60" s="131"/>
      <c r="M60" s="3">
        <f>COUNTIF(ESPNPicks!$F$5:$P$53,'Top 40'!C60) + COUNTIF(ESPNPicks!$R$5:$R$40,'Top 40'!C60)</f>
        <v>0</v>
      </c>
      <c r="N60" s="3">
        <f>COUNTIF(ESPNMicro!$F$5:$R$53,'Top 40'!$C60) + COUNTIF(ESPNMicro!$T$5:$T$40,'Top 40'!$C60)</f>
        <v>0</v>
      </c>
      <c r="O60" t="str">
        <f t="shared" si="5"/>
        <v>Aaron Rai</v>
      </c>
    </row>
    <row r="61" spans="2:15" ht="12.5" x14ac:dyDescent="0.25">
      <c r="B61" s="3"/>
      <c r="C61" t="str">
        <f>F5</f>
        <v>Ludvig Åberg</v>
      </c>
      <c r="D61">
        <f>IFERROR(VLOOKUP(C61,ESPNScores[],2,FALSE),100)</f>
        <v>-6</v>
      </c>
      <c r="F61" s="4" t="str">
        <f t="shared" si="4"/>
        <v>Åberg</v>
      </c>
      <c r="G61" s="131"/>
      <c r="M61" s="3">
        <f>COUNTIF(ESPNPicks!$F$5:$P$53,'Top 40'!C61) + COUNTIF(ESPNPicks!$R$5:$R$40,'Top 40'!C61)</f>
        <v>0</v>
      </c>
      <c r="N61" s="3">
        <f>COUNTIF(ESPNMicro!$F$5:$R$53,'Top 40'!$C61) + COUNTIF(ESPNMicro!$T$5:$T$40,'Top 40'!$C61)</f>
        <v>0</v>
      </c>
      <c r="O61" t="str">
        <f t="shared" si="5"/>
        <v>Ludvig Åberg</v>
      </c>
    </row>
    <row r="62" spans="2:15" s="20" customFormat="1" ht="12.5" x14ac:dyDescent="0.25">
      <c r="B62" s="128"/>
      <c r="C62" s="20" t="str">
        <f>G5</f>
        <v>Ben Griffin</v>
      </c>
      <c r="D62" s="20">
        <f>IFERROR(VLOOKUP(C62,ESPNScores[],2,FALSE),100)</f>
        <v>-16</v>
      </c>
      <c r="E62" s="145"/>
      <c r="F62" s="145" t="str">
        <f t="shared" si="4"/>
        <v>Griffin</v>
      </c>
      <c r="G62" s="146"/>
      <c r="M62" s="128">
        <f>COUNTIF(ESPNPicks!$F$5:$P$53,'Top 40'!C62) + COUNTIF(ESPNPicks!$R$5:$R$40,'Top 40'!C62)</f>
        <v>0</v>
      </c>
      <c r="N62" s="128">
        <f>COUNTIF(ESPNMicro!$F$5:$R$53,'Top 40'!$C62) + COUNTIF(ESPNMicro!$T$5:$T$40,'Top 40'!$C62)</f>
        <v>1</v>
      </c>
      <c r="O62" s="20" t="str">
        <f t="shared" si="5"/>
        <v>Ben Griffin</v>
      </c>
    </row>
    <row r="63" spans="2:15" ht="12.5" x14ac:dyDescent="0.25">
      <c r="B63" s="3"/>
      <c r="C63" t="str">
        <f>C6</f>
        <v>Justin Thomas</v>
      </c>
      <c r="D63">
        <f>IFERROR(VLOOKUP(C63,ESPNScores[],2,FALSE),100)</f>
        <v>-14</v>
      </c>
      <c r="F63" s="4" t="str">
        <f t="shared" si="4"/>
        <v>Thomas</v>
      </c>
      <c r="G63" s="131">
        <v>4</v>
      </c>
      <c r="H63" t="str" cm="1">
        <f t="array" ref="H63">IF(K39&gt;1,_xlfn.TEXTJOIN("/", TRUE, _xlfn._xlws.FILTER(F63:F67, D63:D67 = MIN(D63:D67))),INDEX(_xlfn._xlws.SORT(C63:D67,2,1),1,1))</f>
        <v>Robert MacIntyre</v>
      </c>
      <c r="M63" s="3">
        <f>COUNTIF(ESPNPicks!$F$5:$P$53,'Top 40'!C63) + COUNTIF(ESPNPicks!$R$5:$R$40,'Top 40'!C63)</f>
        <v>0</v>
      </c>
      <c r="N63" s="147">
        <f>COUNTIF(ESPNMicro!$F$5:$R$53,'Top 40'!$C63) + COUNTIF(ESPNMicro!$T$5:$T$40,'Top 40'!$C63)</f>
        <v>0</v>
      </c>
      <c r="O63" s="148" t="str">
        <f t="shared" si="5"/>
        <v>Justin Thomas</v>
      </c>
    </row>
    <row r="64" spans="2:15" ht="12.5" x14ac:dyDescent="0.25">
      <c r="B64" s="3"/>
      <c r="C64" t="str">
        <f>D6</f>
        <v>Robert MacIntyre</v>
      </c>
      <c r="D64">
        <f>IFERROR(VLOOKUP(C64,ESPNScores[],2,FALSE),100)</f>
        <v>-16</v>
      </c>
      <c r="F64" s="4" t="str">
        <f t="shared" si="4"/>
        <v>MacIntyre</v>
      </c>
      <c r="G64" s="131"/>
      <c r="M64" s="3">
        <f>COUNTIF(ESPNPicks!$F$5:$P$53,'Top 40'!C64) + COUNTIF(ESPNPicks!$R$5:$R$40,'Top 40'!C64)</f>
        <v>1</v>
      </c>
      <c r="N64" s="3">
        <f>COUNTIF(ESPNMicro!$F$5:$R$53,'Top 40'!$C64) + COUNTIF(ESPNMicro!$T$5:$T$40,'Top 40'!$C64)</f>
        <v>0</v>
      </c>
      <c r="O64" t="str">
        <f t="shared" si="5"/>
        <v>Robert MacIntyre</v>
      </c>
    </row>
    <row r="65" spans="2:15" ht="12.5" x14ac:dyDescent="0.25">
      <c r="B65" s="3"/>
      <c r="C65" t="str">
        <f>E6</f>
        <v>Si Woo Kim</v>
      </c>
      <c r="D65">
        <f>IFERROR(VLOOKUP(C65,ESPNScores[],2,FALSE),100)</f>
        <v>-9</v>
      </c>
      <c r="F65" s="4" t="str">
        <f t="shared" si="4"/>
        <v>Woo Kim</v>
      </c>
      <c r="G65" s="131"/>
      <c r="M65" s="147">
        <f>COUNTIF(ESPNPicks!$F$5:$P$53,'Top 40'!C65) + COUNTIF(ESPNPicks!$R$5:$R$40,'Top 40'!C65)</f>
        <v>0</v>
      </c>
      <c r="N65" s="3">
        <f>COUNTIF(ESPNMicro!$F$5:$R$53,'Top 40'!$C65) + COUNTIF(ESPNMicro!$T$5:$T$40,'Top 40'!$C65)</f>
        <v>0</v>
      </c>
      <c r="O65" s="148" t="str">
        <f t="shared" si="5"/>
        <v>Si Woo Kim</v>
      </c>
    </row>
    <row r="66" spans="2:15" ht="12.5" x14ac:dyDescent="0.25">
      <c r="B66" s="3"/>
      <c r="C66" t="str">
        <f>F6</f>
        <v>Sepp Straka</v>
      </c>
      <c r="D66">
        <f>IFERROR(VLOOKUP(C66,ESPNScores[],2,FALSE),100)</f>
        <v>10</v>
      </c>
      <c r="F66" s="4" t="str">
        <f t="shared" si="4"/>
        <v>Straka</v>
      </c>
      <c r="G66" s="131"/>
      <c r="M66" s="3">
        <f>COUNTIF(ESPNPicks!$F$5:$P$53,'Top 40'!C66) + COUNTIF(ESPNPicks!$R$5:$R$40,'Top 40'!C66)</f>
        <v>0</v>
      </c>
      <c r="N66" s="3">
        <f>COUNTIF(ESPNMicro!$F$5:$R$53,'Top 40'!$C66) + COUNTIF(ESPNMicro!$T$5:$T$40,'Top 40'!$C66)</f>
        <v>0</v>
      </c>
      <c r="O66" t="str">
        <f t="shared" si="5"/>
        <v>Sepp Straka</v>
      </c>
    </row>
    <row r="67" spans="2:15" s="20" customFormat="1" ht="12.5" x14ac:dyDescent="0.25">
      <c r="B67" s="128"/>
      <c r="C67" s="20" t="str">
        <f>G6</f>
        <v>Alex Noren</v>
      </c>
      <c r="D67" s="20">
        <f>IFERROR(VLOOKUP(C67,ESPNScores[],2,FALSE),100)</f>
        <v>-6</v>
      </c>
      <c r="E67" s="145"/>
      <c r="F67" s="145" t="str">
        <f t="shared" si="4"/>
        <v>Noren</v>
      </c>
      <c r="G67" s="146"/>
      <c r="M67" s="128">
        <f>COUNTIF(ESPNPicks!$F$5:$P$53,'Top 40'!C67) + COUNTIF(ESPNPicks!$R$5:$R$40,'Top 40'!C67)</f>
        <v>0</v>
      </c>
      <c r="N67" s="128">
        <f>COUNTIF(ESPNMicro!$F$5:$R$53,'Top 40'!$C67) + COUNTIF(ESPNMicro!$T$5:$T$40,'Top 40'!$C67)</f>
        <v>1</v>
      </c>
      <c r="O67" s="20" t="str">
        <f t="shared" si="5"/>
        <v>Alex Noren</v>
      </c>
    </row>
    <row r="68" spans="2:15" ht="12.5" x14ac:dyDescent="0.25">
      <c r="B68" s="3"/>
      <c r="C68" t="str">
        <f>C7</f>
        <v>Tyrrell Hatton</v>
      </c>
      <c r="D68">
        <f>IFERROR(VLOOKUP(C68,ESPNScores[],2,FALSE),100)</f>
        <v>100</v>
      </c>
      <c r="F68" s="4" t="str">
        <f t="shared" si="4"/>
        <v>Hatton</v>
      </c>
      <c r="G68" s="131">
        <v>5</v>
      </c>
      <c r="H68" t="str" cm="1">
        <f t="array" ref="H68">IF(K40&gt;1,_xlfn.TEXTJOIN("/", TRUE, _xlfn._xlws.FILTER(F68:F72, D68:D72 = MIN(D68:D72))),INDEX(_xlfn._xlws.SORT(C68:D72,2,1),1,1))</f>
        <v>Hideki Matsuyama</v>
      </c>
      <c r="M68" s="147">
        <f>COUNTIF(ESPNPicks!$F$5:$P$53,'Top 40'!C68) + COUNTIF(ESPNPicks!$R$5:$R$40,'Top 40'!C68)</f>
        <v>0</v>
      </c>
      <c r="N68" s="147">
        <f>COUNTIF(ESPNMicro!$F$5:$R$53,'Top 40'!$C68) + COUNTIF(ESPNMicro!$T$5:$T$40,'Top 40'!$C68)</f>
        <v>0</v>
      </c>
      <c r="O68" s="148" t="str">
        <f t="shared" si="5"/>
        <v>Tyrrell Hatton</v>
      </c>
    </row>
    <row r="69" spans="2:15" ht="12.5" x14ac:dyDescent="0.25">
      <c r="B69" s="3"/>
      <c r="C69" t="str">
        <f>D7</f>
        <v>Harris English</v>
      </c>
      <c r="D69">
        <f>IFERROR(VLOOKUP(C69,ESPNScores[],2,FALSE),100)</f>
        <v>-10</v>
      </c>
      <c r="F69" s="4" t="str">
        <f t="shared" si="4"/>
        <v>English</v>
      </c>
      <c r="M69" s="3">
        <f>COUNTIF(ESPNPicks!$F$5:$P$53,'Top 40'!C69) + COUNTIF(ESPNPicks!$R$5:$R$40,'Top 40'!C69)</f>
        <v>0</v>
      </c>
      <c r="N69" s="3">
        <f>COUNTIF(ESPNMicro!$F$5:$R$53,'Top 40'!$C69) + COUNTIF(ESPNMicro!$T$5:$T$40,'Top 40'!$C69)</f>
        <v>1</v>
      </c>
      <c r="O69" t="str">
        <f t="shared" si="5"/>
        <v>Harris English</v>
      </c>
    </row>
    <row r="70" spans="2:15" ht="12.5" x14ac:dyDescent="0.25">
      <c r="B70" s="3"/>
      <c r="C70" t="str">
        <f>E7</f>
        <v>Ryan Gerard</v>
      </c>
      <c r="D70">
        <f>IFERROR(VLOOKUP(C70,ESPNScores[],2,FALSE),100)</f>
        <v>-9</v>
      </c>
      <c r="F70" s="4" t="str">
        <f t="shared" si="4"/>
        <v>Gerard</v>
      </c>
      <c r="M70" s="3">
        <f>COUNTIF(ESPNPicks!$F$5:$P$53,'Top 40'!C70) + COUNTIF(ESPNPicks!$R$5:$R$40,'Top 40'!C70)</f>
        <v>0</v>
      </c>
      <c r="N70" s="3">
        <f>COUNTIF(ESPNMicro!$F$5:$R$53,'Top 40'!$C70) + COUNTIF(ESPNMicro!$T$5:$T$40,'Top 40'!$C70)</f>
        <v>0</v>
      </c>
      <c r="O70" t="str">
        <f t="shared" si="5"/>
        <v>Ryan Gerard</v>
      </c>
    </row>
    <row r="71" spans="2:15" ht="12.5" x14ac:dyDescent="0.25">
      <c r="B71" s="3"/>
      <c r="C71" t="str">
        <f>F7</f>
        <v>Kristoffer Reitan</v>
      </c>
      <c r="D71">
        <f>IFERROR(VLOOKUP(C71,ESPNScores[],2,FALSE),100)</f>
        <v>-13</v>
      </c>
      <c r="F71" s="4" t="str">
        <f t="shared" si="4"/>
        <v>Reitan</v>
      </c>
      <c r="M71" s="3">
        <f>COUNTIF(ESPNPicks!$F$5:$P$53,'Top 40'!C71) + COUNTIF(ESPNPicks!$R$5:$R$40,'Top 40'!C71)</f>
        <v>1</v>
      </c>
      <c r="N71" s="3">
        <f>COUNTIF(ESPNMicro!$F$5:$R$53,'Top 40'!$C71) + COUNTIF(ESPNMicro!$T$5:$T$40,'Top 40'!$C71)</f>
        <v>0</v>
      </c>
      <c r="O71" t="str">
        <f t="shared" si="5"/>
        <v>Kristoffer Reitan</v>
      </c>
    </row>
    <row r="72" spans="2:15" s="20" customFormat="1" ht="12.5" x14ac:dyDescent="0.25">
      <c r="B72" s="128"/>
      <c r="C72" s="20" t="str">
        <f>G7</f>
        <v>Hideki Matsuyama</v>
      </c>
      <c r="D72" s="20">
        <f>IFERROR(VLOOKUP(C72,ESPNScores[],2,FALSE),100)</f>
        <v>-14</v>
      </c>
      <c r="E72" s="145"/>
      <c r="F72" s="145" t="str">
        <f t="shared" si="4"/>
        <v>Matsuyama</v>
      </c>
      <c r="G72" s="145"/>
      <c r="M72" s="149">
        <f>COUNTIF(ESPNPicks!$F$5:$P$53,'Top 40'!C72) + COUNTIF(ESPNPicks!$R$5:$R$40,'Top 40'!C72)</f>
        <v>0</v>
      </c>
      <c r="N72" s="128">
        <f>COUNTIF(ESPNMicro!$F$5:$R$53,'Top 40'!$C72) + COUNTIF(ESPNMicro!$T$5:$T$40,'Top 40'!$C72)</f>
        <v>0</v>
      </c>
      <c r="O72" s="150" t="str">
        <f t="shared" si="5"/>
        <v>Hideki Matsuyama</v>
      </c>
    </row>
    <row r="73" spans="2:15" ht="12.5" x14ac:dyDescent="0.25">
      <c r="B73" s="3"/>
      <c r="C73" t="str">
        <f>C8</f>
        <v>Patrick Reed</v>
      </c>
      <c r="D73">
        <f>IFERROR(VLOOKUP(C73,ESPNScores[],2,FALSE),100)</f>
        <v>100</v>
      </c>
      <c r="F73" s="4" t="str">
        <f t="shared" si="4"/>
        <v>Reed</v>
      </c>
      <c r="G73" s="131">
        <v>6</v>
      </c>
      <c r="H73" t="str" cm="1">
        <f t="array" ref="H73">IF(K41&gt;1,_xlfn.TEXTJOIN("/", TRUE, _xlfn._xlws.FILTER(F73:F77, D73:D77 = MIN(D73:D77))),INDEX(_xlfn._xlws.SORT(C73:D77,2,1),1,1))</f>
        <v>Akshay Bhatia</v>
      </c>
      <c r="M73" s="3">
        <f>COUNTIF(ESPNPicks!$F$5:$P$53,'Top 40'!C73) + COUNTIF(ESPNPicks!$R$5:$R$40,'Top 40'!C73)</f>
        <v>0</v>
      </c>
      <c r="N73" s="3">
        <f>COUNTIF(ESPNMicro!$F$5:$R$53,'Top 40'!$C73) + COUNTIF(ESPNMicro!$T$5:$T$40,'Top 40'!$C73)</f>
        <v>0</v>
      </c>
      <c r="O73" t="str">
        <f t="shared" si="5"/>
        <v>Patrick Reed</v>
      </c>
    </row>
    <row r="74" spans="2:15" ht="12.5" x14ac:dyDescent="0.25">
      <c r="B74" s="3"/>
      <c r="C74" t="str">
        <f>D8</f>
        <v>Jacob Bridgeman</v>
      </c>
      <c r="D74">
        <f>IFERROR(VLOOKUP(C74,ESPNScores[],2,FALSE),100)</f>
        <v>-8</v>
      </c>
      <c r="F74" s="4" t="str">
        <f t="shared" si="4"/>
        <v>Bridgeman</v>
      </c>
      <c r="M74" s="3">
        <f>COUNTIF(ESPNPicks!$F$5:$P$53,'Top 40'!C74) + COUNTIF(ESPNPicks!$R$5:$R$40,'Top 40'!C74)</f>
        <v>0</v>
      </c>
      <c r="N74" s="3">
        <f>COUNTIF(ESPNMicro!$F$5:$R$53,'Top 40'!$C74) + COUNTIF(ESPNMicro!$T$5:$T$40,'Top 40'!$C74)</f>
        <v>0</v>
      </c>
      <c r="O74" t="str">
        <f t="shared" si="5"/>
        <v>Jacob Bridgeman</v>
      </c>
    </row>
    <row r="75" spans="2:15" ht="12.5" x14ac:dyDescent="0.25">
      <c r="B75" s="3"/>
      <c r="C75" t="str">
        <f>E8</f>
        <v>Akshay Bhatia</v>
      </c>
      <c r="D75">
        <f>IFERROR(VLOOKUP(C75,ESPNScores[],2,FALSE),100)</f>
        <v>-18</v>
      </c>
      <c r="F75" s="4" t="str">
        <f t="shared" si="4"/>
        <v>Bhatia</v>
      </c>
      <c r="M75" s="3">
        <f>COUNTIF(ESPNPicks!$F$5:$P$53,'Top 40'!C75) + COUNTIF(ESPNPicks!$R$5:$R$40,'Top 40'!C75)</f>
        <v>1</v>
      </c>
      <c r="N75" s="3">
        <f>COUNTIF(ESPNMicro!$F$5:$R$53,'Top 40'!$C75) + COUNTIF(ESPNMicro!$T$5:$T$40,'Top 40'!$C75)</f>
        <v>1</v>
      </c>
      <c r="O75" t="str">
        <f t="shared" si="5"/>
        <v>Akshay Bhatia</v>
      </c>
    </row>
    <row r="76" spans="2:15" ht="12.5" x14ac:dyDescent="0.25">
      <c r="B76" s="3"/>
      <c r="C76" t="str">
        <f>F8</f>
        <v>Sam Burns</v>
      </c>
      <c r="D76">
        <f>IFERROR(VLOOKUP(C76,ESPNScores[],2,FALSE),100)</f>
        <v>-15</v>
      </c>
      <c r="F76" s="4" t="str">
        <f t="shared" si="4"/>
        <v>Burns</v>
      </c>
      <c r="M76" s="147">
        <f>COUNTIF(ESPNPicks!$F$5:$P$53,'Top 40'!C76) + COUNTIF(ESPNPicks!$R$5:$R$40,'Top 40'!C76)</f>
        <v>0</v>
      </c>
      <c r="N76" s="147">
        <f>COUNTIF(ESPNMicro!$F$5:$R$53,'Top 40'!$C76) + COUNTIF(ESPNMicro!$T$5:$T$40,'Top 40'!$C76)</f>
        <v>0</v>
      </c>
      <c r="O76" s="148" t="str">
        <f t="shared" si="5"/>
        <v>Sam Burns</v>
      </c>
    </row>
    <row r="77" spans="2:15" s="20" customFormat="1" ht="12.5" x14ac:dyDescent="0.25">
      <c r="B77" s="128"/>
      <c r="C77" s="20" t="str">
        <f>G8</f>
        <v>Bryson DeChambeau</v>
      </c>
      <c r="D77" s="20">
        <f>IFERROR(VLOOKUP(C77,ESPNScores[],2,FALSE),100)</f>
        <v>100</v>
      </c>
      <c r="E77" s="145"/>
      <c r="F77" s="145" t="str">
        <f t="shared" si="4"/>
        <v>DeChambeau</v>
      </c>
      <c r="G77" s="145"/>
      <c r="M77" s="128">
        <f>COUNTIF(ESPNPicks!$F$5:$P$53,'Top 40'!C77) + COUNTIF(ESPNPicks!$R$5:$R$40,'Top 40'!C77)</f>
        <v>0</v>
      </c>
      <c r="N77" s="128">
        <f>COUNTIF(ESPNMicro!$F$5:$R$53,'Top 40'!$C77) + COUNTIF(ESPNMicro!$T$5:$T$40,'Top 40'!$C77)</f>
        <v>0</v>
      </c>
      <c r="O77" s="20" t="str">
        <f t="shared" si="5"/>
        <v>Bryson DeChambeau</v>
      </c>
    </row>
    <row r="78" spans="2:15" ht="12.5" x14ac:dyDescent="0.25">
      <c r="B78" s="3"/>
      <c r="C78" t="str">
        <f>C9</f>
        <v>Kurt Kitayama</v>
      </c>
      <c r="D78">
        <f>IFERROR(VLOOKUP(C78,ESPNScores[],2,FALSE),100)</f>
        <v>-12</v>
      </c>
      <c r="F78" s="4" t="str">
        <f t="shared" si="4"/>
        <v>Kitayama</v>
      </c>
      <c r="G78" s="131">
        <v>7</v>
      </c>
      <c r="H78" t="str" cm="1">
        <f t="array" ref="H78">IF(K42&gt;1,_xlfn.TEXTJOIN("/", TRUE, _xlfn._xlws.FILTER(F78:F82, D78:D82 = MIN(D78:D82))),INDEX(_xlfn._xlws.SORT(C78:D82,2,1),1,1))</f>
        <v>Viktor Hovland</v>
      </c>
      <c r="M78" s="3">
        <f>COUNTIF(ESPNPicks!$F$5:$P$53,'Top 40'!C78) + COUNTIF(ESPNPicks!$R$5:$R$40,'Top 40'!C78)</f>
        <v>0</v>
      </c>
      <c r="N78" s="3">
        <f>COUNTIF(ESPNMicro!$F$5:$R$53,'Top 40'!$C78) + COUNTIF(ESPNMicro!$T$5:$T$40,'Top 40'!$C78)</f>
        <v>0</v>
      </c>
      <c r="O78" t="str">
        <f t="shared" si="5"/>
        <v>Kurt Kitayama</v>
      </c>
    </row>
    <row r="79" spans="2:15" ht="12.5" x14ac:dyDescent="0.25">
      <c r="B79" s="3"/>
      <c r="C79" t="str">
        <f>D9</f>
        <v>Nicolai Højgaard</v>
      </c>
      <c r="D79">
        <f>IFERROR(VLOOKUP(C79,ESPNScores[],2,FALSE),100)</f>
        <v>-14</v>
      </c>
      <c r="F79" s="4" t="str">
        <f t="shared" si="4"/>
        <v>Højgaard</v>
      </c>
      <c r="M79" s="3">
        <f>COUNTIF(ESPNPicks!$F$5:$P$53,'Top 40'!C79) + COUNTIF(ESPNPicks!$R$5:$R$40,'Top 40'!C79)</f>
        <v>0</v>
      </c>
      <c r="N79" s="3">
        <f>COUNTIF(ESPNMicro!$F$5:$R$53,'Top 40'!$C79) + COUNTIF(ESPNMicro!$T$5:$T$40,'Top 40'!$C79)</f>
        <v>0</v>
      </c>
      <c r="O79" t="str">
        <f t="shared" si="5"/>
        <v>Nicolai Højgaard</v>
      </c>
    </row>
    <row r="80" spans="2:15" ht="12.5" x14ac:dyDescent="0.25">
      <c r="B80" s="3"/>
      <c r="C80" t="str">
        <f>E9</f>
        <v>Viktor Hovland</v>
      </c>
      <c r="D80">
        <f>IFERROR(VLOOKUP(C80,ESPNScores[],2,FALSE),100)</f>
        <v>-21</v>
      </c>
      <c r="F80" s="4" t="str">
        <f t="shared" si="4"/>
        <v>Hovland</v>
      </c>
      <c r="M80" s="147">
        <f>COUNTIF(ESPNPicks!$F$5:$P$53,'Top 40'!C80) + COUNTIF(ESPNPicks!$R$5:$R$40,'Top 40'!C80)</f>
        <v>1</v>
      </c>
      <c r="N80" s="147">
        <f>COUNTIF(ESPNMicro!$F$5:$R$53,'Top 40'!$C80) + COUNTIF(ESPNMicro!$T$5:$T$40,'Top 40'!$C80)</f>
        <v>1</v>
      </c>
      <c r="O80" s="148" t="str">
        <f t="shared" si="5"/>
        <v>Viktor Hovland</v>
      </c>
    </row>
    <row r="81" spans="2:15" ht="12.5" x14ac:dyDescent="0.25">
      <c r="B81" s="3"/>
      <c r="C81" t="str">
        <f>F9</f>
        <v>Patrick Cantlay</v>
      </c>
      <c r="D81">
        <f>IFERROR(VLOOKUP(C81,ESPNScores[],2,FALSE),100)</f>
        <v>-14</v>
      </c>
      <c r="F81" s="4" t="str">
        <f t="shared" si="4"/>
        <v>Cantlay</v>
      </c>
      <c r="M81" s="3">
        <f>COUNTIF(ESPNPicks!$F$5:$P$53,'Top 40'!C81) + COUNTIF(ESPNPicks!$R$5:$R$40,'Top 40'!C81)</f>
        <v>0</v>
      </c>
      <c r="N81" s="3">
        <f>COUNTIF(ESPNMicro!$F$5:$R$53,'Top 40'!$C81) + COUNTIF(ESPNMicro!$T$5:$T$40,'Top 40'!$C81)</f>
        <v>0</v>
      </c>
      <c r="O81" t="str">
        <f t="shared" si="5"/>
        <v>Patrick Cantlay</v>
      </c>
    </row>
    <row r="82" spans="2:15" s="20" customFormat="1" ht="12.5" x14ac:dyDescent="0.25">
      <c r="B82" s="128"/>
      <c r="C82" s="20" t="str">
        <f>G9</f>
        <v>Maverick McNealy</v>
      </c>
      <c r="D82" s="20">
        <f>IFERROR(VLOOKUP(C82,ESPNScores[],2,FALSE),100)</f>
        <v>-6</v>
      </c>
      <c r="E82" s="145"/>
      <c r="F82" s="145" t="str">
        <f t="shared" si="4"/>
        <v>McNealy</v>
      </c>
      <c r="G82" s="145"/>
      <c r="M82" s="128">
        <f>COUNTIF(ESPNPicks!$F$5:$P$53,'Top 40'!C82) + COUNTIF(ESPNPicks!$R$5:$R$40,'Top 40'!C82)</f>
        <v>0</v>
      </c>
      <c r="N82" s="128">
        <f>COUNTIF(ESPNMicro!$F$5:$R$53,'Top 40'!$C82) + COUNTIF(ESPNMicro!$T$5:$T$40,'Top 40'!$C82)</f>
        <v>0</v>
      </c>
      <c r="O82" s="20" t="str">
        <f t="shared" si="5"/>
        <v>Maverick McNealy</v>
      </c>
    </row>
    <row r="83" spans="2:15" ht="12.5" x14ac:dyDescent="0.25">
      <c r="B83" s="3"/>
      <c r="C83" t="str">
        <f>C10</f>
        <v>Min Woo Lee</v>
      </c>
      <c r="D83">
        <f>IFERROR(VLOOKUP(C83,ESPNScores[],2,FALSE),100)</f>
        <v>-4</v>
      </c>
      <c r="F83" s="4" t="str">
        <f t="shared" si="4"/>
        <v>Woo Lee</v>
      </c>
      <c r="G83" s="131">
        <v>8</v>
      </c>
      <c r="H83" t="str" cm="1">
        <f t="array" ref="H83">IF(K43&gt;1,_xlfn.TEXTJOIN("/", TRUE, _xlfn._xlws.FILTER(F83:F87, D83:D87 = MIN(D83:D87))),INDEX(_xlfn._xlws.SORT(C83:D87,2,1),1,1))</f>
        <v>Wyndham Clark</v>
      </c>
      <c r="M83" s="3">
        <f>COUNTIF(ESPNPicks!$F$5:$P$53,'Top 40'!C83) + COUNTIF(ESPNPicks!$R$5:$R$40,'Top 40'!C83)</f>
        <v>0</v>
      </c>
      <c r="N83" s="3">
        <f>COUNTIF(ESPNMicro!$F$5:$R$53,'Top 40'!$C83) + COUNTIF(ESPNMicro!$T$5:$T$40,'Top 40'!$C83)</f>
        <v>0</v>
      </c>
      <c r="O83" t="str">
        <f t="shared" si="5"/>
        <v>Min Woo Lee</v>
      </c>
    </row>
    <row r="84" spans="2:15" ht="12.5" x14ac:dyDescent="0.25">
      <c r="B84" s="3"/>
      <c r="C84" t="str">
        <f>D10</f>
        <v>Wyndham Clark</v>
      </c>
      <c r="D84">
        <f>IFERROR(VLOOKUP(C84,ESPNScores[],2,FALSE),100)</f>
        <v>-18</v>
      </c>
      <c r="F84" s="4" t="str">
        <f t="shared" si="4"/>
        <v>Clark</v>
      </c>
      <c r="M84" s="147">
        <f>COUNTIF(ESPNPicks!$F$5:$P$53,'Top 40'!C84) + COUNTIF(ESPNPicks!$R$5:$R$40,'Top 40'!C84)</f>
        <v>1</v>
      </c>
      <c r="N84" s="147">
        <f>COUNTIF(ESPNMicro!$F$5:$R$53,'Top 40'!$C84) + COUNTIF(ESPNMicro!$T$5:$T$40,'Top 40'!$C84)</f>
        <v>0</v>
      </c>
      <c r="O84" s="148" t="str">
        <f t="shared" si="5"/>
        <v>Wyndham Clark</v>
      </c>
    </row>
    <row r="85" spans="2:15" ht="12.5" x14ac:dyDescent="0.25">
      <c r="B85" s="3"/>
      <c r="C85" t="str">
        <f>E10</f>
        <v>Keegan Bradley</v>
      </c>
      <c r="D85">
        <f>IFERROR(VLOOKUP(C85,ESPNScores[],2,FALSE),100)</f>
        <v>-14</v>
      </c>
      <c r="F85" s="4" t="str">
        <f t="shared" si="4"/>
        <v>Bradley</v>
      </c>
      <c r="M85" s="3">
        <f>COUNTIF(ESPNPicks!$F$5:$P$53,'Top 40'!C85) + COUNTIF(ESPNPicks!$R$5:$R$40,'Top 40'!C85)</f>
        <v>0</v>
      </c>
      <c r="N85" s="3">
        <f>COUNTIF(ESPNMicro!$F$5:$R$53,'Top 40'!$C85) + COUNTIF(ESPNMicro!$T$5:$T$40,'Top 40'!$C85)</f>
        <v>1</v>
      </c>
      <c r="O85" t="str">
        <f t="shared" si="5"/>
        <v>Keegan Bradley</v>
      </c>
    </row>
    <row r="86" spans="2:15" ht="12.5" x14ac:dyDescent="0.25">
      <c r="B86" s="3"/>
      <c r="C86" t="str">
        <f>F10</f>
        <v>J.T. Poston</v>
      </c>
      <c r="D86">
        <f>IFERROR(VLOOKUP(C86,ESPNScores[],2,FALSE),100)</f>
        <v>1</v>
      </c>
      <c r="F86" s="4" t="str">
        <f t="shared" si="4"/>
        <v>Poston</v>
      </c>
      <c r="M86" s="3">
        <f>COUNTIF(ESPNPicks!$F$5:$P$53,'Top 40'!C86) + COUNTIF(ESPNPicks!$R$5:$R$40,'Top 40'!C86)</f>
        <v>0</v>
      </c>
      <c r="N86" s="3">
        <f>COUNTIF(ESPNMicro!$F$5:$R$53,'Top 40'!$C86) + COUNTIF(ESPNMicro!$T$5:$T$40,'Top 40'!$C86)</f>
        <v>0</v>
      </c>
      <c r="O86" t="str">
        <f t="shared" si="5"/>
        <v>J.T. Poston</v>
      </c>
    </row>
    <row r="87" spans="2:15" s="20" customFormat="1" ht="12.5" x14ac:dyDescent="0.25">
      <c r="B87" s="128"/>
      <c r="C87" s="20" t="str">
        <f>G10</f>
        <v>Alex Smalley</v>
      </c>
      <c r="D87" s="20">
        <f>IFERROR(VLOOKUP(C87,ESPNScores[],2,FALSE),100)</f>
        <v>-8</v>
      </c>
      <c r="E87" s="145"/>
      <c r="F87" s="145" t="str">
        <f t="shared" si="4"/>
        <v>Smalley</v>
      </c>
      <c r="G87" s="145"/>
      <c r="M87" s="128">
        <f>COUNTIF(ESPNPicks!$F$5:$P$53,'Top 40'!C87) + COUNTIF(ESPNPicks!$R$5:$R$40,'Top 40'!C87)</f>
        <v>0</v>
      </c>
      <c r="N87" s="128">
        <f>COUNTIF(ESPNMicro!$F$5:$R$53,'Top 40'!$C87) + COUNTIF(ESPNMicro!$T$5:$T$40,'Top 40'!$C87)</f>
        <v>0</v>
      </c>
      <c r="O87" s="20" t="str">
        <f t="shared" si="5"/>
        <v>Alex Smalley</v>
      </c>
    </row>
    <row r="88" spans="2:15" ht="12.5" x14ac:dyDescent="0.25">
      <c r="B88" s="3"/>
      <c r="C88"/>
      <c r="D88"/>
    </row>
    <row r="89" spans="2:15" ht="12.5" x14ac:dyDescent="0.25">
      <c r="B89" s="3"/>
      <c r="C89"/>
      <c r="D89"/>
    </row>
    <row r="90" spans="2:15" ht="12.5"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$C$7:$E$7</formula1>
    </dataValidation>
  </dataValidations>
  <pageMargins left="0.7" right="0.7" top="0.75" bottom="0.75" header="0.3" footer="0.3"/>
  <pageSetup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DA29C-1E29-4DB5-8B50-C8B065651798}">
  <sheetPr codeName="Sheet5"/>
  <dimension ref="A1:B101"/>
  <sheetViews>
    <sheetView workbookViewId="0"/>
  </sheetViews>
  <sheetFormatPr defaultRowHeight="12.5" x14ac:dyDescent="0.25"/>
  <cols>
    <col min="1" max="1" width="27.90625" bestFit="1" customWidth="1"/>
    <col min="2" max="2" width="20.453125" style="3" bestFit="1" customWidth="1"/>
    <col min="3" max="3" width="21.81640625" bestFit="1" customWidth="1"/>
    <col min="4" max="4" width="28.7265625" bestFit="1" customWidth="1"/>
    <col min="5" max="5" width="28.36328125" bestFit="1" customWidth="1"/>
    <col min="6" max="6" width="27.90625" bestFit="1" customWidth="1"/>
    <col min="7" max="7" width="28.36328125" bestFit="1" customWidth="1"/>
    <col min="8" max="8" width="26.36328125" bestFit="1" customWidth="1"/>
    <col min="9" max="9" width="29.08984375" bestFit="1" customWidth="1"/>
    <col min="10" max="10" width="29.1796875" bestFit="1" customWidth="1"/>
    <col min="11" max="11" width="32.36328125" bestFit="1" customWidth="1"/>
    <col min="12" max="12" width="34.7265625" bestFit="1" customWidth="1"/>
    <col min="13" max="14" width="32.90625" bestFit="1" customWidth="1"/>
    <col min="15" max="15" width="35.26953125" bestFit="1" customWidth="1"/>
    <col min="16" max="16" width="38.453125" bestFit="1" customWidth="1"/>
    <col min="17" max="17" width="38" bestFit="1" customWidth="1"/>
    <col min="18" max="18" width="19.6328125" bestFit="1" customWidth="1"/>
    <col min="19" max="19" width="23.7265625" bestFit="1" customWidth="1"/>
    <col min="20" max="20" width="23.81640625" bestFit="1" customWidth="1"/>
    <col min="21" max="21" width="24.26953125" bestFit="1" customWidth="1"/>
    <col min="22" max="22" width="26.90625" bestFit="1" customWidth="1"/>
    <col min="23" max="23" width="25.7265625" bestFit="1" customWidth="1"/>
    <col min="24" max="24" width="26.7265625" bestFit="1" customWidth="1"/>
    <col min="25" max="25" width="29.81640625" bestFit="1" customWidth="1"/>
    <col min="26" max="26" width="26.7265625" bestFit="1" customWidth="1"/>
    <col min="27" max="27" width="25.6328125" bestFit="1" customWidth="1"/>
    <col min="28" max="28" width="26.1796875" bestFit="1" customWidth="1"/>
    <col min="29" max="29" width="21.1796875" bestFit="1" customWidth="1"/>
    <col min="30" max="30" width="24" bestFit="1" customWidth="1"/>
  </cols>
  <sheetData>
    <row r="1" spans="1:2" x14ac:dyDescent="0.25">
      <c r="A1" s="18" t="s">
        <v>231</v>
      </c>
      <c r="B1" s="17" t="s">
        <v>232</v>
      </c>
    </row>
    <row r="2" spans="1:2" x14ac:dyDescent="0.25">
      <c r="A2" t="s">
        <v>24</v>
      </c>
      <c r="B2" s="3">
        <v>1</v>
      </c>
    </row>
    <row r="3" spans="1:2" x14ac:dyDescent="0.25">
      <c r="A3" t="s">
        <v>25</v>
      </c>
      <c r="B3" s="3">
        <v>2</v>
      </c>
    </row>
    <row r="4" spans="1:2" x14ac:dyDescent="0.25">
      <c r="A4" t="s">
        <v>50</v>
      </c>
      <c r="B4" s="3">
        <v>3</v>
      </c>
    </row>
    <row r="5" spans="1:2" x14ac:dyDescent="0.25">
      <c r="A5" t="s">
        <v>31</v>
      </c>
      <c r="B5" s="3">
        <v>4</v>
      </c>
    </row>
    <row r="6" spans="1:2" x14ac:dyDescent="0.25">
      <c r="A6" t="s">
        <v>30</v>
      </c>
      <c r="B6" s="3">
        <v>5</v>
      </c>
    </row>
    <row r="7" spans="1:2" x14ac:dyDescent="0.25">
      <c r="A7" t="s">
        <v>47</v>
      </c>
      <c r="B7" s="3">
        <v>6</v>
      </c>
    </row>
    <row r="8" spans="1:2" x14ac:dyDescent="0.25">
      <c r="A8" t="s">
        <v>29</v>
      </c>
      <c r="B8" s="3">
        <v>7</v>
      </c>
    </row>
    <row r="9" spans="1:2" x14ac:dyDescent="0.25">
      <c r="A9" t="s">
        <v>26</v>
      </c>
      <c r="B9" s="3">
        <v>8</v>
      </c>
    </row>
    <row r="10" spans="1:2" x14ac:dyDescent="0.25">
      <c r="A10" t="s">
        <v>118</v>
      </c>
      <c r="B10" s="3">
        <v>9</v>
      </c>
    </row>
    <row r="11" spans="1:2" x14ac:dyDescent="0.25">
      <c r="A11" t="s">
        <v>37</v>
      </c>
      <c r="B11" s="3">
        <v>10</v>
      </c>
    </row>
    <row r="12" spans="1:2" x14ac:dyDescent="0.25">
      <c r="A12" t="s">
        <v>109</v>
      </c>
      <c r="B12" s="3">
        <v>11</v>
      </c>
    </row>
    <row r="13" spans="1:2" x14ac:dyDescent="0.25">
      <c r="A13" t="s">
        <v>32</v>
      </c>
      <c r="B13" s="3">
        <v>12</v>
      </c>
    </row>
    <row r="14" spans="1:2" x14ac:dyDescent="0.25">
      <c r="A14" t="s">
        <v>64</v>
      </c>
      <c r="B14" s="3">
        <v>13</v>
      </c>
    </row>
    <row r="15" spans="1:2" x14ac:dyDescent="0.25">
      <c r="A15" t="s">
        <v>104</v>
      </c>
      <c r="B15" s="3">
        <v>14</v>
      </c>
    </row>
    <row r="16" spans="1:2" x14ac:dyDescent="0.25">
      <c r="A16" s="18" t="s">
        <v>73</v>
      </c>
      <c r="B16" s="3">
        <v>15</v>
      </c>
    </row>
    <row r="17" spans="1:2" x14ac:dyDescent="0.25">
      <c r="A17" t="s">
        <v>57</v>
      </c>
      <c r="B17" s="3">
        <v>16</v>
      </c>
    </row>
    <row r="18" spans="1:2" x14ac:dyDescent="0.25">
      <c r="A18" t="s">
        <v>67</v>
      </c>
      <c r="B18" s="3">
        <v>17</v>
      </c>
    </row>
    <row r="19" spans="1:2" x14ac:dyDescent="0.25">
      <c r="A19" t="s">
        <v>36</v>
      </c>
      <c r="B19" s="3">
        <v>18</v>
      </c>
    </row>
    <row r="20" spans="1:2" x14ac:dyDescent="0.25">
      <c r="A20" t="s">
        <v>42</v>
      </c>
      <c r="B20" s="3">
        <v>19</v>
      </c>
    </row>
    <row r="21" spans="1:2" x14ac:dyDescent="0.25">
      <c r="A21" t="s">
        <v>62</v>
      </c>
      <c r="B21" s="3">
        <v>20</v>
      </c>
    </row>
    <row r="22" spans="1:2" x14ac:dyDescent="0.25">
      <c r="A22" t="s">
        <v>172</v>
      </c>
      <c r="B22" s="3">
        <v>21</v>
      </c>
    </row>
    <row r="23" spans="1:2" x14ac:dyDescent="0.25">
      <c r="A23" t="s">
        <v>46</v>
      </c>
      <c r="B23" s="3">
        <v>22</v>
      </c>
    </row>
    <row r="24" spans="1:2" x14ac:dyDescent="0.25">
      <c r="A24" t="s">
        <v>126</v>
      </c>
      <c r="B24" s="3">
        <v>23</v>
      </c>
    </row>
    <row r="25" spans="1:2" x14ac:dyDescent="0.25">
      <c r="A25" t="s">
        <v>131</v>
      </c>
      <c r="B25" s="3">
        <v>24</v>
      </c>
    </row>
    <row r="26" spans="1:2" x14ac:dyDescent="0.25">
      <c r="A26" t="s">
        <v>52</v>
      </c>
      <c r="B26" s="3">
        <v>25</v>
      </c>
    </row>
    <row r="27" spans="1:2" x14ac:dyDescent="0.25">
      <c r="A27" t="s">
        <v>170</v>
      </c>
      <c r="B27" s="3">
        <v>26</v>
      </c>
    </row>
    <row r="28" spans="1:2" x14ac:dyDescent="0.25">
      <c r="A28" t="s">
        <v>125</v>
      </c>
      <c r="B28" s="3">
        <v>27</v>
      </c>
    </row>
    <row r="29" spans="1:2" x14ac:dyDescent="0.25">
      <c r="A29" t="s">
        <v>74</v>
      </c>
      <c r="B29" s="3">
        <v>28</v>
      </c>
    </row>
    <row r="30" spans="1:2" x14ac:dyDescent="0.25">
      <c r="A30" t="s">
        <v>40</v>
      </c>
      <c r="B30" s="3">
        <v>29</v>
      </c>
    </row>
    <row r="31" spans="1:2" x14ac:dyDescent="0.25">
      <c r="A31" t="s">
        <v>171</v>
      </c>
      <c r="B31" s="3">
        <v>30</v>
      </c>
    </row>
    <row r="32" spans="1:2" x14ac:dyDescent="0.25">
      <c r="A32" t="s">
        <v>51</v>
      </c>
      <c r="B32" s="3">
        <v>31</v>
      </c>
    </row>
    <row r="33" spans="1:2" x14ac:dyDescent="0.25">
      <c r="A33" t="s">
        <v>143</v>
      </c>
      <c r="B33" s="3">
        <v>32</v>
      </c>
    </row>
    <row r="34" spans="1:2" x14ac:dyDescent="0.25">
      <c r="A34" t="s">
        <v>43</v>
      </c>
      <c r="B34" s="3">
        <v>33</v>
      </c>
    </row>
    <row r="35" spans="1:2" x14ac:dyDescent="0.25">
      <c r="A35" t="s">
        <v>27</v>
      </c>
      <c r="B35" s="3">
        <v>34</v>
      </c>
    </row>
    <row r="36" spans="1:2" x14ac:dyDescent="0.25">
      <c r="A36" t="s">
        <v>108</v>
      </c>
      <c r="B36" s="3">
        <v>35</v>
      </c>
    </row>
    <row r="37" spans="1:2" x14ac:dyDescent="0.25">
      <c r="A37" t="s">
        <v>61</v>
      </c>
      <c r="B37" s="3">
        <v>36</v>
      </c>
    </row>
    <row r="38" spans="1:2" x14ac:dyDescent="0.25">
      <c r="A38" t="s">
        <v>45</v>
      </c>
      <c r="B38" s="3">
        <v>37</v>
      </c>
    </row>
    <row r="39" spans="1:2" x14ac:dyDescent="0.25">
      <c r="A39" t="s">
        <v>44</v>
      </c>
      <c r="B39" s="3">
        <v>38</v>
      </c>
    </row>
    <row r="40" spans="1:2" x14ac:dyDescent="0.25">
      <c r="A40" t="s">
        <v>49</v>
      </c>
      <c r="B40" s="3">
        <v>39</v>
      </c>
    </row>
    <row r="41" spans="1:2" x14ac:dyDescent="0.25">
      <c r="A41" t="s">
        <v>157</v>
      </c>
      <c r="B41" s="3">
        <v>40</v>
      </c>
    </row>
    <row r="42" spans="1:2" x14ac:dyDescent="0.25">
      <c r="A42" t="s">
        <v>33</v>
      </c>
      <c r="B42" s="3">
        <v>41</v>
      </c>
    </row>
    <row r="43" spans="1:2" x14ac:dyDescent="0.25">
      <c r="A43" t="s">
        <v>69</v>
      </c>
      <c r="B43" s="3">
        <v>42</v>
      </c>
    </row>
    <row r="44" spans="1:2" x14ac:dyDescent="0.25">
      <c r="A44" t="s">
        <v>58</v>
      </c>
      <c r="B44" s="3">
        <v>43</v>
      </c>
    </row>
    <row r="45" spans="1:2" x14ac:dyDescent="0.25">
      <c r="A45" t="s">
        <v>134</v>
      </c>
      <c r="B45" s="3">
        <v>44</v>
      </c>
    </row>
    <row r="46" spans="1:2" x14ac:dyDescent="0.25">
      <c r="A46" t="s">
        <v>39</v>
      </c>
      <c r="B46" s="3">
        <v>45</v>
      </c>
    </row>
    <row r="47" spans="1:2" x14ac:dyDescent="0.25">
      <c r="A47" t="s">
        <v>116</v>
      </c>
      <c r="B47" s="3">
        <v>46</v>
      </c>
    </row>
    <row r="48" spans="1:2" x14ac:dyDescent="0.25">
      <c r="A48" t="s">
        <v>132</v>
      </c>
      <c r="B48" s="3">
        <v>47</v>
      </c>
    </row>
    <row r="49" spans="1:2" x14ac:dyDescent="0.25">
      <c r="A49" t="s">
        <v>117</v>
      </c>
      <c r="B49" s="3">
        <v>48</v>
      </c>
    </row>
    <row r="50" spans="1:2" x14ac:dyDescent="0.25">
      <c r="A50" t="s">
        <v>182</v>
      </c>
      <c r="B50" s="3">
        <v>49</v>
      </c>
    </row>
    <row r="51" spans="1:2" x14ac:dyDescent="0.25">
      <c r="A51" t="s">
        <v>59</v>
      </c>
      <c r="B51" s="3">
        <v>50</v>
      </c>
    </row>
    <row r="52" spans="1:2" x14ac:dyDescent="0.25">
      <c r="A52" t="s">
        <v>41</v>
      </c>
      <c r="B52" s="3">
        <v>51</v>
      </c>
    </row>
    <row r="53" spans="1:2" x14ac:dyDescent="0.25">
      <c r="A53" t="s">
        <v>119</v>
      </c>
      <c r="B53" s="3">
        <v>52</v>
      </c>
    </row>
    <row r="54" spans="1:2" x14ac:dyDescent="0.25">
      <c r="A54" t="s">
        <v>183</v>
      </c>
      <c r="B54" s="3">
        <v>53</v>
      </c>
    </row>
    <row r="55" spans="1:2" x14ac:dyDescent="0.25">
      <c r="A55" t="s">
        <v>35</v>
      </c>
      <c r="B55" s="3">
        <v>54</v>
      </c>
    </row>
    <row r="56" spans="1:2" x14ac:dyDescent="0.25">
      <c r="A56" t="s">
        <v>141</v>
      </c>
      <c r="B56" s="3">
        <v>55</v>
      </c>
    </row>
    <row r="57" spans="1:2" x14ac:dyDescent="0.25">
      <c r="A57" t="s">
        <v>152</v>
      </c>
      <c r="B57" s="3">
        <v>56</v>
      </c>
    </row>
    <row r="58" spans="1:2" x14ac:dyDescent="0.25">
      <c r="A58" t="s">
        <v>142</v>
      </c>
      <c r="B58" s="3">
        <v>57</v>
      </c>
    </row>
    <row r="59" spans="1:2" x14ac:dyDescent="0.25">
      <c r="A59" t="s">
        <v>121</v>
      </c>
      <c r="B59" s="3">
        <v>58</v>
      </c>
    </row>
    <row r="60" spans="1:2" x14ac:dyDescent="0.25">
      <c r="A60" t="s">
        <v>28</v>
      </c>
      <c r="B60" s="3">
        <v>59</v>
      </c>
    </row>
    <row r="61" spans="1:2" x14ac:dyDescent="0.25">
      <c r="A61" t="s">
        <v>60</v>
      </c>
      <c r="B61" s="3">
        <v>60</v>
      </c>
    </row>
    <row r="62" spans="1:2" x14ac:dyDescent="0.25">
      <c r="A62" t="s">
        <v>146</v>
      </c>
      <c r="B62" s="3">
        <v>61</v>
      </c>
    </row>
    <row r="63" spans="1:2" x14ac:dyDescent="0.25">
      <c r="A63" t="s">
        <v>38</v>
      </c>
      <c r="B63" s="3">
        <v>62</v>
      </c>
    </row>
    <row r="64" spans="1:2" x14ac:dyDescent="0.25">
      <c r="A64" t="s">
        <v>156</v>
      </c>
      <c r="B64" s="3">
        <v>63</v>
      </c>
    </row>
    <row r="65" spans="1:2" x14ac:dyDescent="0.25">
      <c r="A65" t="s">
        <v>184</v>
      </c>
      <c r="B65" s="3">
        <v>64</v>
      </c>
    </row>
    <row r="66" spans="1:2" x14ac:dyDescent="0.25">
      <c r="A66" t="s">
        <v>66</v>
      </c>
      <c r="B66" s="3">
        <v>65</v>
      </c>
    </row>
    <row r="67" spans="1:2" x14ac:dyDescent="0.25">
      <c r="A67" t="s">
        <v>123</v>
      </c>
      <c r="B67" s="3">
        <v>66</v>
      </c>
    </row>
    <row r="68" spans="1:2" x14ac:dyDescent="0.25">
      <c r="A68" t="s">
        <v>115</v>
      </c>
      <c r="B68" s="3">
        <v>67</v>
      </c>
    </row>
    <row r="69" spans="1:2" x14ac:dyDescent="0.25">
      <c r="A69" t="s">
        <v>124</v>
      </c>
      <c r="B69" s="3">
        <v>68</v>
      </c>
    </row>
    <row r="70" spans="1:2" x14ac:dyDescent="0.25">
      <c r="A70" t="s">
        <v>145</v>
      </c>
      <c r="B70" s="3">
        <v>69</v>
      </c>
    </row>
    <row r="71" spans="1:2" x14ac:dyDescent="0.25">
      <c r="A71" t="s">
        <v>129</v>
      </c>
      <c r="B71" s="3">
        <v>70</v>
      </c>
    </row>
    <row r="72" spans="1:2" x14ac:dyDescent="0.25">
      <c r="A72" t="s">
        <v>65</v>
      </c>
      <c r="B72" s="3">
        <v>71</v>
      </c>
    </row>
    <row r="73" spans="1:2" x14ac:dyDescent="0.25">
      <c r="A73" t="s">
        <v>34</v>
      </c>
      <c r="B73" s="3">
        <v>72</v>
      </c>
    </row>
    <row r="74" spans="1:2" x14ac:dyDescent="0.25">
      <c r="A74" t="s">
        <v>161</v>
      </c>
      <c r="B74" s="3">
        <v>73</v>
      </c>
    </row>
    <row r="75" spans="1:2" x14ac:dyDescent="0.25">
      <c r="A75" t="s">
        <v>144</v>
      </c>
      <c r="B75" s="3">
        <v>74</v>
      </c>
    </row>
    <row r="76" spans="1:2" x14ac:dyDescent="0.25">
      <c r="A76" t="s">
        <v>185</v>
      </c>
      <c r="B76" s="3">
        <v>75</v>
      </c>
    </row>
    <row r="77" spans="1:2" x14ac:dyDescent="0.25">
      <c r="A77" t="s">
        <v>71</v>
      </c>
      <c r="B77" s="3">
        <v>76</v>
      </c>
    </row>
    <row r="78" spans="1:2" x14ac:dyDescent="0.25">
      <c r="A78" t="s">
        <v>186</v>
      </c>
      <c r="B78" s="3">
        <v>77</v>
      </c>
    </row>
    <row r="79" spans="1:2" x14ac:dyDescent="0.25">
      <c r="A79" t="s">
        <v>148</v>
      </c>
      <c r="B79" s="3">
        <v>78</v>
      </c>
    </row>
    <row r="80" spans="1:2" x14ac:dyDescent="0.25">
      <c r="A80" t="s">
        <v>247</v>
      </c>
      <c r="B80" s="3">
        <v>79</v>
      </c>
    </row>
    <row r="81" spans="1:2" x14ac:dyDescent="0.25">
      <c r="A81" t="s">
        <v>130</v>
      </c>
      <c r="B81" s="3">
        <v>80</v>
      </c>
    </row>
    <row r="82" spans="1:2" x14ac:dyDescent="0.25">
      <c r="A82" t="s">
        <v>150</v>
      </c>
      <c r="B82" s="3">
        <v>81</v>
      </c>
    </row>
    <row r="83" spans="1:2" x14ac:dyDescent="0.25">
      <c r="A83" t="s">
        <v>120</v>
      </c>
      <c r="B83" s="3">
        <v>82</v>
      </c>
    </row>
    <row r="84" spans="1:2" x14ac:dyDescent="0.25">
      <c r="A84" t="s">
        <v>48</v>
      </c>
      <c r="B84" s="3">
        <v>83</v>
      </c>
    </row>
    <row r="85" spans="1:2" x14ac:dyDescent="0.25">
      <c r="A85" t="s">
        <v>158</v>
      </c>
      <c r="B85" s="3">
        <v>84</v>
      </c>
    </row>
    <row r="86" spans="1:2" x14ac:dyDescent="0.25">
      <c r="A86" t="s">
        <v>155</v>
      </c>
      <c r="B86" s="3">
        <v>85</v>
      </c>
    </row>
    <row r="87" spans="1:2" x14ac:dyDescent="0.25">
      <c r="A87" t="s">
        <v>187</v>
      </c>
      <c r="B87" s="3">
        <v>86</v>
      </c>
    </row>
    <row r="88" spans="1:2" x14ac:dyDescent="0.25">
      <c r="A88" t="s">
        <v>233</v>
      </c>
      <c r="B88" s="3">
        <v>87</v>
      </c>
    </row>
    <row r="89" spans="1:2" x14ac:dyDescent="0.25">
      <c r="A89" t="s">
        <v>188</v>
      </c>
      <c r="B89" s="3">
        <v>88</v>
      </c>
    </row>
    <row r="90" spans="1:2" x14ac:dyDescent="0.25">
      <c r="A90" t="s">
        <v>160</v>
      </c>
      <c r="B90" s="3">
        <v>89</v>
      </c>
    </row>
    <row r="91" spans="1:2" x14ac:dyDescent="0.25">
      <c r="A91" t="s">
        <v>133</v>
      </c>
      <c r="B91" s="3">
        <v>90</v>
      </c>
    </row>
    <row r="92" spans="1:2" x14ac:dyDescent="0.25">
      <c r="A92" t="s">
        <v>149</v>
      </c>
      <c r="B92" s="3">
        <v>91</v>
      </c>
    </row>
    <row r="93" spans="1:2" x14ac:dyDescent="0.25">
      <c r="A93" t="s">
        <v>147</v>
      </c>
      <c r="B93" s="3">
        <v>92</v>
      </c>
    </row>
    <row r="94" spans="1:2" x14ac:dyDescent="0.25">
      <c r="A94" t="s">
        <v>153</v>
      </c>
      <c r="B94" s="3">
        <v>93</v>
      </c>
    </row>
    <row r="95" spans="1:2" x14ac:dyDescent="0.25">
      <c r="A95" t="s">
        <v>72</v>
      </c>
      <c r="B95" s="3">
        <v>94</v>
      </c>
    </row>
    <row r="96" spans="1:2" x14ac:dyDescent="0.25">
      <c r="A96" t="s">
        <v>70</v>
      </c>
      <c r="B96" s="3">
        <v>95</v>
      </c>
    </row>
    <row r="97" spans="1:2" x14ac:dyDescent="0.25">
      <c r="A97" t="s">
        <v>63</v>
      </c>
      <c r="B97" s="3">
        <v>96</v>
      </c>
    </row>
    <row r="98" spans="1:2" x14ac:dyDescent="0.25">
      <c r="A98" t="s">
        <v>159</v>
      </c>
      <c r="B98" s="3">
        <v>97</v>
      </c>
    </row>
    <row r="99" spans="1:2" x14ac:dyDescent="0.25">
      <c r="A99" t="s">
        <v>122</v>
      </c>
      <c r="B99" s="3">
        <v>98</v>
      </c>
    </row>
    <row r="100" spans="1:2" x14ac:dyDescent="0.25">
      <c r="A100" t="s">
        <v>151</v>
      </c>
      <c r="B100" s="3">
        <v>99</v>
      </c>
    </row>
    <row r="101" spans="1:2" x14ac:dyDescent="0.25">
      <c r="A101" t="s">
        <v>154</v>
      </c>
      <c r="B101" s="3">
        <v>100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heetViews>
  <sheetFormatPr defaultColWidth="8.54296875" defaultRowHeight="12.5" x14ac:dyDescent="0.25"/>
  <cols>
    <col min="1" max="1" width="3" customWidth="1"/>
    <col min="2" max="2" width="18.453125" customWidth="1"/>
    <col min="3" max="3" width="5.1796875" style="3" customWidth="1"/>
    <col min="4" max="4" width="6.1796875" style="37" bestFit="1" customWidth="1"/>
    <col min="5" max="5" width="8.54296875" style="3"/>
    <col min="6" max="6" width="17.81640625" style="18" bestFit="1" customWidth="1"/>
    <col min="7" max="7" width="8.54296875" style="61" customWidth="1"/>
    <col min="8" max="8" width="19.54296875" style="18" bestFit="1" customWidth="1"/>
    <col min="9" max="9" width="8.54296875" style="61"/>
    <col min="10" max="10" width="17.81640625" style="18" bestFit="1" customWidth="1"/>
    <col min="11" max="11" width="8.54296875" style="61"/>
    <col min="12" max="12" width="17.81640625" style="18" bestFit="1" customWidth="1"/>
    <col min="13" max="13" width="8.54296875" style="61"/>
    <col min="14" max="14" width="16.453125" style="18" bestFit="1" customWidth="1"/>
    <col min="15" max="15" width="8.54296875" style="61"/>
    <col min="16" max="16" width="17.81640625" style="18" bestFit="1" customWidth="1"/>
    <col min="17" max="17" width="8.54296875" style="61"/>
    <col min="18" max="18" width="17.81640625" style="18" bestFit="1" customWidth="1"/>
    <col min="19" max="19" width="8.54296875" style="61"/>
    <col min="20" max="20" width="16.453125" style="18" bestFit="1" customWidth="1"/>
    <col min="21" max="21" width="8.54296875" style="17"/>
    <col min="22" max="22" width="6.81640625" customWidth="1"/>
    <col min="23" max="23" width="8.54296875" style="3"/>
  </cols>
  <sheetData>
    <row r="1" spans="1:21" ht="21.65" customHeight="1" x14ac:dyDescent="0.3">
      <c r="A1" s="15"/>
      <c r="B1" s="99" t="s">
        <v>102</v>
      </c>
      <c r="C1" s="88" t="s">
        <v>140</v>
      </c>
      <c r="D1" s="100"/>
      <c r="E1" s="8"/>
      <c r="G1" s="98" t="s">
        <v>136</v>
      </c>
    </row>
    <row r="2" spans="1:21" s="7" customFormat="1" ht="13" x14ac:dyDescent="0.3">
      <c r="B2" s="30" t="s">
        <v>1</v>
      </c>
      <c r="C2" s="31"/>
      <c r="D2" s="57" t="s">
        <v>68</v>
      </c>
      <c r="E2" s="12"/>
      <c r="F2" s="10" t="s">
        <v>2</v>
      </c>
      <c r="G2" s="11">
        <f>SMALL(G3:G12,1)+SMALL(G3:G12,2)+SMALL(G3:G12,3)+SMALL(G3:G12,4)+SMALL(G3:G12,5)</f>
        <v>-84</v>
      </c>
      <c r="H2" s="10" t="s">
        <v>75</v>
      </c>
      <c r="I2" s="11">
        <f>SMALL(I3:I12,1)+SMALL(I3:I12,2)+SMALL(I3:I12,3)+SMALL(I3:I12,4)+SMALL(I3:I12,5)</f>
        <v>-96</v>
      </c>
      <c r="J2" s="10" t="s">
        <v>3</v>
      </c>
      <c r="K2" s="11">
        <f>SMALL(K3:K12,1)+SMALL(K3:K12,2)+SMALL(K3:K12,3)+SMALL(K3:K12,4)+SMALL(K3:K12,5)</f>
        <v>-91</v>
      </c>
      <c r="L2" s="10" t="s">
        <v>8</v>
      </c>
      <c r="M2" s="11">
        <f>SMALL(M3:M12,1)+SMALL(M3:M12,2)+SMALL(M3:M12,3)+SMALL(M3:M12,4)+SMALL(M3:M12,5)</f>
        <v>-89</v>
      </c>
      <c r="N2" s="10" t="s">
        <v>5</v>
      </c>
      <c r="O2" s="11">
        <f>SMALL(O3:O12,1)+SMALL(O3:O12,2)+SMALL(O3:O12,3)+SMALL(O3:O12,4)+SMALL(O3:O12,5)</f>
        <v>-87</v>
      </c>
      <c r="P2" s="10" t="s">
        <v>12</v>
      </c>
      <c r="Q2" s="11">
        <f>SMALL(Q3:Q12,1)+SMALL(Q3:Q12,2)+SMALL(Q3:Q12,3)+SMALL(Q3:Q12,4)+SMALL(Q3:Q12,5)</f>
        <v>-86</v>
      </c>
      <c r="R2" s="10" t="s">
        <v>15</v>
      </c>
      <c r="S2" s="11">
        <f>SMALL(S3:S12,1)+SMALL(S3:S12,2)+SMALL(S3:S12,3)+SMALL(S3:S12,4)+SMALL(S3:S12,5)</f>
        <v>-91</v>
      </c>
      <c r="T2" s="10" t="s">
        <v>17</v>
      </c>
      <c r="U2" s="11">
        <f>SMALL(U3:U12,1)+SMALL(U3:U12,2)+SMALL(U3:U12,3)+SMALL(U3:U12,4)+SMALL(U3:U12,5)</f>
        <v>-92</v>
      </c>
    </row>
    <row r="3" spans="1:21" ht="13" x14ac:dyDescent="0.3">
      <c r="B3" s="32" t="str" cm="1">
        <f t="array" ref="B3:C24">TRANSPOSE(_xlfn._xlws.SORT(F45:AA46,2,1,TRUE))</f>
        <v>Richard Webster</v>
      </c>
      <c r="C3" s="33">
        <v>-96</v>
      </c>
      <c r="D3" s="58">
        <f>HLOOKUP(B3,$F$45:$AB$47,3,)</f>
        <v>-19</v>
      </c>
      <c r="E3" s="13">
        <v>1</v>
      </c>
      <c r="F3" s="18" t="s">
        <v>24</v>
      </c>
      <c r="G3" s="17">
        <f>VLOOKUP(F3,ESPNScores!$A$2:$B$133,2,FALSE)</f>
        <v>-21</v>
      </c>
      <c r="H3" s="18" t="s">
        <v>24</v>
      </c>
      <c r="I3" s="17">
        <f>VLOOKUP(H3,ESPNScores!$A$2:$B$133,2,FALSE)</f>
        <v>-21</v>
      </c>
      <c r="J3" s="18" t="s">
        <v>24</v>
      </c>
      <c r="K3" s="17">
        <f>VLOOKUP(J3,ESPNScores!$A$2:$B$133,2,FALSE)</f>
        <v>-21</v>
      </c>
      <c r="L3" s="18" t="s">
        <v>24</v>
      </c>
      <c r="M3" s="17">
        <f>VLOOKUP(L3,ESPNScores!$A$2:$B$133,2,FALSE)</f>
        <v>-21</v>
      </c>
      <c r="N3" s="18" t="s">
        <v>24</v>
      </c>
      <c r="O3" s="17">
        <f>VLOOKUP(N3,ESPNScores!$A$2:$B$133,2,FALSE)</f>
        <v>-21</v>
      </c>
      <c r="P3" s="18" t="s">
        <v>24</v>
      </c>
      <c r="Q3" s="17">
        <f>VLOOKUP(P3,ESPNScores!$A$2:$B$133,2,FALSE)</f>
        <v>-21</v>
      </c>
      <c r="R3" s="18" t="s">
        <v>24</v>
      </c>
      <c r="S3" s="17">
        <f>VLOOKUP(R3,ESPNScores!$A$2:$B$133,2,FALSE)</f>
        <v>-21</v>
      </c>
      <c r="T3" s="60" t="s">
        <v>24</v>
      </c>
      <c r="U3" s="17">
        <f>VLOOKUP(T3,ESPNScores!$A$2:$B$133,2,FALSE)</f>
        <v>-21</v>
      </c>
    </row>
    <row r="4" spans="1:21" ht="13" x14ac:dyDescent="0.3">
      <c r="B4" s="32" t="str">
        <v>Lorraine McGill</v>
      </c>
      <c r="C4" s="33">
        <v>-96</v>
      </c>
      <c r="D4" s="58">
        <f>HLOOKUP(B4,$F$45:$AB$47,3,)</f>
        <v>-12</v>
      </c>
      <c r="E4" s="13">
        <v>2</v>
      </c>
      <c r="F4" s="18" t="s">
        <v>29</v>
      </c>
      <c r="G4" s="17">
        <f>VLOOKUP(F4,ESPNScores!$A$2:$B$133,2,FALSE)</f>
        <v>-14</v>
      </c>
      <c r="H4" s="18" t="s">
        <v>47</v>
      </c>
      <c r="I4" s="17">
        <f>VLOOKUP(H4,ESPNScores!$A$2:$B$133,2,FALSE)</f>
        <v>-12</v>
      </c>
      <c r="J4" s="18" t="s">
        <v>47</v>
      </c>
      <c r="K4" s="17">
        <f>VLOOKUP(J4,ESPNScores!$A$2:$B$133,2,FALSE)</f>
        <v>-12</v>
      </c>
      <c r="L4" s="18" t="s">
        <v>29</v>
      </c>
      <c r="M4" s="17">
        <f>VLOOKUP(L4,ESPNScores!$A$2:$B$133,2,FALSE)</f>
        <v>-14</v>
      </c>
      <c r="N4" s="18" t="s">
        <v>47</v>
      </c>
      <c r="O4" s="17">
        <f>VLOOKUP(N4,ESPNScores!$A$2:$B$133,2,FALSE)</f>
        <v>-12</v>
      </c>
      <c r="P4" s="18" t="s">
        <v>47</v>
      </c>
      <c r="Q4" s="17">
        <f>VLOOKUP(P4,ESPNScores!$A$2:$B$133,2,FALSE)</f>
        <v>-12</v>
      </c>
      <c r="R4" s="18" t="s">
        <v>29</v>
      </c>
      <c r="S4" s="17">
        <f>VLOOKUP(R4,ESPNScores!$A$2:$B$133,2,FALSE)</f>
        <v>-14</v>
      </c>
      <c r="T4" s="60" t="s">
        <v>29</v>
      </c>
      <c r="U4" s="17">
        <f>VLOOKUP(T4,ESPNScores!$A$2:$B$133,2,FALSE)</f>
        <v>-14</v>
      </c>
    </row>
    <row r="5" spans="1:21" ht="13" x14ac:dyDescent="0.3">
      <c r="B5" s="32" t="str">
        <v>Chris Marinis</v>
      </c>
      <c r="C5" s="33">
        <v>-96</v>
      </c>
      <c r="D5" s="58">
        <f>HLOOKUP(B5,$F$45:$AB$47,3,)</f>
        <v>-10</v>
      </c>
      <c r="E5" s="13">
        <v>3</v>
      </c>
      <c r="F5" s="18" t="s">
        <v>67</v>
      </c>
      <c r="G5" s="17">
        <f>VLOOKUP(F5,ESPNScores!$A$2:$B$133,2,FALSE)</f>
        <v>-16</v>
      </c>
      <c r="H5" s="18" t="s">
        <v>67</v>
      </c>
      <c r="I5" s="17">
        <f>VLOOKUP(H5,ESPNScores!$A$2:$B$133,2,FALSE)</f>
        <v>-16</v>
      </c>
      <c r="J5" s="18" t="s">
        <v>30</v>
      </c>
      <c r="K5" s="17">
        <f>VLOOKUP(J5,ESPNScores!$A$2:$B$133,2,FALSE)</f>
        <v>-15</v>
      </c>
      <c r="L5" s="18" t="s">
        <v>30</v>
      </c>
      <c r="M5" s="17">
        <f>VLOOKUP(L5,ESPNScores!$A$2:$B$133,2,FALSE)</f>
        <v>-15</v>
      </c>
      <c r="N5" s="18" t="s">
        <v>67</v>
      </c>
      <c r="O5" s="17">
        <f>VLOOKUP(N5,ESPNScores!$A$2:$B$133,2,FALSE)</f>
        <v>-16</v>
      </c>
      <c r="P5" s="18" t="s">
        <v>67</v>
      </c>
      <c r="Q5" s="17">
        <f>VLOOKUP(P5,ESPNScores!$A$2:$B$133,2,FALSE)</f>
        <v>-16</v>
      </c>
      <c r="R5" s="18" t="s">
        <v>67</v>
      </c>
      <c r="S5" s="17">
        <f>VLOOKUP(R5,ESPNScores!$A$2:$B$133,2,FALSE)</f>
        <v>-16</v>
      </c>
      <c r="T5" s="60" t="s">
        <v>30</v>
      </c>
      <c r="U5" s="17">
        <f>VLOOKUP(T5,ESPNScores!$A$2:$B$133,2,FALSE)</f>
        <v>-15</v>
      </c>
    </row>
    <row r="6" spans="1:21" ht="13" x14ac:dyDescent="0.3">
      <c r="B6" s="32" t="str">
        <v>Chris Callahan</v>
      </c>
      <c r="C6" s="33">
        <v>-95</v>
      </c>
      <c r="D6" s="58">
        <f>HLOOKUP(B6,$F$45:$AB$47,3,)</f>
        <v>-17</v>
      </c>
      <c r="E6" s="13">
        <v>4</v>
      </c>
      <c r="F6" s="18" t="s">
        <v>108</v>
      </c>
      <c r="G6" s="17">
        <f>VLOOKUP(F6,ESPNScores!$A$2:$B$133,2,FALSE)</f>
        <v>-6</v>
      </c>
      <c r="H6" s="18" t="s">
        <v>46</v>
      </c>
      <c r="I6" s="17">
        <f>VLOOKUP(H6,ESPNScores!$A$2:$B$133,2,FALSE)</f>
        <v>-10</v>
      </c>
      <c r="J6" s="18" t="s">
        <v>57</v>
      </c>
      <c r="K6" s="17">
        <f>VLOOKUP(J6,ESPNScores!$A$2:$B$133,2,FALSE)</f>
        <v>-14</v>
      </c>
      <c r="L6" s="18" t="s">
        <v>46</v>
      </c>
      <c r="M6" s="17">
        <f>VLOOKUP(L6,ESPNScores!$A$2:$B$133,2,FALSE)</f>
        <v>-10</v>
      </c>
      <c r="N6" s="18" t="s">
        <v>108</v>
      </c>
      <c r="O6" s="17">
        <f>VLOOKUP(N6,ESPNScores!$A$2:$B$133,2,FALSE)</f>
        <v>-6</v>
      </c>
      <c r="P6" s="18" t="s">
        <v>46</v>
      </c>
      <c r="Q6" s="17">
        <f>VLOOKUP(P6,ESPNScores!$A$2:$B$133,2,FALSE)</f>
        <v>-10</v>
      </c>
      <c r="R6" s="18" t="s">
        <v>108</v>
      </c>
      <c r="S6" s="17">
        <f>VLOOKUP(R6,ESPNScores!$A$2:$B$133,2,FALSE)</f>
        <v>-6</v>
      </c>
      <c r="T6" s="60" t="s">
        <v>108</v>
      </c>
      <c r="U6" s="17">
        <f>VLOOKUP(T6,ESPNScores!$A$2:$B$133,2,FALSE)</f>
        <v>-6</v>
      </c>
    </row>
    <row r="7" spans="1:21" ht="13" x14ac:dyDescent="0.3">
      <c r="B7" s="32" t="str">
        <v>Sean Christian</v>
      </c>
      <c r="C7" s="33">
        <v>-95</v>
      </c>
      <c r="D7" s="58">
        <f>HLOOKUP(B7,$F$45:$AB$47,3,)</f>
        <v>-14</v>
      </c>
      <c r="E7" s="13">
        <v>5</v>
      </c>
      <c r="F7" s="18" t="s">
        <v>104</v>
      </c>
      <c r="G7" s="17">
        <f>VLOOKUP(F7,ESPNScores!$A$2:$B$133,2,FALSE)</f>
        <v>-6</v>
      </c>
      <c r="H7" s="18" t="s">
        <v>104</v>
      </c>
      <c r="I7" s="17">
        <f>VLOOKUP(H7,ESPNScores!$A$2:$B$133,2,FALSE)</f>
        <v>-6</v>
      </c>
      <c r="J7" s="18" t="s">
        <v>104</v>
      </c>
      <c r="K7" s="17">
        <f>VLOOKUP(J7,ESPNScores!$A$2:$B$133,2,FALSE)</f>
        <v>-6</v>
      </c>
      <c r="L7" s="18" t="s">
        <v>50</v>
      </c>
      <c r="M7" s="17">
        <f>VLOOKUP(L7,ESPNScores!$A$2:$B$133,2,FALSE)</f>
        <v>-8</v>
      </c>
      <c r="N7" s="18" t="s">
        <v>104</v>
      </c>
      <c r="O7" s="17">
        <f>VLOOKUP(N7,ESPNScores!$A$2:$B$133,2,FALSE)</f>
        <v>-6</v>
      </c>
      <c r="P7" s="18" t="s">
        <v>104</v>
      </c>
      <c r="Q7" s="17">
        <f>VLOOKUP(P7,ESPNScores!$A$2:$B$133,2,FALSE)</f>
        <v>-6</v>
      </c>
      <c r="R7" s="18" t="s">
        <v>104</v>
      </c>
      <c r="S7" s="17">
        <f>VLOOKUP(R7,ESPNScores!$A$2:$B$133,2,FALSE)</f>
        <v>-6</v>
      </c>
      <c r="T7" s="60" t="s">
        <v>50</v>
      </c>
      <c r="U7" s="17">
        <f>VLOOKUP(T7,ESPNScores!$A$2:$B$133,2,FALSE)</f>
        <v>-8</v>
      </c>
    </row>
    <row r="8" spans="1:21" ht="13" x14ac:dyDescent="0.3">
      <c r="B8" s="32" t="str">
        <v>Matt Desai</v>
      </c>
      <c r="C8" s="33">
        <v>-92</v>
      </c>
      <c r="D8" s="58"/>
      <c r="E8" s="13">
        <v>6</v>
      </c>
      <c r="F8" s="18" t="s">
        <v>40</v>
      </c>
      <c r="G8" s="17">
        <f>VLOOKUP(F8,ESPNScores!$A$2:$B$133,2,FALSE)</f>
        <v>-15</v>
      </c>
      <c r="H8" s="18" t="s">
        <v>40</v>
      </c>
      <c r="I8" s="17">
        <f>VLOOKUP(H8,ESPNScores!$A$2:$B$133,2,FALSE)</f>
        <v>-15</v>
      </c>
      <c r="J8" s="18" t="s">
        <v>44</v>
      </c>
      <c r="K8" s="17">
        <f>VLOOKUP(J8,ESPNScores!$A$2:$B$133,2,FALSE)</f>
        <v>-14</v>
      </c>
      <c r="L8" s="18" t="s">
        <v>44</v>
      </c>
      <c r="M8" s="17">
        <f>VLOOKUP(L8,ESPNScores!$A$2:$B$133,2,FALSE)</f>
        <v>-14</v>
      </c>
      <c r="N8" s="18" t="s">
        <v>40</v>
      </c>
      <c r="O8" s="17">
        <f>VLOOKUP(N8,ESPNScores!$A$2:$B$133,2,FALSE)</f>
        <v>-15</v>
      </c>
      <c r="P8" s="18" t="s">
        <v>40</v>
      </c>
      <c r="Q8" s="17">
        <f>VLOOKUP(P8,ESPNScores!$A$2:$B$133,2,FALSE)</f>
        <v>-15</v>
      </c>
      <c r="R8" s="18" t="s">
        <v>40</v>
      </c>
      <c r="S8" s="17">
        <f>VLOOKUP(R8,ESPNScores!$A$2:$B$133,2,FALSE)</f>
        <v>-15</v>
      </c>
      <c r="T8" s="60" t="s">
        <v>40</v>
      </c>
      <c r="U8" s="17">
        <f>VLOOKUP(T8,ESPNScores!$A$2:$B$133,2,FALSE)</f>
        <v>-15</v>
      </c>
    </row>
    <row r="9" spans="1:21" ht="13" x14ac:dyDescent="0.3">
      <c r="B9" s="32" t="str">
        <v>Dean Nardone</v>
      </c>
      <c r="C9" s="33">
        <v>-91</v>
      </c>
      <c r="D9" s="58"/>
      <c r="E9" s="13">
        <v>7</v>
      </c>
      <c r="F9" s="18" t="s">
        <v>27</v>
      </c>
      <c r="G9" s="17">
        <f>VLOOKUP(F9,ESPNScores!$A$2:$B$133,2,FALSE)</f>
        <v>-14</v>
      </c>
      <c r="H9" s="18" t="s">
        <v>37</v>
      </c>
      <c r="I9" s="17">
        <f>VLOOKUP(H9,ESPNScores!$A$2:$B$133,2,FALSE)</f>
        <v>-20</v>
      </c>
      <c r="J9" s="18" t="s">
        <v>37</v>
      </c>
      <c r="K9" s="17">
        <f>VLOOKUP(J9,ESPNScores!$A$2:$B$133,2,FALSE)</f>
        <v>-20</v>
      </c>
      <c r="L9" s="18" t="s">
        <v>27</v>
      </c>
      <c r="M9" s="17">
        <f>VLOOKUP(L9,ESPNScores!$A$2:$B$133,2,FALSE)</f>
        <v>-14</v>
      </c>
      <c r="N9" s="18" t="s">
        <v>27</v>
      </c>
      <c r="O9" s="17">
        <f>VLOOKUP(N9,ESPNScores!$A$2:$B$133,2,FALSE)</f>
        <v>-14</v>
      </c>
      <c r="P9" s="18" t="s">
        <v>37</v>
      </c>
      <c r="Q9" s="17">
        <f>VLOOKUP(P9,ESPNScores!$A$2:$B$133,2,FALSE)</f>
        <v>-20</v>
      </c>
      <c r="R9" s="18" t="s">
        <v>27</v>
      </c>
      <c r="S9" s="17">
        <f>VLOOKUP(R9,ESPNScores!$A$2:$B$133,2,FALSE)</f>
        <v>-14</v>
      </c>
      <c r="T9" s="60" t="s">
        <v>37</v>
      </c>
      <c r="U9" s="17">
        <f>VLOOKUP(T9,ESPNScores!$A$2:$B$133,2,FALSE)</f>
        <v>-20</v>
      </c>
    </row>
    <row r="10" spans="1:21" ht="13" x14ac:dyDescent="0.3">
      <c r="B10" s="32" t="str">
        <v>Halley Ganges</v>
      </c>
      <c r="C10" s="33">
        <v>-91</v>
      </c>
      <c r="D10" s="58"/>
      <c r="E10" s="13">
        <v>8</v>
      </c>
      <c r="F10" s="18" t="s">
        <v>52</v>
      </c>
      <c r="G10" s="17">
        <f>VLOOKUP(F10,ESPNScores!$A$2:$B$133,2,FALSE)</f>
        <v>-14</v>
      </c>
      <c r="H10" s="18" t="s">
        <v>43</v>
      </c>
      <c r="I10" s="17">
        <f>VLOOKUP(H10,ESPNScores!$A$2:$B$133,2,FALSE)</f>
        <v>-21</v>
      </c>
      <c r="J10" s="18" t="s">
        <v>43</v>
      </c>
      <c r="K10" s="17">
        <f>VLOOKUP(J10,ESPNScores!$A$2:$B$133,2,FALSE)</f>
        <v>-21</v>
      </c>
      <c r="L10" s="18" t="s">
        <v>43</v>
      </c>
      <c r="M10" s="17">
        <f>VLOOKUP(L10,ESPNScores!$A$2:$B$133,2,FALSE)</f>
        <v>-21</v>
      </c>
      <c r="N10" s="18" t="s">
        <v>43</v>
      </c>
      <c r="O10" s="17">
        <f>VLOOKUP(N10,ESPNScores!$A$2:$B$133,2,FALSE)</f>
        <v>-21</v>
      </c>
      <c r="P10" s="18" t="s">
        <v>52</v>
      </c>
      <c r="Q10" s="17">
        <f>VLOOKUP(P10,ESPNScores!$A$2:$B$133,2,FALSE)</f>
        <v>-14</v>
      </c>
      <c r="R10" s="18" t="s">
        <v>43</v>
      </c>
      <c r="S10" s="17">
        <f>VLOOKUP(R10,ESPNScores!$A$2:$B$133,2,FALSE)</f>
        <v>-21</v>
      </c>
      <c r="T10" s="60" t="s">
        <v>43</v>
      </c>
      <c r="U10" s="17">
        <f>VLOOKUP(T10,ESPNScores!$A$2:$B$133,2,FALSE)</f>
        <v>-21</v>
      </c>
    </row>
    <row r="11" spans="1:21" ht="13" x14ac:dyDescent="0.3">
      <c r="B11" s="32" t="str">
        <v>Damon Chapman</v>
      </c>
      <c r="C11" s="33">
        <v>-90</v>
      </c>
      <c r="D11" s="63"/>
      <c r="E11" s="13">
        <v>9</v>
      </c>
      <c r="F11" s="18" t="s">
        <v>38</v>
      </c>
      <c r="G11" s="17">
        <f>VLOOKUP(F11,ESPNScores!$A$2:$B$133,2,FALSE)</f>
        <v>-12</v>
      </c>
      <c r="H11" s="18" t="s">
        <v>38</v>
      </c>
      <c r="I11" s="17">
        <f>VLOOKUP(H11,ESPNScores!$A$2:$B$133,2,FALSE)</f>
        <v>-12</v>
      </c>
      <c r="J11" s="18" t="s">
        <v>123</v>
      </c>
      <c r="K11" s="17">
        <f>VLOOKUP(J11,ESPNScores!$A$2:$B$133,2,FALSE)</f>
        <v>-7</v>
      </c>
      <c r="L11" s="18" t="s">
        <v>123</v>
      </c>
      <c r="M11" s="17">
        <f>VLOOKUP(L11,ESPNScores!$A$2:$B$133,2,FALSE)</f>
        <v>-7</v>
      </c>
      <c r="N11" s="18" t="s">
        <v>123</v>
      </c>
      <c r="O11" s="17">
        <f>VLOOKUP(N11,ESPNScores!$A$2:$B$133,2,FALSE)</f>
        <v>-7</v>
      </c>
      <c r="P11" s="18" t="s">
        <v>123</v>
      </c>
      <c r="Q11" s="17">
        <f>VLOOKUP(P11,ESPNScores!$A$2:$B$133,2,FALSE)</f>
        <v>-7</v>
      </c>
      <c r="R11" s="18" t="s">
        <v>123</v>
      </c>
      <c r="S11" s="17">
        <f>VLOOKUP(R11,ESPNScores!$A$2:$B$133,2,FALSE)</f>
        <v>-7</v>
      </c>
      <c r="T11" s="60" t="s">
        <v>123</v>
      </c>
      <c r="U11" s="17">
        <f>VLOOKUP(T11,ESPNScores!$A$2:$B$133,2,FALSE)</f>
        <v>-7</v>
      </c>
    </row>
    <row r="12" spans="1:21" ht="13" x14ac:dyDescent="0.3">
      <c r="B12" s="32" t="str">
        <v>Charlie Adams</v>
      </c>
      <c r="C12" s="33">
        <v>-89</v>
      </c>
      <c r="D12" s="63"/>
      <c r="E12" s="13">
        <v>10</v>
      </c>
      <c r="F12" s="18" t="s">
        <v>74</v>
      </c>
      <c r="G12" s="17">
        <f>VLOOKUP(F12,ESPNScores!$A$2:$B$133,2,FALSE)</f>
        <v>-18</v>
      </c>
      <c r="H12" s="18" t="s">
        <v>74</v>
      </c>
      <c r="I12" s="17">
        <f>VLOOKUP(H12,ESPNScores!$A$2:$B$133,2,FALSE)</f>
        <v>-18</v>
      </c>
      <c r="J12" s="18" t="s">
        <v>34</v>
      </c>
      <c r="K12" s="17">
        <f>VLOOKUP(J12,ESPNScores!$A$2:$B$133,2,FALSE)</f>
        <v>-11</v>
      </c>
      <c r="L12" s="18" t="s">
        <v>74</v>
      </c>
      <c r="M12" s="17">
        <f>VLOOKUP(L12,ESPNScores!$A$2:$B$133,2,FALSE)</f>
        <v>-18</v>
      </c>
      <c r="N12" s="18" t="s">
        <v>109</v>
      </c>
      <c r="O12" s="17">
        <f>VLOOKUP(N12,ESPNScores!$A$2:$B$133,2,FALSE)</f>
        <v>-11</v>
      </c>
      <c r="P12" s="18" t="s">
        <v>109</v>
      </c>
      <c r="Q12" s="17">
        <f>VLOOKUP(P12,ESPNScores!$A$2:$B$133,2,FALSE)</f>
        <v>-11</v>
      </c>
      <c r="R12" s="18" t="s">
        <v>74</v>
      </c>
      <c r="S12" s="17">
        <f>VLOOKUP(R12,ESPNScores!$A$2:$B$133,2,FALSE)</f>
        <v>-18</v>
      </c>
      <c r="T12" s="60" t="s">
        <v>34</v>
      </c>
      <c r="U12" s="17">
        <f>VLOOKUP(T12,ESPNScores!$A$2:$B$133,2,FALSE)</f>
        <v>-11</v>
      </c>
    </row>
    <row r="13" spans="1:21" x14ac:dyDescent="0.25">
      <c r="B13" s="32" t="str">
        <v>Russ Flagg</v>
      </c>
      <c r="C13" s="33">
        <v>-87</v>
      </c>
      <c r="D13" s="63"/>
      <c r="E13" s="14"/>
    </row>
    <row r="14" spans="1:21" s="7" customFormat="1" ht="13" x14ac:dyDescent="0.3">
      <c r="B14" s="32" t="str">
        <v>Gary Casarsa</v>
      </c>
      <c r="C14" s="33">
        <v>-86</v>
      </c>
      <c r="D14" s="63"/>
      <c r="E14" s="12"/>
      <c r="F14" s="10" t="s">
        <v>14</v>
      </c>
      <c r="G14" s="11">
        <f>SMALL(G15:G24,1)+SMALL(G15:G24,2)+SMALL(G15:G24,3)+SMALL(G15:G24,4)+SMALL(G15:G24,5)</f>
        <v>-86</v>
      </c>
      <c r="H14" s="10" t="s">
        <v>6</v>
      </c>
      <c r="I14" s="11">
        <f>SMALL(I15:I24,1)+SMALL(I15:I24,2)+SMALL(I15:I24,3)+SMALL(I15:I24,4)+SMALL(I15:I24,5)</f>
        <v>-83</v>
      </c>
      <c r="J14" s="10" t="s">
        <v>13</v>
      </c>
      <c r="K14" s="11">
        <f>SMALL(K15:K24,1)+SMALL(K15:K24,2)+SMALL(K15:K24,3)+SMALL(K15:K24,4)+SMALL(K15:K24,5)</f>
        <v>-82</v>
      </c>
      <c r="L14" s="10" t="s">
        <v>114</v>
      </c>
      <c r="M14" s="11" t="e">
        <f>SMALL(M15:M24,1)+SMALL(M15:M24,2)+SMALL(M15:M24,3)+SMALL(M15:M24,4)+SMALL(M15:M24,5)</f>
        <v>#N/A</v>
      </c>
      <c r="N14" s="10" t="s">
        <v>4</v>
      </c>
      <c r="O14" s="11">
        <f>SMALL(O15:O24,1)+SMALL(O15:O24,2)+SMALL(O15:O24,3)+SMALL(O15:O24,4)+SMALL(O15:O24,5)</f>
        <v>-96</v>
      </c>
      <c r="P14" s="10" t="s">
        <v>22</v>
      </c>
      <c r="Q14" s="11">
        <f>SMALL(Q15:Q24,1)+SMALL(Q15:Q24,2)+SMALL(Q15:Q24,3)+SMALL(Q15:Q24,4)+SMALL(Q15:Q24,5)</f>
        <v>-86</v>
      </c>
      <c r="R14" s="10" t="s">
        <v>16</v>
      </c>
      <c r="S14" s="11">
        <f>SMALL(S15:S24,1)+SMALL(S15:S24,2)+SMALL(S15:S24,3)+SMALL(S15:S24,4)+SMALL(S15:S24,5)</f>
        <v>-95</v>
      </c>
      <c r="T14" s="10"/>
      <c r="U14" s="11"/>
    </row>
    <row r="15" spans="1:21" ht="13" x14ac:dyDescent="0.3">
      <c r="B15" s="32" t="str">
        <v>Mike Coope</v>
      </c>
      <c r="C15" s="33">
        <v>-86</v>
      </c>
      <c r="D15" s="63"/>
      <c r="E15" s="13">
        <v>1</v>
      </c>
      <c r="F15" s="18" t="s">
        <v>24</v>
      </c>
      <c r="G15" s="17">
        <f>VLOOKUP(F15,ESPNScores!$A$2:$B$133,2,FALSE)</f>
        <v>-21</v>
      </c>
      <c r="H15" s="18" t="s">
        <v>24</v>
      </c>
      <c r="I15" s="17">
        <f>VLOOKUP(H15,ESPNScores!$A$2:$B$133,2,FALSE)</f>
        <v>-21</v>
      </c>
      <c r="J15" s="18" t="s">
        <v>24</v>
      </c>
      <c r="K15" s="17">
        <f>VLOOKUP(J15,ESPNScores!$A$2:$B$133,2,FALSE)</f>
        <v>-21</v>
      </c>
      <c r="L15" s="18" t="s">
        <v>25</v>
      </c>
      <c r="M15" s="17" t="e">
        <f>VLOOKUP(L15,ESPNScores!$A$2:$B$133,2,FALSE)</f>
        <v>#N/A</v>
      </c>
      <c r="N15" s="18" t="s">
        <v>24</v>
      </c>
      <c r="O15" s="17">
        <f>VLOOKUP(N15,ESPNScores!$A$2:$B$133,2,FALSE)</f>
        <v>-21</v>
      </c>
      <c r="P15" s="18" t="s">
        <v>24</v>
      </c>
      <c r="Q15" s="17">
        <f>VLOOKUP(P15,ESPNScores!$A$2:$B$133,2,FALSE)</f>
        <v>-21</v>
      </c>
      <c r="R15" s="18" t="s">
        <v>24</v>
      </c>
      <c r="S15" s="17">
        <f>VLOOKUP(R15,ESPNScores!$A$2:$B$133,2,FALSE)</f>
        <v>-21</v>
      </c>
      <c r="T15" s="60"/>
    </row>
    <row r="16" spans="1:21" ht="13" x14ac:dyDescent="0.3">
      <c r="B16" s="32" t="str">
        <v>Steve McFadden</v>
      </c>
      <c r="C16" s="33">
        <v>-86</v>
      </c>
      <c r="D16" s="63"/>
      <c r="E16" s="13">
        <v>2</v>
      </c>
      <c r="F16" s="18" t="s">
        <v>73</v>
      </c>
      <c r="G16" s="17">
        <f>VLOOKUP(F16,ESPNScores!$A$2:$B$133,2,FALSE)</f>
        <v>-16</v>
      </c>
      <c r="H16" s="18" t="s">
        <v>29</v>
      </c>
      <c r="I16" s="17">
        <f>VLOOKUP(H16,ESPNScores!$A$2:$B$133,2,FALSE)</f>
        <v>-14</v>
      </c>
      <c r="J16" s="18" t="s">
        <v>47</v>
      </c>
      <c r="K16" s="17">
        <f>VLOOKUP(J16,ESPNScores!$A$2:$B$133,2,FALSE)</f>
        <v>-12</v>
      </c>
      <c r="L16" s="18" t="s">
        <v>29</v>
      </c>
      <c r="M16" s="17">
        <f>VLOOKUP(L16,ESPNScores!$A$2:$B$133,2,FALSE)</f>
        <v>-14</v>
      </c>
      <c r="N16" s="18" t="s">
        <v>29</v>
      </c>
      <c r="O16" s="17">
        <f>VLOOKUP(N16,ESPNScores!$A$2:$B$133,2,FALSE)</f>
        <v>-14</v>
      </c>
      <c r="P16" s="18" t="s">
        <v>29</v>
      </c>
      <c r="Q16" s="17">
        <f>VLOOKUP(P16,ESPNScores!$A$2:$B$133,2,FALSE)</f>
        <v>-14</v>
      </c>
      <c r="R16" s="18" t="s">
        <v>29</v>
      </c>
      <c r="S16" s="17">
        <f>VLOOKUP(R16,ESPNScores!$A$2:$B$133,2,FALSE)</f>
        <v>-14</v>
      </c>
      <c r="T16" s="60"/>
    </row>
    <row r="17" spans="2:23" ht="13" x14ac:dyDescent="0.3">
      <c r="B17" s="32" t="str">
        <v>Mark Brenman</v>
      </c>
      <c r="C17" s="33">
        <v>-86</v>
      </c>
      <c r="D17" s="63"/>
      <c r="E17" s="13">
        <v>3</v>
      </c>
      <c r="F17" s="18" t="s">
        <v>42</v>
      </c>
      <c r="G17" s="17">
        <f>VLOOKUP(F17,ESPNScores!$A$2:$B$133,2,FALSE)</f>
        <v>10</v>
      </c>
      <c r="H17" s="18" t="s">
        <v>30</v>
      </c>
      <c r="I17" s="17">
        <f>VLOOKUP(H17,ESPNScores!$A$2:$B$133,2,FALSE)</f>
        <v>-15</v>
      </c>
      <c r="J17" s="18" t="s">
        <v>42</v>
      </c>
      <c r="K17" s="17">
        <f>VLOOKUP(J17,ESPNScores!$A$2:$B$133,2,FALSE)</f>
        <v>10</v>
      </c>
      <c r="L17" s="18" t="s">
        <v>67</v>
      </c>
      <c r="M17" s="17">
        <f>VLOOKUP(L17,ESPNScores!$A$2:$B$133,2,FALSE)</f>
        <v>-16</v>
      </c>
      <c r="N17" s="18" t="s">
        <v>67</v>
      </c>
      <c r="O17" s="17">
        <f>VLOOKUP(N17,ESPNScores!$A$2:$B$133,2,FALSE)</f>
        <v>-16</v>
      </c>
      <c r="P17" s="18" t="s">
        <v>30</v>
      </c>
      <c r="Q17" s="17">
        <f>VLOOKUP(P17,ESPNScores!$A$2:$B$133,2,FALSE)</f>
        <v>-15</v>
      </c>
      <c r="R17" s="18" t="s">
        <v>30</v>
      </c>
      <c r="S17" s="17">
        <f>VLOOKUP(R17,ESPNScores!$A$2:$B$133,2,FALSE)</f>
        <v>-15</v>
      </c>
      <c r="T17" s="60"/>
    </row>
    <row r="18" spans="2:23" ht="13" x14ac:dyDescent="0.3">
      <c r="B18" s="32" t="str">
        <v>Joe Magnetico</v>
      </c>
      <c r="C18" s="33">
        <v>-84</v>
      </c>
      <c r="D18" s="63"/>
      <c r="E18" s="13">
        <v>4</v>
      </c>
      <c r="F18" s="18" t="s">
        <v>46</v>
      </c>
      <c r="G18" s="17">
        <f>VLOOKUP(F18,ESPNScores!$A$2:$B$133,2,FALSE)</f>
        <v>-10</v>
      </c>
      <c r="H18" s="18" t="s">
        <v>46</v>
      </c>
      <c r="I18" s="17">
        <f>VLOOKUP(H18,ESPNScores!$A$2:$B$133,2,FALSE)</f>
        <v>-10</v>
      </c>
      <c r="J18" s="18" t="s">
        <v>108</v>
      </c>
      <c r="K18" s="17">
        <f>VLOOKUP(J18,ESPNScores!$A$2:$B$133,2,FALSE)</f>
        <v>-6</v>
      </c>
      <c r="L18" s="18" t="s">
        <v>57</v>
      </c>
      <c r="M18" s="17">
        <f>VLOOKUP(L18,ESPNScores!$A$2:$B$133,2,FALSE)</f>
        <v>-14</v>
      </c>
      <c r="N18" s="18" t="s">
        <v>108</v>
      </c>
      <c r="O18" s="17">
        <f>VLOOKUP(N18,ESPNScores!$A$2:$B$133,2,FALSE)</f>
        <v>-6</v>
      </c>
      <c r="P18" s="18" t="s">
        <v>57</v>
      </c>
      <c r="Q18" s="17">
        <f>VLOOKUP(P18,ESPNScores!$A$2:$B$133,2,FALSE)</f>
        <v>-14</v>
      </c>
      <c r="R18" s="18" t="s">
        <v>108</v>
      </c>
      <c r="S18" s="17">
        <f>VLOOKUP(R18,ESPNScores!$A$2:$B$133,2,FALSE)</f>
        <v>-6</v>
      </c>
      <c r="T18" s="60"/>
    </row>
    <row r="19" spans="2:23" ht="13" x14ac:dyDescent="0.3">
      <c r="B19" s="32" t="str">
        <v>Ken Webster</v>
      </c>
      <c r="C19" s="33">
        <v>-84</v>
      </c>
      <c r="D19" s="63"/>
      <c r="E19" s="13">
        <v>5</v>
      </c>
      <c r="F19" s="18" t="s">
        <v>104</v>
      </c>
      <c r="G19" s="17">
        <f>VLOOKUP(F19,ESPNScores!$A$2:$B$133,2,FALSE)</f>
        <v>-6</v>
      </c>
      <c r="H19" s="18" t="s">
        <v>104</v>
      </c>
      <c r="I19" s="17">
        <f>VLOOKUP(H19,ESPNScores!$A$2:$B$133,2,FALSE)</f>
        <v>-6</v>
      </c>
      <c r="J19" s="18" t="s">
        <v>104</v>
      </c>
      <c r="K19" s="17">
        <f>VLOOKUP(J19,ESPNScores!$A$2:$B$133,2,FALSE)</f>
        <v>-6</v>
      </c>
      <c r="L19" s="18" t="s">
        <v>50</v>
      </c>
      <c r="M19" s="17">
        <f>VLOOKUP(L19,ESPNScores!$A$2:$B$133,2,FALSE)</f>
        <v>-8</v>
      </c>
      <c r="N19" s="18" t="s">
        <v>104</v>
      </c>
      <c r="O19" s="17">
        <f>VLOOKUP(N19,ESPNScores!$A$2:$B$133,2,FALSE)</f>
        <v>-6</v>
      </c>
      <c r="P19" s="18" t="s">
        <v>104</v>
      </c>
      <c r="Q19" s="17">
        <f>VLOOKUP(P19,ESPNScores!$A$2:$B$133,2,FALSE)</f>
        <v>-6</v>
      </c>
      <c r="R19" s="18" t="s">
        <v>104</v>
      </c>
      <c r="S19" s="17">
        <f>VLOOKUP(R19,ESPNScores!$A$2:$B$133,2,FALSE)</f>
        <v>-6</v>
      </c>
      <c r="T19" s="60"/>
    </row>
    <row r="20" spans="2:23" ht="13" x14ac:dyDescent="0.3">
      <c r="B20" s="32" t="str">
        <v>Bill Seeger</v>
      </c>
      <c r="C20" s="33">
        <v>-83</v>
      </c>
      <c r="D20" s="63"/>
      <c r="E20" s="13">
        <v>6</v>
      </c>
      <c r="F20" s="18" t="s">
        <v>40</v>
      </c>
      <c r="G20" s="17">
        <f>VLOOKUP(F20,ESPNScores!$A$2:$B$133,2,FALSE)</f>
        <v>-15</v>
      </c>
      <c r="H20" s="18" t="s">
        <v>28</v>
      </c>
      <c r="I20" s="17">
        <f>VLOOKUP(H20,ESPNScores!$A$2:$B$133,2,FALSE)</f>
        <v>-12</v>
      </c>
      <c r="J20" s="18" t="s">
        <v>44</v>
      </c>
      <c r="K20" s="17">
        <f>VLOOKUP(J20,ESPNScores!$A$2:$B$133,2,FALSE)</f>
        <v>-14</v>
      </c>
      <c r="L20" s="18" t="s">
        <v>44</v>
      </c>
      <c r="M20" s="17">
        <f>VLOOKUP(L20,ESPNScores!$A$2:$B$133,2,FALSE)</f>
        <v>-14</v>
      </c>
      <c r="N20" s="18" t="s">
        <v>40</v>
      </c>
      <c r="O20" s="17">
        <f>VLOOKUP(N20,ESPNScores!$A$2:$B$133,2,FALSE)</f>
        <v>-15</v>
      </c>
      <c r="P20" s="18" t="s">
        <v>40</v>
      </c>
      <c r="Q20" s="17">
        <f>VLOOKUP(P20,ESPNScores!$A$2:$B$133,2,FALSE)</f>
        <v>-15</v>
      </c>
      <c r="R20" s="18" t="s">
        <v>40</v>
      </c>
      <c r="S20" s="17">
        <f>VLOOKUP(R20,ESPNScores!$A$2:$B$133,2,FALSE)</f>
        <v>-15</v>
      </c>
      <c r="T20" s="60"/>
    </row>
    <row r="21" spans="2:23" ht="13" x14ac:dyDescent="0.3">
      <c r="B21" s="32" t="str">
        <v>Laurie Seeger</v>
      </c>
      <c r="C21" s="33">
        <v>-82</v>
      </c>
      <c r="D21" s="63"/>
      <c r="E21" s="13">
        <v>7</v>
      </c>
      <c r="F21" s="18" t="s">
        <v>37</v>
      </c>
      <c r="G21" s="17">
        <f>VLOOKUP(F21,ESPNScores!$A$2:$B$133,2,FALSE)</f>
        <v>-20</v>
      </c>
      <c r="H21" s="18" t="s">
        <v>37</v>
      </c>
      <c r="I21" s="17">
        <f>VLOOKUP(H21,ESPNScores!$A$2:$B$133,2,FALSE)</f>
        <v>-20</v>
      </c>
      <c r="J21" s="18" t="s">
        <v>27</v>
      </c>
      <c r="K21" s="17">
        <f>VLOOKUP(J21,ESPNScores!$A$2:$B$133,2,FALSE)</f>
        <v>-14</v>
      </c>
      <c r="L21" s="18" t="s">
        <v>27</v>
      </c>
      <c r="M21" s="17">
        <f>VLOOKUP(L21,ESPNScores!$A$2:$B$133,2,FALSE)</f>
        <v>-14</v>
      </c>
      <c r="N21" s="18" t="s">
        <v>37</v>
      </c>
      <c r="O21" s="17">
        <f>VLOOKUP(N21,ESPNScores!$A$2:$B$133,2,FALSE)</f>
        <v>-20</v>
      </c>
      <c r="P21" s="18" t="s">
        <v>27</v>
      </c>
      <c r="Q21" s="17">
        <f>VLOOKUP(P21,ESPNScores!$A$2:$B$133,2,FALSE)</f>
        <v>-14</v>
      </c>
      <c r="R21" s="18" t="s">
        <v>37</v>
      </c>
      <c r="S21" s="17">
        <f>VLOOKUP(R21,ESPNScores!$A$2:$B$133,2,FALSE)</f>
        <v>-20</v>
      </c>
      <c r="T21" s="62"/>
    </row>
    <row r="22" spans="2:23" ht="13" x14ac:dyDescent="0.3">
      <c r="B22" s="32" t="str">
        <v>Anthony Neville</v>
      </c>
      <c r="C22" s="33">
        <v>-82</v>
      </c>
      <c r="D22" s="63"/>
      <c r="E22" s="13">
        <v>8</v>
      </c>
      <c r="F22" s="18" t="s">
        <v>52</v>
      </c>
      <c r="G22" s="17">
        <f>VLOOKUP(F22,ESPNScores!$A$2:$B$133,2,FALSE)</f>
        <v>-14</v>
      </c>
      <c r="H22" s="18" t="s">
        <v>58</v>
      </c>
      <c r="I22" s="17">
        <f>VLOOKUP(H22,ESPNScores!$A$2:$B$133,2,FALSE)</f>
        <v>-13</v>
      </c>
      <c r="J22" s="18" t="s">
        <v>43</v>
      </c>
      <c r="K22" s="17">
        <f>VLOOKUP(J22,ESPNScores!$A$2:$B$133,2,FALSE)</f>
        <v>-21</v>
      </c>
      <c r="L22" s="18" t="s">
        <v>58</v>
      </c>
      <c r="M22" s="17">
        <f>VLOOKUP(L22,ESPNScores!$A$2:$B$133,2,FALSE)</f>
        <v>-13</v>
      </c>
      <c r="N22" s="18" t="s">
        <v>43</v>
      </c>
      <c r="O22" s="17">
        <f>VLOOKUP(N22,ESPNScores!$A$2:$B$133,2,FALSE)</f>
        <v>-21</v>
      </c>
      <c r="P22" s="18" t="s">
        <v>43</v>
      </c>
      <c r="Q22" s="17">
        <f>VLOOKUP(P22,ESPNScores!$A$2:$B$133,2,FALSE)</f>
        <v>-21</v>
      </c>
      <c r="R22" s="18" t="s">
        <v>43</v>
      </c>
      <c r="S22" s="17">
        <f>VLOOKUP(R22,ESPNScores!$A$2:$B$133,2,FALSE)</f>
        <v>-21</v>
      </c>
      <c r="T22" s="60"/>
    </row>
    <row r="23" spans="2:23" ht="13" x14ac:dyDescent="0.3">
      <c r="B23" s="32" t="str">
        <v>Matt Myers</v>
      </c>
      <c r="C23" s="33">
        <v>-80</v>
      </c>
      <c r="D23" s="63"/>
      <c r="E23" s="13">
        <v>9</v>
      </c>
      <c r="F23" s="18" t="s">
        <v>123</v>
      </c>
      <c r="G23" s="17">
        <f>VLOOKUP(F23,ESPNScores!$A$2:$B$133,2,FALSE)</f>
        <v>-7</v>
      </c>
      <c r="H23" s="18" t="s">
        <v>38</v>
      </c>
      <c r="I23" s="17">
        <f>VLOOKUP(H23,ESPNScores!$A$2:$B$133,2,FALSE)</f>
        <v>-12</v>
      </c>
      <c r="J23" s="18" t="s">
        <v>38</v>
      </c>
      <c r="K23" s="17">
        <f>VLOOKUP(J23,ESPNScores!$A$2:$B$133,2,FALSE)</f>
        <v>-12</v>
      </c>
      <c r="L23" s="18" t="s">
        <v>123</v>
      </c>
      <c r="M23" s="17">
        <f>VLOOKUP(L23,ESPNScores!$A$2:$B$133,2,FALSE)</f>
        <v>-7</v>
      </c>
      <c r="N23" s="18" t="s">
        <v>123</v>
      </c>
      <c r="O23" s="17">
        <f>VLOOKUP(N23,ESPNScores!$A$2:$B$133,2,FALSE)</f>
        <v>-7</v>
      </c>
      <c r="P23" s="18" t="s">
        <v>123</v>
      </c>
      <c r="Q23" s="17">
        <f>VLOOKUP(P23,ESPNScores!$A$2:$B$133,2,FALSE)</f>
        <v>-7</v>
      </c>
      <c r="R23" s="18" t="s">
        <v>123</v>
      </c>
      <c r="S23" s="17">
        <f>VLOOKUP(R23,ESPNScores!$A$2:$B$133,2,FALSE)</f>
        <v>-7</v>
      </c>
      <c r="T23" s="60"/>
    </row>
    <row r="24" spans="2:23" ht="13" x14ac:dyDescent="0.3">
      <c r="B24" s="34" t="str">
        <v>Anne Heal</v>
      </c>
      <c r="C24" s="35" t="e">
        <v>#N/A</v>
      </c>
      <c r="D24" s="64"/>
      <c r="E24" s="13">
        <v>10</v>
      </c>
      <c r="F24" s="18" t="s">
        <v>109</v>
      </c>
      <c r="G24" s="17">
        <f>VLOOKUP(F24,ESPNScores!$A$2:$B$133,2,FALSE)</f>
        <v>-11</v>
      </c>
      <c r="H24" s="18" t="s">
        <v>34</v>
      </c>
      <c r="I24" s="17">
        <f>VLOOKUP(H24,ESPNScores!$A$2:$B$133,2,FALSE)</f>
        <v>-11</v>
      </c>
      <c r="J24" s="18" t="s">
        <v>34</v>
      </c>
      <c r="K24" s="17">
        <f>VLOOKUP(J24,ESPNScores!$A$2:$B$133,2,FALSE)</f>
        <v>-11</v>
      </c>
      <c r="L24" s="18" t="s">
        <v>109</v>
      </c>
      <c r="M24" s="17">
        <f>VLOOKUP(L24,ESPNScores!$A$2:$B$133,2,FALSE)</f>
        <v>-11</v>
      </c>
      <c r="N24" s="18" t="s">
        <v>74</v>
      </c>
      <c r="O24" s="17">
        <f>VLOOKUP(N24,ESPNScores!$A$2:$B$133,2,FALSE)</f>
        <v>-18</v>
      </c>
      <c r="P24" s="18" t="s">
        <v>109</v>
      </c>
      <c r="Q24" s="17">
        <f>VLOOKUP(P24,ESPNScores!$A$2:$B$133,2,FALSE)</f>
        <v>-11</v>
      </c>
      <c r="R24" s="18" t="s">
        <v>74</v>
      </c>
      <c r="S24" s="17">
        <f>VLOOKUP(R24,ESPNScores!$A$2:$B$133,2,FALSE)</f>
        <v>-18</v>
      </c>
      <c r="T24" s="60"/>
    </row>
    <row r="25" spans="2:23" x14ac:dyDescent="0.25">
      <c r="B25" s="18"/>
      <c r="C25" s="18"/>
      <c r="D25" s="18"/>
      <c r="E25" s="14"/>
    </row>
    <row r="26" spans="2:23" s="7" customFormat="1" ht="13" x14ac:dyDescent="0.3">
      <c r="B26" s="71" t="s">
        <v>107</v>
      </c>
      <c r="C26" s="17"/>
      <c r="D26" s="65"/>
      <c r="E26" s="12"/>
      <c r="F26" s="10" t="s">
        <v>19</v>
      </c>
      <c r="G26" s="11">
        <f>SMALL(G27:G36,1)+SMALL(G27:G36,2)+SMALL(G27:G36,3)+SMALL(G27:G36,4)+SMALL(G27:G36,5)</f>
        <v>-95</v>
      </c>
      <c r="H26" s="10" t="s">
        <v>18</v>
      </c>
      <c r="I26" s="11">
        <f>SMALL(I27:I36,1)+SMALL(I27:I36,2)+SMALL(I27:I36,3)+SMALL(I27:I36,4)+SMALL(I27:I36,5)</f>
        <v>-86</v>
      </c>
      <c r="J26" s="10" t="s">
        <v>20</v>
      </c>
      <c r="K26" s="11">
        <f>SMALL(K27:K36,1)+SMALL(K27:K36,2)+SMALL(K27:K36,3)+SMALL(K27:K36,4)+SMALL(K27:K36,5)</f>
        <v>-84</v>
      </c>
      <c r="L26" s="10" t="s">
        <v>7</v>
      </c>
      <c r="M26" s="11">
        <f>SMALL(M27:M36,1)+SMALL(M27:M36,2)+SMALL(M27:M36,3)+SMALL(M27:M36,4)+SMALL(M27:M36,5)</f>
        <v>-80</v>
      </c>
      <c r="N26" s="10" t="s">
        <v>11</v>
      </c>
      <c r="O26" s="11">
        <f>SMALL(O27:O36,1)+SMALL(O27:O36,2)+SMALL(O27:O36,3)+SMALL(O27:O36,4)+SMALL(O27:O36,5)</f>
        <v>-90</v>
      </c>
      <c r="P26" s="10" t="s">
        <v>21</v>
      </c>
      <c r="Q26" s="11">
        <f>SMALL(Q27:Q36,1)+SMALL(Q27:Q36,2)+SMALL(Q27:Q36,3)+SMALL(Q27:Q36,4)+SMALL(Q27:Q36,5)</f>
        <v>-96</v>
      </c>
      <c r="R26" s="10" t="s">
        <v>128</v>
      </c>
      <c r="S26" s="11">
        <f>SMALL(S27:S36,1)+SMALL(S27:S36,2)+SMALL(S27:S36,3)+SMALL(S27:S36,4)+SMALL(S27:S36,5)</f>
        <v>-82</v>
      </c>
      <c r="T26" s="18"/>
      <c r="U26" s="18"/>
      <c r="V26"/>
      <c r="W26"/>
    </row>
    <row r="27" spans="2:23" ht="13" x14ac:dyDescent="0.3">
      <c r="B27" s="70" t="str">
        <f>ESPNScores!A2</f>
        <v>Scottie Scheffler</v>
      </c>
      <c r="C27" s="70">
        <f>ESPNScores!B2</f>
        <v>-21</v>
      </c>
      <c r="D27" s="38"/>
      <c r="E27" s="13">
        <v>1</v>
      </c>
      <c r="F27" s="18" t="s">
        <v>24</v>
      </c>
      <c r="G27" s="17">
        <f>VLOOKUP(F27,ESPNScores!$A$2:$B$133,2,FALSE)</f>
        <v>-21</v>
      </c>
      <c r="H27" s="18" t="s">
        <v>24</v>
      </c>
      <c r="I27" s="17">
        <f>VLOOKUP(H27,ESPNScores!$A$2:$B$133,2,FALSE)</f>
        <v>-21</v>
      </c>
      <c r="J27" s="18" t="s">
        <v>24</v>
      </c>
      <c r="K27" s="17">
        <f>VLOOKUP(J27,ESPNScores!$A$2:$B$133,2,FALSE)</f>
        <v>-21</v>
      </c>
      <c r="L27" s="18" t="s">
        <v>24</v>
      </c>
      <c r="M27" s="17">
        <f>VLOOKUP(L27,ESPNScores!$A$2:$B$133,2,FALSE)</f>
        <v>-21</v>
      </c>
      <c r="N27" s="18" t="s">
        <v>24</v>
      </c>
      <c r="O27" s="17">
        <f>VLOOKUP(N27,ESPNScores!$A$2:$B$133,2,FALSE)</f>
        <v>-21</v>
      </c>
      <c r="P27" s="18" t="s">
        <v>24</v>
      </c>
      <c r="Q27" s="17">
        <f>VLOOKUP(P27,ESPNScores!$A$2:$B$133,2,FALSE)</f>
        <v>-21</v>
      </c>
      <c r="R27" s="18" t="s">
        <v>24</v>
      </c>
      <c r="S27" s="17">
        <f>VLOOKUP(R27,ESPNScores!$A$2:$B$133,2,FALSE)</f>
        <v>-21</v>
      </c>
      <c r="U27" s="18"/>
      <c r="W27"/>
    </row>
    <row r="28" spans="2:23" ht="14.5" x14ac:dyDescent="0.35">
      <c r="B28" s="70" t="str">
        <f>ESPNScores!A3</f>
        <v>Viktor Hovland</v>
      </c>
      <c r="C28" s="70">
        <f>ESPNScores!B3</f>
        <v>-21</v>
      </c>
      <c r="D28" s="38"/>
      <c r="E28" s="13">
        <v>2</v>
      </c>
      <c r="F28" s="18" t="s">
        <v>29</v>
      </c>
      <c r="G28" s="17">
        <f>VLOOKUP(F28,ESPNScores!$A$2:$B$133,2,FALSE)</f>
        <v>-14</v>
      </c>
      <c r="H28" s="18" t="s">
        <v>29</v>
      </c>
      <c r="I28" s="17">
        <f>VLOOKUP(H28,ESPNScores!$A$2:$B$133,2,FALSE)</f>
        <v>-14</v>
      </c>
      <c r="J28" s="18" t="s">
        <v>73</v>
      </c>
      <c r="K28" s="17">
        <f>VLOOKUP(J28,ESPNScores!$A$2:$B$133,2,FALSE)</f>
        <v>-16</v>
      </c>
      <c r="L28" s="18" t="s">
        <v>29</v>
      </c>
      <c r="M28" s="17">
        <f>VLOOKUP(L28,ESPNScores!$A$2:$B$133,2,FALSE)</f>
        <v>-14</v>
      </c>
      <c r="N28" s="18" t="s">
        <v>29</v>
      </c>
      <c r="O28" s="17">
        <f>VLOOKUP(N28,ESPNScores!$A$2:$B$133,2,FALSE)</f>
        <v>-14</v>
      </c>
      <c r="P28" s="18" t="s">
        <v>73</v>
      </c>
      <c r="Q28" s="17">
        <f>VLOOKUP(P28,ESPNScores!$A$2:$B$133,2,FALSE)</f>
        <v>-16</v>
      </c>
      <c r="R28" s="18" t="s">
        <v>29</v>
      </c>
      <c r="S28" s="17">
        <f>VLOOKUP(R28,ESPNScores!$A$2:$B$133,2,FALSE)</f>
        <v>-14</v>
      </c>
      <c r="V28" s="9"/>
    </row>
    <row r="29" spans="2:23" ht="14.5" x14ac:dyDescent="0.35">
      <c r="B29" s="70" t="str">
        <f>ESPNScores!A4</f>
        <v>Collin Morikawa</v>
      </c>
      <c r="C29" s="70">
        <f>ESPNScores!B4</f>
        <v>-20</v>
      </c>
      <c r="D29" s="38"/>
      <c r="E29" s="13">
        <v>3</v>
      </c>
      <c r="F29" s="18" t="s">
        <v>42</v>
      </c>
      <c r="G29" s="17">
        <f>VLOOKUP(F29,ESPNScores!$A$2:$B$133,2,FALSE)</f>
        <v>10</v>
      </c>
      <c r="H29" s="18" t="s">
        <v>30</v>
      </c>
      <c r="I29" s="17">
        <f>VLOOKUP(H29,ESPNScores!$A$2:$B$133,2,FALSE)</f>
        <v>-15</v>
      </c>
      <c r="J29" s="18" t="s">
        <v>30</v>
      </c>
      <c r="K29" s="17">
        <f>VLOOKUP(J29,ESPNScores!$A$2:$B$133,2,FALSE)</f>
        <v>-15</v>
      </c>
      <c r="L29" s="18" t="s">
        <v>42</v>
      </c>
      <c r="M29" s="17">
        <f>VLOOKUP(L29,ESPNScores!$A$2:$B$133,2,FALSE)</f>
        <v>10</v>
      </c>
      <c r="N29" s="18" t="s">
        <v>30</v>
      </c>
      <c r="O29" s="17">
        <f>VLOOKUP(N29,ESPNScores!$A$2:$B$133,2,FALSE)</f>
        <v>-15</v>
      </c>
      <c r="P29" s="18" t="s">
        <v>30</v>
      </c>
      <c r="Q29" s="17">
        <f>VLOOKUP(P29,ESPNScores!$A$2:$B$133,2,FALSE)</f>
        <v>-15</v>
      </c>
      <c r="R29" s="18" t="s">
        <v>30</v>
      </c>
      <c r="S29" s="17">
        <f>VLOOKUP(R29,ESPNScores!$A$2:$B$133,2,FALSE)</f>
        <v>-15</v>
      </c>
      <c r="V29" s="9"/>
    </row>
    <row r="30" spans="2:23" ht="14.5" x14ac:dyDescent="0.35">
      <c r="B30" s="70" t="str">
        <f>ESPNScores!A5</f>
        <v>Matt Fitzpatrick</v>
      </c>
      <c r="C30" s="70">
        <f>ESPNScores!B5</f>
        <v>-19</v>
      </c>
      <c r="D30" s="38"/>
      <c r="E30" s="13">
        <v>4</v>
      </c>
      <c r="F30" s="18" t="s">
        <v>46</v>
      </c>
      <c r="G30" s="17">
        <f>VLOOKUP(F30,ESPNScores!$A$2:$B$133,2,FALSE)</f>
        <v>-10</v>
      </c>
      <c r="H30" s="18" t="s">
        <v>57</v>
      </c>
      <c r="I30" s="17">
        <f>VLOOKUP(H30,ESPNScores!$A$2:$B$133,2,FALSE)</f>
        <v>-14</v>
      </c>
      <c r="J30" s="18" t="s">
        <v>46</v>
      </c>
      <c r="K30" s="17">
        <f>VLOOKUP(J30,ESPNScores!$A$2:$B$133,2,FALSE)</f>
        <v>-10</v>
      </c>
      <c r="L30" s="18" t="s">
        <v>46</v>
      </c>
      <c r="M30" s="17">
        <f>VLOOKUP(L30,ESPNScores!$A$2:$B$133,2,FALSE)</f>
        <v>-10</v>
      </c>
      <c r="N30" s="18" t="s">
        <v>108</v>
      </c>
      <c r="O30" s="17">
        <f>VLOOKUP(N30,ESPNScores!$A$2:$B$133,2,FALSE)</f>
        <v>-6</v>
      </c>
      <c r="P30" s="18" t="s">
        <v>108</v>
      </c>
      <c r="Q30" s="17">
        <f>VLOOKUP(P30,ESPNScores!$A$2:$B$133,2,FALSE)</f>
        <v>-6</v>
      </c>
      <c r="R30" s="18" t="s">
        <v>57</v>
      </c>
      <c r="S30" s="17">
        <f>VLOOKUP(R30,ESPNScores!$A$2:$B$133,2,FALSE)</f>
        <v>-14</v>
      </c>
      <c r="V30" s="9"/>
    </row>
    <row r="31" spans="2:23" ht="14.5" x14ac:dyDescent="0.35">
      <c r="B31" s="70" t="str">
        <f>ESPNScores!A6</f>
        <v>Wyndham Clark</v>
      </c>
      <c r="C31" s="70">
        <f>ESPNScores!B6</f>
        <v>-18</v>
      </c>
      <c r="D31" s="38"/>
      <c r="E31" s="13">
        <v>5</v>
      </c>
      <c r="F31" s="18" t="s">
        <v>104</v>
      </c>
      <c r="G31" s="17">
        <f>VLOOKUP(F31,ESPNScores!$A$2:$B$133,2,FALSE)</f>
        <v>-6</v>
      </c>
      <c r="H31" s="18" t="s">
        <v>104</v>
      </c>
      <c r="I31" s="17">
        <f>VLOOKUP(H31,ESPNScores!$A$2:$B$133,2,FALSE)</f>
        <v>-6</v>
      </c>
      <c r="J31" s="18" t="s">
        <v>121</v>
      </c>
      <c r="K31" s="17">
        <f>VLOOKUP(J31,ESPNScores!$A$2:$B$133,2,FALSE)</f>
        <v>-11</v>
      </c>
      <c r="L31" s="18" t="s">
        <v>50</v>
      </c>
      <c r="M31" s="17">
        <f>VLOOKUP(L31,ESPNScores!$A$2:$B$133,2,FALSE)</f>
        <v>-8</v>
      </c>
      <c r="N31" s="18" t="s">
        <v>104</v>
      </c>
      <c r="O31" s="17">
        <f>VLOOKUP(N31,ESPNScores!$A$2:$B$133,2,FALSE)</f>
        <v>-6</v>
      </c>
      <c r="P31" s="18" t="s">
        <v>104</v>
      </c>
      <c r="Q31" s="17">
        <f>VLOOKUP(P31,ESPNScores!$A$2:$B$133,2,FALSE)</f>
        <v>-6</v>
      </c>
      <c r="R31" s="18" t="s">
        <v>121</v>
      </c>
      <c r="S31" s="17">
        <f>VLOOKUP(R31,ESPNScores!$A$2:$B$133,2,FALSE)</f>
        <v>-11</v>
      </c>
      <c r="V31" s="29"/>
    </row>
    <row r="32" spans="2:23" ht="14.5" x14ac:dyDescent="0.35">
      <c r="B32" s="70" t="str">
        <f>ESPNScores!A7</f>
        <v>Akshay Bhatia</v>
      </c>
      <c r="C32" s="70">
        <f>ESPNScores!B7</f>
        <v>-18</v>
      </c>
      <c r="D32" s="38"/>
      <c r="E32" s="13">
        <v>6</v>
      </c>
      <c r="F32" s="18" t="s">
        <v>40</v>
      </c>
      <c r="G32" s="17">
        <f>VLOOKUP(F32,ESPNScores!$A$2:$B$133,2,FALSE)</f>
        <v>-15</v>
      </c>
      <c r="H32" s="18" t="s">
        <v>40</v>
      </c>
      <c r="I32" s="17">
        <f>VLOOKUP(H32,ESPNScores!$A$2:$B$133,2,FALSE)</f>
        <v>-15</v>
      </c>
      <c r="J32" s="18" t="s">
        <v>40</v>
      </c>
      <c r="K32" s="17">
        <f>VLOOKUP(J32,ESPNScores!$A$2:$B$133,2,FALSE)</f>
        <v>-15</v>
      </c>
      <c r="L32" s="18" t="s">
        <v>28</v>
      </c>
      <c r="M32" s="17">
        <f>VLOOKUP(L32,ESPNScores!$A$2:$B$133,2,FALSE)</f>
        <v>-12</v>
      </c>
      <c r="N32" s="18" t="s">
        <v>40</v>
      </c>
      <c r="O32" s="17">
        <f>VLOOKUP(N32,ESPNScores!$A$2:$B$133,2,FALSE)</f>
        <v>-15</v>
      </c>
      <c r="P32" s="18" t="s">
        <v>40</v>
      </c>
      <c r="Q32" s="17">
        <f>VLOOKUP(P32,ESPNScores!$A$2:$B$133,2,FALSE)</f>
        <v>-15</v>
      </c>
      <c r="R32" s="18" t="s">
        <v>40</v>
      </c>
      <c r="S32" s="17">
        <f>VLOOKUP(R32,ESPNScores!$A$2:$B$133,2,FALSE)</f>
        <v>-15</v>
      </c>
      <c r="V32" s="9"/>
    </row>
    <row r="33" spans="2:27" ht="14.5" x14ac:dyDescent="0.35">
      <c r="B33" s="70" t="str">
        <f>ESPNScores!A8</f>
        <v>Corey Conners</v>
      </c>
      <c r="C33" s="70">
        <f>ESPNScores!B8</f>
        <v>-17</v>
      </c>
      <c r="D33" s="38"/>
      <c r="E33" s="13">
        <v>7</v>
      </c>
      <c r="F33" s="18" t="s">
        <v>37</v>
      </c>
      <c r="G33" s="17">
        <f>VLOOKUP(F33,ESPNScores!$A$2:$B$133,2,FALSE)</f>
        <v>-20</v>
      </c>
      <c r="H33" s="18" t="s">
        <v>27</v>
      </c>
      <c r="I33" s="17">
        <f>VLOOKUP(H33,ESPNScores!$A$2:$B$133,2,FALSE)</f>
        <v>-14</v>
      </c>
      <c r="J33" s="18" t="s">
        <v>35</v>
      </c>
      <c r="K33" s="17">
        <f>VLOOKUP(J33,ESPNScores!$A$2:$B$133,2,FALSE)</f>
        <v>-17</v>
      </c>
      <c r="L33" s="18" t="s">
        <v>37</v>
      </c>
      <c r="M33" s="17">
        <f>VLOOKUP(L33,ESPNScores!$A$2:$B$133,2,FALSE)</f>
        <v>-20</v>
      </c>
      <c r="N33" s="18" t="s">
        <v>27</v>
      </c>
      <c r="O33" s="17">
        <f>VLOOKUP(N33,ESPNScores!$A$2:$B$133,2,FALSE)</f>
        <v>-14</v>
      </c>
      <c r="P33" s="18" t="s">
        <v>37</v>
      </c>
      <c r="Q33" s="17">
        <f>VLOOKUP(P33,ESPNScores!$A$2:$B$133,2,FALSE)</f>
        <v>-20</v>
      </c>
      <c r="R33" s="18" t="s">
        <v>35</v>
      </c>
      <c r="S33" s="17">
        <f>VLOOKUP(R33,ESPNScores!$A$2:$B$133,2,FALSE)</f>
        <v>-17</v>
      </c>
      <c r="V33" s="9"/>
    </row>
    <row r="34" spans="2:27" ht="14.5" x14ac:dyDescent="0.35">
      <c r="B34" s="18"/>
      <c r="C34" s="17"/>
      <c r="D34" s="38"/>
      <c r="E34" s="13">
        <v>8</v>
      </c>
      <c r="F34" s="18" t="s">
        <v>43</v>
      </c>
      <c r="G34" s="17">
        <f>VLOOKUP(F34,ESPNScores!$A$2:$B$133,2,FALSE)</f>
        <v>-21</v>
      </c>
      <c r="H34" s="18" t="s">
        <v>43</v>
      </c>
      <c r="I34" s="17">
        <f>VLOOKUP(H34,ESPNScores!$A$2:$B$133,2,FALSE)</f>
        <v>-21</v>
      </c>
      <c r="J34" s="18" t="s">
        <v>52</v>
      </c>
      <c r="K34" s="17">
        <f>VLOOKUP(J34,ESPNScores!$A$2:$B$133,2,FALSE)</f>
        <v>-14</v>
      </c>
      <c r="L34" s="18" t="s">
        <v>58</v>
      </c>
      <c r="M34" s="17">
        <f>VLOOKUP(L34,ESPNScores!$A$2:$B$133,2,FALSE)</f>
        <v>-13</v>
      </c>
      <c r="N34" s="18" t="s">
        <v>43</v>
      </c>
      <c r="O34" s="17">
        <f>VLOOKUP(N34,ESPNScores!$A$2:$B$133,2,FALSE)</f>
        <v>-21</v>
      </c>
      <c r="P34" s="18" t="s">
        <v>43</v>
      </c>
      <c r="Q34" s="17">
        <f>VLOOKUP(P34,ESPNScores!$A$2:$B$133,2,FALSE)</f>
        <v>-21</v>
      </c>
      <c r="R34" s="18" t="s">
        <v>58</v>
      </c>
      <c r="S34" s="17">
        <f>VLOOKUP(R34,ESPNScores!$A$2:$B$133,2,FALSE)</f>
        <v>-13</v>
      </c>
      <c r="T34" s="60"/>
      <c r="V34" s="9"/>
    </row>
    <row r="35" spans="2:27" ht="14.5" x14ac:dyDescent="0.35">
      <c r="B35" s="71" t="s">
        <v>138</v>
      </c>
      <c r="C35" s="17"/>
      <c r="D35" s="38"/>
      <c r="E35" s="13">
        <v>9</v>
      </c>
      <c r="F35" s="18" t="s">
        <v>38</v>
      </c>
      <c r="G35" s="17">
        <f>VLOOKUP(F35,ESPNScores!$A$2:$B$133,2,FALSE)</f>
        <v>-12</v>
      </c>
      <c r="H35" s="18" t="s">
        <v>123</v>
      </c>
      <c r="I35" s="17">
        <f>VLOOKUP(H35,ESPNScores!$A$2:$B$133,2,FALSE)</f>
        <v>-7</v>
      </c>
      <c r="J35" s="18" t="s">
        <v>38</v>
      </c>
      <c r="K35" s="17">
        <f>VLOOKUP(J35,ESPNScores!$A$2:$B$133,2,FALSE)</f>
        <v>-12</v>
      </c>
      <c r="L35" s="18" t="s">
        <v>38</v>
      </c>
      <c r="M35" s="17">
        <f>VLOOKUP(L35,ESPNScores!$A$2:$B$133,2,FALSE)</f>
        <v>-12</v>
      </c>
      <c r="N35" s="18" t="s">
        <v>123</v>
      </c>
      <c r="O35" s="17">
        <f>VLOOKUP(N35,ESPNScores!$A$2:$B$133,2,FALSE)</f>
        <v>-7</v>
      </c>
      <c r="P35" s="18" t="s">
        <v>38</v>
      </c>
      <c r="Q35" s="17">
        <f>VLOOKUP(P35,ESPNScores!$A$2:$B$133,2,FALSE)</f>
        <v>-12</v>
      </c>
      <c r="R35" s="18" t="s">
        <v>123</v>
      </c>
      <c r="S35" s="17">
        <f>VLOOKUP(R35,ESPNScores!$A$2:$B$133,2,FALSE)</f>
        <v>-7</v>
      </c>
      <c r="V35" s="9"/>
    </row>
    <row r="36" spans="2:27" ht="14.5" x14ac:dyDescent="0.35">
      <c r="B36" s="72" t="s">
        <v>139</v>
      </c>
      <c r="C36" s="17"/>
      <c r="D36" s="38"/>
      <c r="E36" s="13">
        <v>10</v>
      </c>
      <c r="F36" s="18" t="s">
        <v>74</v>
      </c>
      <c r="G36" s="17">
        <f>VLOOKUP(F36,ESPNScores!$A$2:$B$133,2,FALSE)</f>
        <v>-18</v>
      </c>
      <c r="H36" s="18" t="s">
        <v>109</v>
      </c>
      <c r="I36" s="17">
        <f>VLOOKUP(H36,ESPNScores!$A$2:$B$133,2,FALSE)</f>
        <v>-11</v>
      </c>
      <c r="J36" s="18" t="s">
        <v>34</v>
      </c>
      <c r="K36" s="17">
        <f>VLOOKUP(J36,ESPNScores!$A$2:$B$133,2,FALSE)</f>
        <v>-11</v>
      </c>
      <c r="L36" s="18" t="s">
        <v>34</v>
      </c>
      <c r="M36" s="17">
        <f>VLOOKUP(L36,ESPNScores!$A$2:$B$133,2,FALSE)</f>
        <v>-11</v>
      </c>
      <c r="N36" s="18" t="s">
        <v>74</v>
      </c>
      <c r="O36" s="17">
        <f>VLOOKUP(N36,ESPNScores!$A$2:$B$133,2,FALSE)</f>
        <v>-18</v>
      </c>
      <c r="P36" s="18" t="s">
        <v>74</v>
      </c>
      <c r="Q36" s="17">
        <f>VLOOKUP(P36,ESPNScores!$A$2:$B$133,2,FALSE)</f>
        <v>-18</v>
      </c>
      <c r="R36" s="18" t="s">
        <v>34</v>
      </c>
      <c r="S36" s="17">
        <f>VLOOKUP(R36,ESPNScores!$A$2:$B$133,2,FALSE)</f>
        <v>-11</v>
      </c>
      <c r="V36" s="9"/>
    </row>
    <row r="37" spans="2:27" ht="14.5" x14ac:dyDescent="0.35">
      <c r="B37" s="18"/>
      <c r="C37" s="17"/>
      <c r="D37" s="38"/>
      <c r="E37" s="8"/>
      <c r="F37" s="60"/>
      <c r="G37" s="17"/>
      <c r="H37" s="60"/>
      <c r="I37" s="17"/>
      <c r="J37" s="60"/>
      <c r="K37" s="17"/>
      <c r="L37" s="60"/>
      <c r="M37" s="17"/>
      <c r="N37" s="60"/>
      <c r="O37" s="17"/>
      <c r="P37" s="60"/>
      <c r="Q37" s="17"/>
      <c r="R37" s="60"/>
      <c r="S37" s="17"/>
      <c r="V37" s="9"/>
    </row>
    <row r="38" spans="2:27" ht="14.5" x14ac:dyDescent="0.35">
      <c r="E38" s="8"/>
      <c r="F38" s="60"/>
      <c r="G38" s="17"/>
      <c r="H38" s="60"/>
      <c r="I38" s="17"/>
      <c r="J38" s="60"/>
      <c r="K38" s="17"/>
      <c r="L38" s="60"/>
      <c r="M38" s="17"/>
      <c r="N38" s="60"/>
      <c r="O38" s="17"/>
      <c r="Q38" s="17"/>
      <c r="R38" s="60"/>
      <c r="S38" s="17"/>
      <c r="V38" s="29"/>
    </row>
    <row r="39" spans="2:27" ht="14.5" x14ac:dyDescent="0.35">
      <c r="E39" s="8"/>
      <c r="F39" s="60"/>
      <c r="G39" s="17"/>
      <c r="H39" s="60"/>
      <c r="I39" s="17"/>
      <c r="J39" s="60"/>
      <c r="K39" s="17"/>
      <c r="L39" s="60"/>
      <c r="M39" s="17"/>
      <c r="N39" s="60"/>
      <c r="O39" s="17"/>
      <c r="P39" s="60"/>
      <c r="Q39" s="17"/>
      <c r="R39" s="60"/>
      <c r="S39" s="17"/>
      <c r="V39" s="9"/>
    </row>
    <row r="40" spans="2:27" ht="14.5" x14ac:dyDescent="0.35">
      <c r="E40" s="8"/>
      <c r="F40" s="60"/>
      <c r="G40" s="17"/>
      <c r="H40" s="60"/>
      <c r="I40" s="17"/>
      <c r="J40" s="60"/>
      <c r="K40" s="17"/>
      <c r="L40" s="60"/>
      <c r="M40" s="17"/>
      <c r="N40" s="60"/>
      <c r="O40" s="17"/>
      <c r="P40" s="60"/>
      <c r="Q40" s="17"/>
      <c r="R40" s="60"/>
      <c r="S40" s="17"/>
      <c r="V40" s="9"/>
    </row>
    <row r="41" spans="2:27" ht="13" x14ac:dyDescent="0.3">
      <c r="E41" s="8"/>
      <c r="G41" s="17"/>
      <c r="H41" s="60"/>
      <c r="I41" s="17"/>
      <c r="J41" s="60"/>
      <c r="K41" s="17"/>
      <c r="M41" s="17"/>
      <c r="N41" s="60"/>
      <c r="O41" s="17"/>
      <c r="Q41" s="17"/>
      <c r="R41" s="60"/>
      <c r="S41" s="17"/>
    </row>
    <row r="42" spans="2:27" ht="14.5" x14ac:dyDescent="0.35">
      <c r="E42" s="8"/>
      <c r="F42" s="60"/>
      <c r="G42" s="17"/>
      <c r="H42" s="60"/>
      <c r="I42" s="17"/>
      <c r="J42" s="60"/>
      <c r="K42" s="17"/>
      <c r="L42" s="60"/>
      <c r="M42" s="17"/>
      <c r="N42" s="60"/>
      <c r="O42" s="17"/>
      <c r="P42" s="60"/>
      <c r="Q42" s="17"/>
      <c r="R42" s="28"/>
      <c r="S42" s="17"/>
      <c r="V42" s="9"/>
    </row>
    <row r="43" spans="2:27" ht="14.5" x14ac:dyDescent="0.35">
      <c r="E43" s="8"/>
      <c r="F43" s="60"/>
      <c r="G43" s="17"/>
      <c r="H43" s="60"/>
      <c r="I43" s="17"/>
      <c r="J43" s="60"/>
      <c r="K43" s="17"/>
      <c r="L43" s="60"/>
      <c r="M43" s="17"/>
      <c r="N43" s="60"/>
      <c r="O43" s="17"/>
      <c r="P43" s="60"/>
      <c r="Q43" s="17"/>
      <c r="R43" s="60"/>
      <c r="S43" s="17"/>
      <c r="V43" s="9"/>
    </row>
    <row r="44" spans="2:27" x14ac:dyDescent="0.25">
      <c r="E44"/>
      <c r="G44" s="17"/>
      <c r="I44" s="17"/>
      <c r="K44" s="17"/>
      <c r="M44" s="17"/>
      <c r="O44" s="17"/>
      <c r="Q44" s="17"/>
      <c r="S44" s="17"/>
    </row>
    <row r="45" spans="2:27" x14ac:dyDescent="0.25">
      <c r="E45"/>
      <c r="F45" s="18" t="str">
        <f>F2</f>
        <v>Joe Magnetico</v>
      </c>
      <c r="G45" s="18" t="str">
        <f>H2</f>
        <v>Richard Webster</v>
      </c>
      <c r="H45" s="18" t="str">
        <f>J2</f>
        <v>Dean Nardone</v>
      </c>
      <c r="I45" s="18" t="str">
        <f>L2</f>
        <v>Charlie Adams</v>
      </c>
      <c r="J45" s="18" t="str">
        <f>N2</f>
        <v>Russ Flagg</v>
      </c>
      <c r="K45" s="18" t="str">
        <f>P2</f>
        <v>Gary Casarsa</v>
      </c>
      <c r="L45" s="18" t="str">
        <f>R2</f>
        <v>Halley Ganges</v>
      </c>
      <c r="M45" s="18" t="str">
        <f>T2</f>
        <v>Matt Desai</v>
      </c>
      <c r="N45" s="18" t="str">
        <f>F14</f>
        <v>Mike Coope</v>
      </c>
      <c r="O45" s="18" t="str">
        <f>H14</f>
        <v>Bill Seeger</v>
      </c>
      <c r="P45" s="18" t="str">
        <f>J14</f>
        <v>Laurie Seeger</v>
      </c>
      <c r="Q45" s="18" t="str">
        <f>L14</f>
        <v>Anne Heal</v>
      </c>
      <c r="R45" s="18" t="str">
        <f>N14</f>
        <v>Lorraine McGill</v>
      </c>
      <c r="S45" s="18" t="str">
        <f>P14</f>
        <v>Steve McFadden</v>
      </c>
      <c r="T45" s="18" t="str">
        <f>R14</f>
        <v>Chris Callahan</v>
      </c>
      <c r="U45" s="18" t="str">
        <f>F26</f>
        <v>Sean Christian</v>
      </c>
      <c r="V45" t="str">
        <f>H26</f>
        <v>Mark Brenman</v>
      </c>
      <c r="W45" s="3" t="str">
        <f>J26</f>
        <v>Ken Webster</v>
      </c>
      <c r="X45" t="str">
        <f>L26</f>
        <v>Matt Myers</v>
      </c>
      <c r="Y45" t="str">
        <f>N26</f>
        <v>Damon Chapman</v>
      </c>
      <c r="Z45" t="str">
        <f>P26</f>
        <v>Chris Marinis</v>
      </c>
      <c r="AA45" t="str">
        <f>R26</f>
        <v>Anthony Neville</v>
      </c>
    </row>
    <row r="46" spans="2:27" x14ac:dyDescent="0.25">
      <c r="E46" s="18" t="s">
        <v>55</v>
      </c>
      <c r="F46" s="18">
        <f>G2</f>
        <v>-84</v>
      </c>
      <c r="G46" s="17">
        <f>I2</f>
        <v>-96</v>
      </c>
      <c r="H46" s="18">
        <f>K2</f>
        <v>-91</v>
      </c>
      <c r="I46" s="17">
        <f>M2</f>
        <v>-89</v>
      </c>
      <c r="J46" s="18">
        <f>O2</f>
        <v>-87</v>
      </c>
      <c r="K46" s="17">
        <f>Q2</f>
        <v>-86</v>
      </c>
      <c r="L46" s="18">
        <f>S2</f>
        <v>-91</v>
      </c>
      <c r="M46" s="17">
        <f>U2</f>
        <v>-92</v>
      </c>
      <c r="N46" s="18">
        <f>G14</f>
        <v>-86</v>
      </c>
      <c r="O46" s="17">
        <f>I14</f>
        <v>-83</v>
      </c>
      <c r="P46" s="18">
        <f>K14</f>
        <v>-82</v>
      </c>
      <c r="Q46" s="17" t="e">
        <f>M14</f>
        <v>#N/A</v>
      </c>
      <c r="R46" s="18">
        <f>O14</f>
        <v>-96</v>
      </c>
      <c r="S46" s="17">
        <f>Q14</f>
        <v>-86</v>
      </c>
      <c r="T46" s="18">
        <f>S14</f>
        <v>-95</v>
      </c>
      <c r="U46" s="17">
        <f>G26</f>
        <v>-95</v>
      </c>
      <c r="V46">
        <f>I26</f>
        <v>-86</v>
      </c>
      <c r="W46" s="3">
        <f>K26</f>
        <v>-84</v>
      </c>
      <c r="X46">
        <f>M26</f>
        <v>-80</v>
      </c>
      <c r="Y46">
        <f>O26</f>
        <v>-90</v>
      </c>
      <c r="Z46">
        <f>Q26</f>
        <v>-96</v>
      </c>
      <c r="AA46">
        <f>S26</f>
        <v>-82</v>
      </c>
    </row>
    <row r="47" spans="2:27" x14ac:dyDescent="0.25">
      <c r="E47" s="18" t="s">
        <v>103</v>
      </c>
      <c r="F47" s="18">
        <v>-16</v>
      </c>
      <c r="G47" s="18">
        <v>-19</v>
      </c>
      <c r="H47" s="18">
        <v>-23</v>
      </c>
      <c r="I47" s="17">
        <v>-11</v>
      </c>
      <c r="J47" s="18">
        <v>-14</v>
      </c>
      <c r="K47" s="17">
        <v>-17</v>
      </c>
      <c r="L47" s="18">
        <v>-9</v>
      </c>
      <c r="M47" s="17">
        <v>-19</v>
      </c>
      <c r="N47" s="18">
        <v>-12</v>
      </c>
      <c r="O47" s="17">
        <v>-18</v>
      </c>
      <c r="P47" s="18">
        <v>-16</v>
      </c>
      <c r="Q47" s="17">
        <v>-13</v>
      </c>
      <c r="R47" s="18">
        <v>-12</v>
      </c>
      <c r="S47" s="17">
        <v>-19</v>
      </c>
      <c r="T47" s="18">
        <v>-17</v>
      </c>
      <c r="U47" s="17">
        <v>-14</v>
      </c>
      <c r="V47">
        <v>-11</v>
      </c>
      <c r="W47" s="3">
        <v>-17</v>
      </c>
      <c r="X47">
        <v>-11</v>
      </c>
      <c r="Y47">
        <v>-18</v>
      </c>
      <c r="Z47">
        <v>-10</v>
      </c>
      <c r="AA47">
        <v>-12</v>
      </c>
    </row>
    <row r="48" spans="2:27" x14ac:dyDescent="0.25">
      <c r="E48"/>
      <c r="G48" s="18"/>
      <c r="I48" s="18"/>
      <c r="M48" s="17"/>
      <c r="O48" s="17"/>
      <c r="Q48" s="17"/>
      <c r="S48" s="17"/>
    </row>
    <row r="49" spans="5:19" x14ac:dyDescent="0.25">
      <c r="E49"/>
      <c r="G49" s="18"/>
      <c r="I49" s="18"/>
      <c r="M49" s="17"/>
      <c r="O49" s="17"/>
      <c r="Q49" s="17"/>
      <c r="S49" s="17"/>
    </row>
    <row r="50" spans="5:19" x14ac:dyDescent="0.25">
      <c r="G50" s="18"/>
      <c r="I50" s="18"/>
    </row>
    <row r="51" spans="5:19" x14ac:dyDescent="0.25">
      <c r="G51" s="18"/>
      <c r="I51" s="18"/>
    </row>
    <row r="52" spans="5:19" x14ac:dyDescent="0.25">
      <c r="G52" s="18"/>
      <c r="I52" s="18"/>
    </row>
    <row r="53" spans="5:19" x14ac:dyDescent="0.25">
      <c r="G53" s="18"/>
      <c r="I53" s="18"/>
    </row>
    <row r="54" spans="5:19" x14ac:dyDescent="0.25">
      <c r="G54" s="18"/>
      <c r="I54" s="18"/>
    </row>
    <row r="55" spans="5:19" x14ac:dyDescent="0.25">
      <c r="G55" s="18"/>
      <c r="I55" s="18"/>
    </row>
    <row r="56" spans="5:19" x14ac:dyDescent="0.25">
      <c r="G56" s="18"/>
      <c r="I56" s="18"/>
    </row>
    <row r="57" spans="5:19" x14ac:dyDescent="0.25">
      <c r="F57" s="19"/>
      <c r="G57" s="18"/>
      <c r="I57" s="18"/>
    </row>
    <row r="58" spans="5:19" x14ac:dyDescent="0.25">
      <c r="G58" s="18"/>
      <c r="I58" s="18"/>
    </row>
    <row r="59" spans="5:19" x14ac:dyDescent="0.25">
      <c r="G59" s="18"/>
      <c r="I59" s="18"/>
    </row>
    <row r="60" spans="5:19" x14ac:dyDescent="0.25">
      <c r="G60" s="18"/>
      <c r="I60" s="18"/>
    </row>
    <row r="61" spans="5:19" x14ac:dyDescent="0.25">
      <c r="G61" s="18"/>
      <c r="I61" s="18"/>
    </row>
    <row r="62" spans="5:19" x14ac:dyDescent="0.25">
      <c r="G62" s="18"/>
      <c r="I62" s="18"/>
    </row>
    <row r="63" spans="5:19" x14ac:dyDescent="0.25">
      <c r="G63" s="18"/>
      <c r="I63" s="18"/>
    </row>
    <row r="64" spans="5:19" x14ac:dyDescent="0.25">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sheetData>
  <conditionalFormatting sqref="G3:G12">
    <cfRule type="cellIs" dxfId="59" priority="48" operator="equal">
      <formula>50</formula>
    </cfRule>
  </conditionalFormatting>
  <conditionalFormatting sqref="I3:I12">
    <cfRule type="cellIs" dxfId="58" priority="25" operator="equal">
      <formula>50</formula>
    </cfRule>
  </conditionalFormatting>
  <conditionalFormatting sqref="K3:K12">
    <cfRule type="cellIs" dxfId="57" priority="24" operator="equal">
      <formula>50</formula>
    </cfRule>
  </conditionalFormatting>
  <conditionalFormatting sqref="M3:M12">
    <cfRule type="cellIs" dxfId="56" priority="23" operator="equal">
      <formula>50</formula>
    </cfRule>
  </conditionalFormatting>
  <conditionalFormatting sqref="O3:O12">
    <cfRule type="cellIs" dxfId="55" priority="22" operator="equal">
      <formula>50</formula>
    </cfRule>
  </conditionalFormatting>
  <conditionalFormatting sqref="Q3:Q12">
    <cfRule type="cellIs" dxfId="54" priority="21" operator="equal">
      <formula>50</formula>
    </cfRule>
  </conditionalFormatting>
  <conditionalFormatting sqref="S3:S12">
    <cfRule type="cellIs" dxfId="53" priority="20" operator="equal">
      <formula>50</formula>
    </cfRule>
  </conditionalFormatting>
  <conditionalFormatting sqref="U3:U12">
    <cfRule type="cellIs" dxfId="52" priority="19" operator="equal">
      <formula>50</formula>
    </cfRule>
  </conditionalFormatting>
  <conditionalFormatting sqref="U15:U24">
    <cfRule type="cellIs" dxfId="51" priority="18" operator="equal">
      <formula>50</formula>
    </cfRule>
  </conditionalFormatting>
  <conditionalFormatting sqref="S15:S24">
    <cfRule type="cellIs" dxfId="50" priority="17" operator="equal">
      <formula>50</formula>
    </cfRule>
  </conditionalFormatting>
  <conditionalFormatting sqref="Q15:Q24">
    <cfRule type="cellIs" dxfId="49" priority="16" operator="equal">
      <formula>50</formula>
    </cfRule>
  </conditionalFormatting>
  <conditionalFormatting sqref="O15:O24">
    <cfRule type="cellIs" dxfId="48" priority="15" operator="equal">
      <formula>50</formula>
    </cfRule>
  </conditionalFormatting>
  <conditionalFormatting sqref="M15:M24">
    <cfRule type="cellIs" dxfId="47" priority="14" operator="equal">
      <formula>50</formula>
    </cfRule>
  </conditionalFormatting>
  <conditionalFormatting sqref="K15:K24">
    <cfRule type="cellIs" dxfId="46" priority="11" operator="equal">
      <formula>50</formula>
    </cfRule>
  </conditionalFormatting>
  <conditionalFormatting sqref="I15:I24">
    <cfRule type="cellIs" dxfId="45" priority="10" operator="equal">
      <formula>50</formula>
    </cfRule>
  </conditionalFormatting>
  <conditionalFormatting sqref="G15:G24">
    <cfRule type="cellIs" dxfId="44" priority="9" operator="equal">
      <formula>50</formula>
    </cfRule>
  </conditionalFormatting>
  <conditionalFormatting sqref="G27:G36">
    <cfRule type="cellIs" dxfId="43" priority="8" operator="equal">
      <formula>50</formula>
    </cfRule>
  </conditionalFormatting>
  <conditionalFormatting sqref="I27:I36">
    <cfRule type="cellIs" dxfId="42" priority="7" operator="equal">
      <formula>50</formula>
    </cfRule>
  </conditionalFormatting>
  <conditionalFormatting sqref="K27:K36">
    <cfRule type="cellIs" dxfId="41" priority="6" operator="equal">
      <formula>50</formula>
    </cfRule>
  </conditionalFormatting>
  <conditionalFormatting sqref="M27:M36">
    <cfRule type="cellIs" dxfId="40" priority="5" operator="equal">
      <formula>50</formula>
    </cfRule>
  </conditionalFormatting>
  <conditionalFormatting sqref="O27:O36">
    <cfRule type="cellIs" dxfId="39" priority="4" operator="equal">
      <formula>50</formula>
    </cfRule>
  </conditionalFormatting>
  <conditionalFormatting sqref="Q27:Q36">
    <cfRule type="cellIs" dxfId="38" priority="3" operator="equal">
      <formula>50</formula>
    </cfRule>
  </conditionalFormatting>
  <conditionalFormatting sqref="S27:S36">
    <cfRule type="cellIs" dxfId="37" priority="2" operator="equal">
      <formula>50</formula>
    </cfRule>
  </conditionalFormatting>
  <conditionalFormatting sqref="D2:D7">
    <cfRule type="expression" dxfId="36" priority="1">
      <formula>WEEKDAY(TODAY()) =1</formula>
    </cfRule>
  </conditionalFormatting>
  <hyperlinks>
    <hyperlink ref="B26" r:id="rId1" xr:uid="{D0AA4546-5004-4B1F-911B-2F0670F2C5CC}"/>
    <hyperlink ref="B35" r:id="rId2" display="Updated from espn.com" xr:uid="{BC59CCE7-F72D-44B7-B9E8-CA8E4B5372EB}"/>
    <hyperlink ref="G1" r:id="rId3" display="NEW!  Click here to see how the leaderboard has changed!" xr:uid="{8115AEE1-5B71-4039-BED0-AFED67E8D1C3}"/>
  </hyperlinks>
  <pageMargins left="0.7" right="0.7" top="0.75" bottom="0.75" header="0.3" footer="0.3"/>
  <pageSetup orientation="portrait" r:id="rId4"/>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8EADF758-4DFC-4976-B490-E8BCA34FCAFF}">
          <x14:formula1>
            <xm:f>'Final 30'!$C$5:$E$5</xm:f>
          </x14:formula1>
          <xm:sqref>F5 R29 P29 N29 L29 J29 H29 F29 F17 H17 J17 L17 N17 P17 R17 T17 T5 R5 P5 N5 L5 J5 H5</xm:sqref>
        </x14:dataValidation>
        <x14:dataValidation type="list" allowBlank="1" showInputMessage="1" showErrorMessage="1" xr:uid="{13C3663C-9CFA-41CD-AFCF-D44F6C4AE3C0}">
          <x14:formula1>
            <xm:f>'Final 30'!$C$8:$E$8</xm:f>
          </x14:formula1>
          <xm:sqref>F8 R32 H8 J8 L8 T39 N8 P32 T8 R8 T20 R20 P20 N32 J20 N20 P8 F20 L20 J32 F32 L32 H32 V32 T32 R39 P39 F39 L39 H39 N39 J39 V39 H20</xm:sqref>
        </x14:dataValidation>
        <x14:dataValidation type="list" allowBlank="1" showInputMessage="1" showErrorMessage="1" xr:uid="{3D472122-D78A-4669-8A87-9E7D754EFB13}">
          <x14:formula1>
            <xm:f>'Final 30'!$C$11:$E$11</xm:f>
          </x14:formula1>
          <xm:sqref>H11 R35 H42:H43 J42:J43 L42:L43 N42:N43 P42:P43 R42:R43 T42:T43 V42:V43 V35:V36 T35:T36 N35 P23 J35 H35 F35 F23 H23 J23 F11 N23 L23 R23 T23 F42:F43 P35 T11 L35 P11 N11 L11 J11 R11</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EB0F033F-F0C0-4423-95CD-52AACF672C34}">
          <x14:formula1>
            <xm:f>'Final 30'!$C$7:$E$7</xm:f>
          </x14:formula1>
          <xm:sqref>F7 R31 H7 J7 R19 N7 L31 R7 N31 L7 T7 V38 P19 N19 L19 F19 P31 P7 J31 F31 T19 J19 H31 T31 V31 N38 F38 L38 H38 J38 R38 P38 T38 H19</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I83"/>
  <sheetViews>
    <sheetView zoomScaleNormal="100" workbookViewId="0"/>
  </sheetViews>
  <sheetFormatPr defaultColWidth="8.54296875" defaultRowHeight="12.5" x14ac:dyDescent="0.25"/>
  <cols>
    <col min="1" max="1" width="2.81640625" customWidth="1"/>
    <col min="2" max="2" width="17.54296875" style="18" customWidth="1"/>
    <col min="3" max="3" width="5.1796875" style="17" customWidth="1"/>
    <col min="4" max="4" width="5.453125" style="17" customWidth="1"/>
    <col min="5" max="5" width="6.54296875" style="17" customWidth="1"/>
    <col min="6" max="6" width="19.1796875" style="18" customWidth="1"/>
    <col min="7" max="7" width="8.54296875" style="61" customWidth="1"/>
    <col min="8" max="8" width="19.54296875" style="18" bestFit="1" customWidth="1"/>
    <col min="9" max="9" width="8.54296875" style="61"/>
    <col min="10" max="10" width="19.54296875" style="18" customWidth="1"/>
    <col min="11" max="11" width="8.54296875" style="61"/>
    <col min="12" max="12" width="20.453125" style="18" customWidth="1"/>
    <col min="13" max="13" width="8.54296875" style="61"/>
    <col min="14" max="14" width="18.453125" style="18" customWidth="1"/>
    <col min="15" max="15" width="8.54296875" style="61"/>
    <col min="16" max="16" width="19.453125" style="18" customWidth="1"/>
    <col min="17" max="17" width="8.54296875" style="61"/>
    <col min="18" max="18" width="20.453125" style="18" customWidth="1"/>
    <col min="19" max="19" width="8.54296875" style="61"/>
    <col min="20" max="20" width="19.453125" style="18" customWidth="1"/>
    <col min="21" max="21" width="8.54296875" style="17"/>
    <col min="22" max="22" width="19.453125" customWidth="1"/>
    <col min="23" max="23" width="8.54296875" style="3"/>
  </cols>
  <sheetData>
    <row r="1" spans="1:21" ht="22.75" customHeight="1" x14ac:dyDescent="0.25">
      <c r="A1" s="15"/>
      <c r="B1" s="87" t="s">
        <v>102</v>
      </c>
      <c r="C1" s="101" t="s">
        <v>140</v>
      </c>
      <c r="D1" s="101"/>
      <c r="E1" s="90"/>
      <c r="G1" s="98" t="s">
        <v>136</v>
      </c>
    </row>
    <row r="2" spans="1:21" s="7" customFormat="1" ht="13" x14ac:dyDescent="0.3">
      <c r="B2" s="41" t="s">
        <v>1</v>
      </c>
      <c r="C2" s="42"/>
      <c r="D2" s="57" t="s">
        <v>68</v>
      </c>
      <c r="E2" s="12"/>
      <c r="F2" s="10" t="s">
        <v>76</v>
      </c>
      <c r="G2" s="11">
        <f>SMALL(G3:G12,1)+SMALL(G3:G12,2)+SMALL(G3:G12,3)+SMALL(G3:G12,4)+SMALL(G3:G12,5)</f>
        <v>-96</v>
      </c>
      <c r="H2" s="10" t="s">
        <v>77</v>
      </c>
      <c r="I2" s="11">
        <f>SMALL(I3:I12,1)+SMALL(I3:I12,2)+SMALL(I3:I12,3)+SMALL(I3:I12,4)+SMALL(I3:I12,5)</f>
        <v>-92</v>
      </c>
      <c r="J2" s="10" t="s">
        <v>78</v>
      </c>
      <c r="K2" s="11">
        <f>SMALL(K3:K12,1)+SMALL(K3:K12,2)+SMALL(K3:K12,3)+SMALL(K3:K12,4)+SMALL(K3:K12,5)</f>
        <v>-86</v>
      </c>
      <c r="L2" s="10" t="s">
        <v>79</v>
      </c>
      <c r="M2" s="11">
        <f>SMALL(M3:M12,1)+SMALL(M3:M12,2)+SMALL(M3:M12,3)+SMALL(M3:M12,4)+SMALL(M3:M12,5)</f>
        <v>-92</v>
      </c>
      <c r="N2" s="10" t="s">
        <v>80</v>
      </c>
      <c r="O2" s="11">
        <f>SMALL(O3:O12,1)+SMALL(O3:O12,2)+SMALL(O3:O12,3)+SMALL(O3:O12,4)+SMALL(O3:O12,5)</f>
        <v>-90</v>
      </c>
      <c r="P2" s="10" t="s">
        <v>81</v>
      </c>
      <c r="Q2" s="11">
        <f>SMALL(Q3:Q12,1)+SMALL(Q3:Q12,2)+SMALL(Q3:Q12,3)+SMALL(Q3:Q12,4)+SMALL(Q3:Q12,5)</f>
        <v>-83</v>
      </c>
      <c r="R2" s="10" t="s">
        <v>82</v>
      </c>
      <c r="S2" s="11" t="e">
        <f>SMALL(S3:S12,1)+SMALL(S3:S12,2)+SMALL(S3:S12,3)+SMALL(S3:S12,4)+SMALL(S3:S12,5)</f>
        <v>#N/A</v>
      </c>
      <c r="T2" s="10" t="s">
        <v>83</v>
      </c>
      <c r="U2" s="11">
        <f>SMALL(U3:U12,1)+SMALL(U3:U12,2)+SMALL(U3:U12,3)+SMALL(U3:U12,4)+SMALL(U3:U12,5)</f>
        <v>-86</v>
      </c>
    </row>
    <row r="3" spans="1:21" ht="13" x14ac:dyDescent="0.3">
      <c r="B3" s="43" t="str" cm="1">
        <f t="array" ref="B3:C32">TRANSPOSE(_xlfn._xlws.SORT(F50:AI51,2,1,TRUE))</f>
        <v>Webster</v>
      </c>
      <c r="C3" s="44">
        <v>-96</v>
      </c>
      <c r="D3" s="58">
        <f>HLOOKUP(B3,$F$50:$AH$52,3,)</f>
        <v>-6</v>
      </c>
      <c r="E3" s="13">
        <v>1</v>
      </c>
      <c r="F3" s="18" t="s">
        <v>24</v>
      </c>
      <c r="G3" s="17">
        <f>VLOOKUP(F3,ESPNScores!$A$2:$B$133,2,FALSE)</f>
        <v>-21</v>
      </c>
      <c r="H3" s="18" t="s">
        <v>24</v>
      </c>
      <c r="I3" s="17">
        <f>VLOOKUP(H3,ESPNScores!$A$2:$B$133,2,FALSE)</f>
        <v>-21</v>
      </c>
      <c r="J3" s="18" t="s">
        <v>24</v>
      </c>
      <c r="K3" s="17">
        <f>VLOOKUP(J3,ESPNScores!$A$2:$B$133,2,FALSE)</f>
        <v>-21</v>
      </c>
      <c r="L3" s="18" t="s">
        <v>24</v>
      </c>
      <c r="M3" s="17">
        <f>VLOOKUP(L3,ESPNScores!$A$2:$B$133,2,FALSE)</f>
        <v>-21</v>
      </c>
      <c r="N3" s="18" t="s">
        <v>24</v>
      </c>
      <c r="O3" s="17">
        <f>VLOOKUP(N3,ESPNScores!$A$2:$B$133,2,FALSE)</f>
        <v>-21</v>
      </c>
      <c r="P3" s="18" t="s">
        <v>24</v>
      </c>
      <c r="Q3" s="17">
        <f>VLOOKUP(P3,ESPNScores!$A$2:$B$133,2,FALSE)</f>
        <v>-21</v>
      </c>
      <c r="R3" s="18" t="s">
        <v>25</v>
      </c>
      <c r="S3" s="17" t="e">
        <f>VLOOKUP(R3,ESPNScores!$A$2:$B$133,2,FALSE)</f>
        <v>#N/A</v>
      </c>
      <c r="T3" s="18" t="s">
        <v>24</v>
      </c>
      <c r="U3" s="17">
        <f>VLOOKUP(T3,ESPNScores!$A$2:$B$133,2,FALSE)</f>
        <v>-21</v>
      </c>
    </row>
    <row r="4" spans="1:21" ht="13" x14ac:dyDescent="0.3">
      <c r="B4" s="43" t="str">
        <v>Howell</v>
      </c>
      <c r="C4" s="44">
        <v>-95</v>
      </c>
      <c r="D4" s="58">
        <f>HLOOKUP(B4,$F$50:$AH$52,3,)</f>
        <v>-4</v>
      </c>
      <c r="E4" s="13">
        <v>2</v>
      </c>
      <c r="F4" s="18" t="s">
        <v>47</v>
      </c>
      <c r="G4" s="17">
        <f>VLOOKUP(F4,ESPNScores!$A$2:$B$133,2,FALSE)</f>
        <v>-12</v>
      </c>
      <c r="H4" s="18" t="s">
        <v>29</v>
      </c>
      <c r="I4" s="17">
        <f>VLOOKUP(H4,ESPNScores!$A$2:$B$133,2,FALSE)</f>
        <v>-14</v>
      </c>
      <c r="J4" s="18" t="s">
        <v>47</v>
      </c>
      <c r="K4" s="17">
        <f>VLOOKUP(J4,ESPNScores!$A$2:$B$133,2,FALSE)</f>
        <v>-12</v>
      </c>
      <c r="L4" s="18" t="s">
        <v>29</v>
      </c>
      <c r="M4" s="17">
        <f>VLOOKUP(L4,ESPNScores!$A$2:$B$133,2,FALSE)</f>
        <v>-14</v>
      </c>
      <c r="N4" s="18" t="s">
        <v>29</v>
      </c>
      <c r="O4" s="17">
        <f>VLOOKUP(N4,ESPNScores!$A$2:$B$133,2,FALSE)</f>
        <v>-14</v>
      </c>
      <c r="P4" s="18" t="s">
        <v>29</v>
      </c>
      <c r="Q4" s="17">
        <f>VLOOKUP(P4,ESPNScores!$A$2:$B$133,2,FALSE)</f>
        <v>-14</v>
      </c>
      <c r="R4" s="18" t="s">
        <v>73</v>
      </c>
      <c r="S4" s="17">
        <f>VLOOKUP(R4,ESPNScores!$A$2:$B$133,2,FALSE)</f>
        <v>-16</v>
      </c>
      <c r="T4" s="18" t="s">
        <v>29</v>
      </c>
      <c r="U4" s="17">
        <f>VLOOKUP(T4,ESPNScores!$A$2:$B$133,2,FALSE)</f>
        <v>-14</v>
      </c>
    </row>
    <row r="5" spans="1:21" ht="13" x14ac:dyDescent="0.3">
      <c r="B5" s="43" t="str">
        <v>Balme</v>
      </c>
      <c r="C5" s="44">
        <v>-94</v>
      </c>
      <c r="D5" s="58">
        <f>HLOOKUP(B5,$F$50:$AH$52,3,)</f>
        <v>-14</v>
      </c>
      <c r="E5" s="13">
        <v>3</v>
      </c>
      <c r="F5" s="18" t="s">
        <v>67</v>
      </c>
      <c r="G5" s="17">
        <f>VLOOKUP(F5,ESPNScores!$A$2:$B$133,2,FALSE)</f>
        <v>-16</v>
      </c>
      <c r="H5" s="18" t="s">
        <v>67</v>
      </c>
      <c r="I5" s="17">
        <f>VLOOKUP(H5,ESPNScores!$A$2:$B$133,2,FALSE)</f>
        <v>-16</v>
      </c>
      <c r="J5" s="18" t="s">
        <v>42</v>
      </c>
      <c r="K5" s="17">
        <f>VLOOKUP(J5,ESPNScores!$A$2:$B$133,2,FALSE)</f>
        <v>10</v>
      </c>
      <c r="L5" s="18" t="s">
        <v>67</v>
      </c>
      <c r="M5" s="17">
        <f>VLOOKUP(L5,ESPNScores!$A$2:$B$133,2,FALSE)</f>
        <v>-16</v>
      </c>
      <c r="N5" s="18" t="s">
        <v>30</v>
      </c>
      <c r="O5" s="17">
        <f>VLOOKUP(N5,ESPNScores!$A$2:$B$133,2,FALSE)</f>
        <v>-15</v>
      </c>
      <c r="P5" s="18" t="s">
        <v>42</v>
      </c>
      <c r="Q5" s="17">
        <f>VLOOKUP(P5,ESPNScores!$A$2:$B$133,2,FALSE)</f>
        <v>10</v>
      </c>
      <c r="R5" s="18" t="s">
        <v>30</v>
      </c>
      <c r="S5" s="17">
        <f>VLOOKUP(R5,ESPNScores!$A$2:$B$133,2,FALSE)</f>
        <v>-15</v>
      </c>
      <c r="T5" s="18" t="s">
        <v>30</v>
      </c>
      <c r="U5" s="17">
        <f>VLOOKUP(T5,ESPNScores!$A$2:$B$133,2,FALSE)</f>
        <v>-15</v>
      </c>
    </row>
    <row r="6" spans="1:21" ht="13" x14ac:dyDescent="0.3">
      <c r="B6" s="43" t="str">
        <v>Rush</v>
      </c>
      <c r="C6" s="44">
        <v>-93</v>
      </c>
      <c r="D6" s="58" t="str">
        <f>HLOOKUP(B6,$F$50:$AH$52,3,)</f>
        <v>Even Par</v>
      </c>
      <c r="E6" s="13">
        <v>4</v>
      </c>
      <c r="F6" s="18" t="s">
        <v>46</v>
      </c>
      <c r="G6" s="17">
        <f>VLOOKUP(F6,ESPNScores!$A$2:$B$133,2,FALSE)</f>
        <v>-10</v>
      </c>
      <c r="H6" s="18" t="s">
        <v>108</v>
      </c>
      <c r="I6" s="17">
        <f>VLOOKUP(H6,ESPNScores!$A$2:$B$133,2,FALSE)</f>
        <v>-6</v>
      </c>
      <c r="J6" s="18" t="s">
        <v>108</v>
      </c>
      <c r="K6" s="17">
        <f>VLOOKUP(J6,ESPNScores!$A$2:$B$133,2,FALSE)</f>
        <v>-6</v>
      </c>
      <c r="L6" s="18" t="s">
        <v>46</v>
      </c>
      <c r="M6" s="17">
        <f>VLOOKUP(L6,ESPNScores!$A$2:$B$133,2,FALSE)</f>
        <v>-10</v>
      </c>
      <c r="N6" s="18" t="s">
        <v>108</v>
      </c>
      <c r="O6" s="17">
        <f>VLOOKUP(N6,ESPNScores!$A$2:$B$133,2,FALSE)</f>
        <v>-6</v>
      </c>
      <c r="P6" s="18" t="s">
        <v>46</v>
      </c>
      <c r="Q6" s="17">
        <f>VLOOKUP(P6,ESPNScores!$A$2:$B$133,2,FALSE)</f>
        <v>-10</v>
      </c>
      <c r="R6" s="18" t="s">
        <v>108</v>
      </c>
      <c r="S6" s="17">
        <f>VLOOKUP(R6,ESPNScores!$A$2:$B$133,2,FALSE)</f>
        <v>-6</v>
      </c>
      <c r="T6" s="18" t="s">
        <v>57</v>
      </c>
      <c r="U6" s="17">
        <f>VLOOKUP(T6,ESPNScores!$A$2:$B$133,2,FALSE)</f>
        <v>-14</v>
      </c>
    </row>
    <row r="7" spans="1:21" ht="13" x14ac:dyDescent="0.3">
      <c r="B7" s="43" t="str">
        <v>Bernau</v>
      </c>
      <c r="C7" s="44">
        <v>-93</v>
      </c>
      <c r="D7" s="58">
        <f>HLOOKUP(B7,$F$50:$AH$52,3,)</f>
        <v>-18</v>
      </c>
      <c r="E7" s="13">
        <v>5</v>
      </c>
      <c r="F7" s="18" t="s">
        <v>104</v>
      </c>
      <c r="G7" s="17">
        <f>VLOOKUP(F7,ESPNScores!$A$2:$B$133,2,FALSE)</f>
        <v>-6</v>
      </c>
      <c r="H7" s="18" t="s">
        <v>104</v>
      </c>
      <c r="I7" s="17">
        <f>VLOOKUP(H7,ESPNScores!$A$2:$B$133,2,FALSE)</f>
        <v>-6</v>
      </c>
      <c r="J7" s="18" t="s">
        <v>121</v>
      </c>
      <c r="K7" s="17">
        <f>VLOOKUP(J7,ESPNScores!$A$2:$B$133,2,FALSE)</f>
        <v>-11</v>
      </c>
      <c r="L7" s="18" t="s">
        <v>104</v>
      </c>
      <c r="M7" s="17">
        <f>VLOOKUP(L7,ESPNScores!$A$2:$B$133,2,FALSE)</f>
        <v>-6</v>
      </c>
      <c r="N7" s="18" t="s">
        <v>104</v>
      </c>
      <c r="O7" s="17">
        <f>VLOOKUP(N7,ESPNScores!$A$2:$B$133,2,FALSE)</f>
        <v>-6</v>
      </c>
      <c r="P7" s="18" t="s">
        <v>104</v>
      </c>
      <c r="Q7" s="17">
        <f>VLOOKUP(P7,ESPNScores!$A$2:$B$133,2,FALSE)</f>
        <v>-6</v>
      </c>
      <c r="R7" s="18" t="s">
        <v>104</v>
      </c>
      <c r="S7" s="17">
        <f>VLOOKUP(R7,ESPNScores!$A$2:$B$133,2,FALSE)</f>
        <v>-6</v>
      </c>
      <c r="T7" s="18" t="s">
        <v>104</v>
      </c>
      <c r="U7" s="17">
        <f>VLOOKUP(T7,ESPNScores!$A$2:$B$133,2,FALSE)</f>
        <v>-6</v>
      </c>
    </row>
    <row r="8" spans="1:21" ht="13" x14ac:dyDescent="0.3">
      <c r="B8" s="43" t="str">
        <v>Weiss</v>
      </c>
      <c r="C8" s="44">
        <v>-93</v>
      </c>
      <c r="D8" s="58"/>
      <c r="E8" s="13">
        <v>6</v>
      </c>
      <c r="F8" s="18" t="s">
        <v>40</v>
      </c>
      <c r="G8" s="17">
        <f>VLOOKUP(F8,ESPNScores!$A$2:$B$133,2,FALSE)</f>
        <v>-15</v>
      </c>
      <c r="H8" s="18" t="s">
        <v>44</v>
      </c>
      <c r="I8" s="17">
        <f>VLOOKUP(H8,ESPNScores!$A$2:$B$133,2,FALSE)</f>
        <v>-14</v>
      </c>
      <c r="J8" s="18" t="s">
        <v>40</v>
      </c>
      <c r="K8" s="17">
        <f>VLOOKUP(J8,ESPNScores!$A$2:$B$133,2,FALSE)</f>
        <v>-15</v>
      </c>
      <c r="L8" s="18" t="s">
        <v>28</v>
      </c>
      <c r="M8" s="17">
        <f>VLOOKUP(L8,ESPNScores!$A$2:$B$133,2,FALSE)</f>
        <v>-12</v>
      </c>
      <c r="N8" s="18" t="s">
        <v>40</v>
      </c>
      <c r="O8" s="17">
        <f>VLOOKUP(N8,ESPNScores!$A$2:$B$133,2,FALSE)</f>
        <v>-15</v>
      </c>
      <c r="P8" s="18" t="s">
        <v>44</v>
      </c>
      <c r="Q8" s="17">
        <f>VLOOKUP(P8,ESPNScores!$A$2:$B$133,2,FALSE)</f>
        <v>-14</v>
      </c>
      <c r="R8" s="18" t="s">
        <v>40</v>
      </c>
      <c r="S8" s="17">
        <f>VLOOKUP(R8,ESPNScores!$A$2:$B$133,2,FALSE)</f>
        <v>-15</v>
      </c>
      <c r="T8" s="18" t="s">
        <v>40</v>
      </c>
      <c r="U8" s="17">
        <f>VLOOKUP(T8,ESPNScores!$A$2:$B$133,2,FALSE)</f>
        <v>-15</v>
      </c>
    </row>
    <row r="9" spans="1:21" ht="13" x14ac:dyDescent="0.3">
      <c r="B9" s="43" t="str">
        <v>Mattson</v>
      </c>
      <c r="C9" s="44">
        <v>-92</v>
      </c>
      <c r="D9" s="58"/>
      <c r="E9" s="13">
        <v>7</v>
      </c>
      <c r="F9" s="18" t="s">
        <v>37</v>
      </c>
      <c r="G9" s="17">
        <f>VLOOKUP(F9,ESPNScores!$A$2:$B$133,2,FALSE)</f>
        <v>-20</v>
      </c>
      <c r="H9" s="18" t="s">
        <v>37</v>
      </c>
      <c r="I9" s="17">
        <f>VLOOKUP(H9,ESPNScores!$A$2:$B$133,2,FALSE)</f>
        <v>-20</v>
      </c>
      <c r="J9" s="18" t="s">
        <v>35</v>
      </c>
      <c r="K9" s="17">
        <f>VLOOKUP(J9,ESPNScores!$A$2:$B$133,2,FALSE)</f>
        <v>-17</v>
      </c>
      <c r="L9" s="18" t="s">
        <v>37</v>
      </c>
      <c r="M9" s="17">
        <f>VLOOKUP(L9,ESPNScores!$A$2:$B$133,2,FALSE)</f>
        <v>-20</v>
      </c>
      <c r="N9" s="18" t="s">
        <v>27</v>
      </c>
      <c r="O9" s="17">
        <f>VLOOKUP(N9,ESPNScores!$A$2:$B$133,2,FALSE)</f>
        <v>-14</v>
      </c>
      <c r="P9" s="18" t="s">
        <v>37</v>
      </c>
      <c r="Q9" s="17">
        <f>VLOOKUP(P9,ESPNScores!$A$2:$B$133,2,FALSE)</f>
        <v>-20</v>
      </c>
      <c r="R9" s="18" t="s">
        <v>35</v>
      </c>
      <c r="S9" s="17">
        <f>VLOOKUP(R9,ESPNScores!$A$2:$B$133,2,FALSE)</f>
        <v>-17</v>
      </c>
      <c r="T9" s="18" t="s">
        <v>27</v>
      </c>
      <c r="U9" s="17">
        <f>VLOOKUP(T9,ESPNScores!$A$2:$B$133,2,FALSE)</f>
        <v>-14</v>
      </c>
    </row>
    <row r="10" spans="1:21" ht="13" x14ac:dyDescent="0.3">
      <c r="B10" s="43" t="str">
        <v>Donasky</v>
      </c>
      <c r="C10" s="44">
        <v>-92</v>
      </c>
      <c r="D10" s="58"/>
      <c r="E10" s="13">
        <v>8</v>
      </c>
      <c r="F10" s="18" t="s">
        <v>43</v>
      </c>
      <c r="G10" s="17">
        <f>VLOOKUP(F10,ESPNScores!$A$2:$B$133,2,FALSE)</f>
        <v>-21</v>
      </c>
      <c r="H10" s="18" t="s">
        <v>43</v>
      </c>
      <c r="I10" s="17">
        <f>VLOOKUP(H10,ESPNScores!$A$2:$B$133,2,FALSE)</f>
        <v>-21</v>
      </c>
      <c r="J10" s="18" t="s">
        <v>43</v>
      </c>
      <c r="K10" s="17">
        <f>VLOOKUP(J10,ESPNScores!$A$2:$B$133,2,FALSE)</f>
        <v>-21</v>
      </c>
      <c r="L10" s="18" t="s">
        <v>43</v>
      </c>
      <c r="M10" s="17">
        <f>VLOOKUP(L10,ESPNScores!$A$2:$B$133,2,FALSE)</f>
        <v>-21</v>
      </c>
      <c r="N10" s="18" t="s">
        <v>43</v>
      </c>
      <c r="O10" s="17">
        <f>VLOOKUP(N10,ESPNScores!$A$2:$B$133,2,FALSE)</f>
        <v>-21</v>
      </c>
      <c r="P10" s="18" t="s">
        <v>52</v>
      </c>
      <c r="Q10" s="17">
        <f>VLOOKUP(P10,ESPNScores!$A$2:$B$133,2,FALSE)</f>
        <v>-14</v>
      </c>
      <c r="R10" s="18" t="s">
        <v>43</v>
      </c>
      <c r="S10" s="17">
        <f>VLOOKUP(R10,ESPNScores!$A$2:$B$133,2,FALSE)</f>
        <v>-21</v>
      </c>
      <c r="T10" s="18" t="s">
        <v>43</v>
      </c>
      <c r="U10" s="17">
        <f>VLOOKUP(T10,ESPNScores!$A$2:$B$133,2,FALSE)</f>
        <v>-21</v>
      </c>
    </row>
    <row r="11" spans="1:21" ht="13" x14ac:dyDescent="0.3">
      <c r="B11" s="43" t="str">
        <v>Tsutsumi</v>
      </c>
      <c r="C11" s="44">
        <v>-92</v>
      </c>
      <c r="D11" s="33"/>
      <c r="E11" s="13">
        <v>9</v>
      </c>
      <c r="F11" s="18" t="s">
        <v>38</v>
      </c>
      <c r="G11" s="17">
        <f>VLOOKUP(F11,ESPNScores!$A$2:$B$133,2,FALSE)</f>
        <v>-12</v>
      </c>
      <c r="H11" s="18" t="s">
        <v>125</v>
      </c>
      <c r="I11" s="17">
        <f>VLOOKUP(H11,ESPNScores!$A$2:$B$133,2,FALSE)</f>
        <v>-8</v>
      </c>
      <c r="J11" s="18" t="s">
        <v>38</v>
      </c>
      <c r="K11" s="17">
        <f>VLOOKUP(J11,ESPNScores!$A$2:$B$133,2,FALSE)</f>
        <v>-12</v>
      </c>
      <c r="L11" s="18" t="s">
        <v>38</v>
      </c>
      <c r="M11" s="17">
        <f>VLOOKUP(L11,ESPNScores!$A$2:$B$133,2,FALSE)</f>
        <v>-12</v>
      </c>
      <c r="N11" s="18" t="s">
        <v>38</v>
      </c>
      <c r="O11" s="17">
        <f>VLOOKUP(N11,ESPNScores!$A$2:$B$133,2,FALSE)</f>
        <v>-12</v>
      </c>
      <c r="P11" s="18" t="s">
        <v>38</v>
      </c>
      <c r="Q11" s="17">
        <f>VLOOKUP(P11,ESPNScores!$A$2:$B$133,2,FALSE)</f>
        <v>-12</v>
      </c>
      <c r="R11" s="18" t="s">
        <v>38</v>
      </c>
      <c r="S11" s="17">
        <f>VLOOKUP(R11,ESPNScores!$A$2:$B$133,2,FALSE)</f>
        <v>-12</v>
      </c>
      <c r="T11" s="18" t="s">
        <v>123</v>
      </c>
      <c r="U11" s="17">
        <f>VLOOKUP(T11,ESPNScores!$A$2:$B$133,2,FALSE)</f>
        <v>-7</v>
      </c>
    </row>
    <row r="12" spans="1:21" ht="13" x14ac:dyDescent="0.3">
      <c r="B12" s="43" t="str">
        <v>B Hill</v>
      </c>
      <c r="C12" s="44">
        <v>-92</v>
      </c>
      <c r="D12" s="33"/>
      <c r="E12" s="13">
        <v>10</v>
      </c>
      <c r="F12" s="18" t="s">
        <v>74</v>
      </c>
      <c r="G12" s="17">
        <f>VLOOKUP(F12,ESPNScores!$A$2:$B$133,2,FALSE)</f>
        <v>-18</v>
      </c>
      <c r="H12" s="18" t="s">
        <v>109</v>
      </c>
      <c r="I12" s="17">
        <f>VLOOKUP(H12,ESPNScores!$A$2:$B$133,2,FALSE)</f>
        <v>-11</v>
      </c>
      <c r="J12" s="18" t="s">
        <v>109</v>
      </c>
      <c r="K12" s="17">
        <f>VLOOKUP(J12,ESPNScores!$A$2:$B$133,2,FALSE)</f>
        <v>-11</v>
      </c>
      <c r="L12" s="18" t="s">
        <v>109</v>
      </c>
      <c r="M12" s="17">
        <f>VLOOKUP(L12,ESPNScores!$A$2:$B$133,2,FALSE)</f>
        <v>-11</v>
      </c>
      <c r="N12" s="18" t="s">
        <v>74</v>
      </c>
      <c r="O12" s="17">
        <f>VLOOKUP(N12,ESPNScores!$A$2:$B$133,2,FALSE)</f>
        <v>-18</v>
      </c>
      <c r="P12" s="18" t="s">
        <v>34</v>
      </c>
      <c r="Q12" s="17">
        <f>VLOOKUP(P12,ESPNScores!$A$2:$B$133,2,FALSE)</f>
        <v>-11</v>
      </c>
      <c r="R12" s="18" t="s">
        <v>34</v>
      </c>
      <c r="S12" s="17">
        <f>VLOOKUP(R12,ESPNScores!$A$2:$B$133,2,FALSE)</f>
        <v>-11</v>
      </c>
      <c r="T12" s="18" t="s">
        <v>109</v>
      </c>
      <c r="U12" s="17">
        <f>VLOOKUP(T12,ESPNScores!$A$2:$B$133,2,FALSE)</f>
        <v>-11</v>
      </c>
    </row>
    <row r="13" spans="1:21" ht="13" x14ac:dyDescent="0.3">
      <c r="B13" s="43" t="str">
        <v>Richard</v>
      </c>
      <c r="C13" s="44">
        <v>-91</v>
      </c>
      <c r="D13" s="33"/>
      <c r="E13" s="50"/>
      <c r="F13" s="59"/>
      <c r="G13" s="59"/>
      <c r="H13" s="59"/>
      <c r="I13" s="59"/>
      <c r="J13" s="59"/>
      <c r="K13" s="59"/>
      <c r="L13" s="59"/>
      <c r="M13" s="59"/>
    </row>
    <row r="14" spans="1:21" s="7" customFormat="1" ht="13" x14ac:dyDescent="0.3">
      <c r="B14" s="43" t="str">
        <v>Stabile</v>
      </c>
      <c r="C14" s="44">
        <v>-91</v>
      </c>
      <c r="D14" s="33"/>
      <c r="E14" s="12"/>
      <c r="F14" s="10" t="s">
        <v>84</v>
      </c>
      <c r="G14" s="11">
        <f>SMALL(G15:G24,1)+SMALL(G15:G24,2)+SMALL(G15:G24,3)+SMALL(G15:G24,4)+SMALL(G15:G24,5)</f>
        <v>-89</v>
      </c>
      <c r="H14" s="10" t="s">
        <v>85</v>
      </c>
      <c r="I14" s="11">
        <f>SMALL(I15:I24,1)+SMALL(I15:I24,2)+SMALL(I15:I24,3)+SMALL(I15:I24,4)+SMALL(I15:I24,5)</f>
        <v>-93</v>
      </c>
      <c r="J14" s="10" t="s">
        <v>86</v>
      </c>
      <c r="K14" s="11">
        <f>SMALL(K15:K24,1)+SMALL(K15:K24,2)+SMALL(K15:K24,3)+SMALL(K15:K24,4)+SMALL(K15:K24,5)</f>
        <v>-92</v>
      </c>
      <c r="L14" s="10" t="s">
        <v>87</v>
      </c>
      <c r="M14" s="11">
        <f>SMALL(M15:M24,1)+SMALL(M15:M24,2)+SMALL(M15:M24,3)+SMALL(M15:M24,4)+SMALL(M15:M24,5)</f>
        <v>-93</v>
      </c>
      <c r="N14" s="10" t="s">
        <v>110</v>
      </c>
      <c r="O14" s="11">
        <f>SMALL(O15:O24,1)+SMALL(O15:O24,2)+SMALL(O15:O24,3)+SMALL(O15:O24,4)+SMALL(O15:O24,5)</f>
        <v>-89</v>
      </c>
      <c r="P14" s="10" t="s">
        <v>88</v>
      </c>
      <c r="Q14" s="11">
        <f>SMALL(Q15:Q24,1)+SMALL(Q15:Q24,2)+SMALL(Q15:Q24,3)+SMALL(Q15:Q24,4)+SMALL(Q15:Q24,5)</f>
        <v>-92</v>
      </c>
      <c r="R14" s="10" t="s">
        <v>89</v>
      </c>
      <c r="S14" s="11">
        <f>SMALL(S15:S24,1)+SMALL(S15:S24,2)+SMALL(S15:S24,3)+SMALL(S15:S24,4)+SMALL(S15:S24,5)</f>
        <v>-86</v>
      </c>
      <c r="T14" s="10" t="s">
        <v>90</v>
      </c>
      <c r="U14" s="11">
        <f>SMALL(U15:U24,1)+SMALL(U15:U24,2)+SMALL(U15:U24,3)+SMALL(U15:U24,4)+SMALL(U15:U24,5)</f>
        <v>-91</v>
      </c>
    </row>
    <row r="15" spans="1:21" ht="13" x14ac:dyDescent="0.3">
      <c r="B15" s="43" t="str">
        <v>Allen</v>
      </c>
      <c r="C15" s="44">
        <v>-90</v>
      </c>
      <c r="D15" s="33"/>
      <c r="E15" s="13">
        <v>1</v>
      </c>
      <c r="F15" s="18" t="s">
        <v>24</v>
      </c>
      <c r="G15" s="17">
        <f>VLOOKUP(F15,ESPNScores!$A$2:$B$133,2,FALSE)</f>
        <v>-21</v>
      </c>
      <c r="H15" s="18" t="s">
        <v>24</v>
      </c>
      <c r="I15" s="17">
        <f>VLOOKUP(H15,ESPNScores!$A$2:$B$133,2,FALSE)</f>
        <v>-21</v>
      </c>
      <c r="J15" s="18" t="s">
        <v>24</v>
      </c>
      <c r="K15" s="17">
        <f>VLOOKUP(J15,ESPNScores!$A$2:$B$133,2,FALSE)</f>
        <v>-21</v>
      </c>
      <c r="L15" s="18" t="s">
        <v>24</v>
      </c>
      <c r="M15" s="17">
        <f>VLOOKUP(L15,ESPNScores!$A$2:$B$133,2,FALSE)</f>
        <v>-21</v>
      </c>
      <c r="N15" s="18" t="s">
        <v>24</v>
      </c>
      <c r="O15" s="17">
        <f>VLOOKUP(N15,ESPNScores!$A$2:$B$133,2,FALSE)</f>
        <v>-21</v>
      </c>
      <c r="P15" s="18" t="s">
        <v>24</v>
      </c>
      <c r="Q15" s="17">
        <f>VLOOKUP(P15,ESPNScores!$A$2:$B$133,2,FALSE)</f>
        <v>-21</v>
      </c>
      <c r="R15" s="18" t="s">
        <v>24</v>
      </c>
      <c r="S15" s="17">
        <f>VLOOKUP(R15,ESPNScores!$A$2:$B$133,2,FALSE)</f>
        <v>-21</v>
      </c>
      <c r="T15" s="18" t="s">
        <v>24</v>
      </c>
      <c r="U15" s="17">
        <f>VLOOKUP(T15,ESPNScores!$A$2:$B$133,2,FALSE)</f>
        <v>-21</v>
      </c>
    </row>
    <row r="16" spans="1:21" ht="13" x14ac:dyDescent="0.3">
      <c r="B16" s="43" t="str">
        <v>Eliason</v>
      </c>
      <c r="C16" s="44">
        <v>-90</v>
      </c>
      <c r="D16" s="33"/>
      <c r="E16" s="13">
        <v>2</v>
      </c>
      <c r="F16" s="18" t="s">
        <v>29</v>
      </c>
      <c r="G16" s="17">
        <f>VLOOKUP(F16,ESPNScores!$A$2:$B$133,2,FALSE)</f>
        <v>-14</v>
      </c>
      <c r="H16" s="18" t="s">
        <v>29</v>
      </c>
      <c r="I16" s="17">
        <f>VLOOKUP(H16,ESPNScores!$A$2:$B$133,2,FALSE)</f>
        <v>-14</v>
      </c>
      <c r="J16" s="18" t="s">
        <v>47</v>
      </c>
      <c r="K16" s="17">
        <f>VLOOKUP(J16,ESPNScores!$A$2:$B$133,2,FALSE)</f>
        <v>-12</v>
      </c>
      <c r="L16" s="18" t="s">
        <v>73</v>
      </c>
      <c r="M16" s="17">
        <f>VLOOKUP(L16,ESPNScores!$A$2:$B$133,2,FALSE)</f>
        <v>-16</v>
      </c>
      <c r="N16" s="18" t="s">
        <v>47</v>
      </c>
      <c r="O16" s="17">
        <f>VLOOKUP(N16,ESPNScores!$A$2:$B$133,2,FALSE)</f>
        <v>-12</v>
      </c>
      <c r="P16" s="18" t="s">
        <v>47</v>
      </c>
      <c r="Q16" s="17">
        <f>VLOOKUP(P16,ESPNScores!$A$2:$B$133,2,FALSE)</f>
        <v>-12</v>
      </c>
      <c r="R16" s="18" t="s">
        <v>29</v>
      </c>
      <c r="S16" s="17">
        <f>VLOOKUP(R16,ESPNScores!$A$2:$B$133,2,FALSE)</f>
        <v>-14</v>
      </c>
      <c r="T16" s="18" t="s">
        <v>29</v>
      </c>
      <c r="U16" s="17">
        <f>VLOOKUP(T16,ESPNScores!$A$2:$B$133,2,FALSE)</f>
        <v>-14</v>
      </c>
    </row>
    <row r="17" spans="2:23" ht="13" x14ac:dyDescent="0.3">
      <c r="B17" s="43" t="str">
        <v>Isaacson</v>
      </c>
      <c r="C17" s="44">
        <v>-90</v>
      </c>
      <c r="D17" s="33"/>
      <c r="E17" s="13">
        <v>3</v>
      </c>
      <c r="F17" s="18" t="s">
        <v>30</v>
      </c>
      <c r="G17" s="17">
        <f>VLOOKUP(F17,ESPNScores!$A$2:$B$133,2,FALSE)</f>
        <v>-15</v>
      </c>
      <c r="H17" s="18" t="s">
        <v>67</v>
      </c>
      <c r="I17" s="17">
        <f>VLOOKUP(H17,ESPNScores!$A$2:$B$133,2,FALSE)</f>
        <v>-16</v>
      </c>
      <c r="J17" s="18" t="s">
        <v>30</v>
      </c>
      <c r="K17" s="17">
        <f>VLOOKUP(J17,ESPNScores!$A$2:$B$133,2,FALSE)</f>
        <v>-15</v>
      </c>
      <c r="L17" s="18" t="s">
        <v>30</v>
      </c>
      <c r="M17" s="17">
        <f>VLOOKUP(L17,ESPNScores!$A$2:$B$133,2,FALSE)</f>
        <v>-15</v>
      </c>
      <c r="N17" s="18" t="s">
        <v>30</v>
      </c>
      <c r="O17" s="17">
        <f>VLOOKUP(N17,ESPNScores!$A$2:$B$133,2,FALSE)</f>
        <v>-15</v>
      </c>
      <c r="P17" s="18" t="s">
        <v>67</v>
      </c>
      <c r="Q17" s="17">
        <f>VLOOKUP(P17,ESPNScores!$A$2:$B$133,2,FALSE)</f>
        <v>-16</v>
      </c>
      <c r="R17" s="18" t="s">
        <v>30</v>
      </c>
      <c r="S17" s="17">
        <f>VLOOKUP(R17,ESPNScores!$A$2:$B$133,2,FALSE)</f>
        <v>-15</v>
      </c>
      <c r="T17" s="18" t="s">
        <v>67</v>
      </c>
      <c r="U17" s="17">
        <f>VLOOKUP(T17,ESPNScores!$A$2:$B$133,2,FALSE)</f>
        <v>-16</v>
      </c>
    </row>
    <row r="18" spans="2:23" ht="13" x14ac:dyDescent="0.3">
      <c r="B18" s="43" t="str">
        <v>Chernick</v>
      </c>
      <c r="C18" s="44">
        <v>-89</v>
      </c>
      <c r="D18" s="33"/>
      <c r="E18" s="13">
        <v>4</v>
      </c>
      <c r="F18" s="18" t="s">
        <v>108</v>
      </c>
      <c r="G18" s="17">
        <f>VLOOKUP(F18,ESPNScores!$A$2:$B$133,2,FALSE)</f>
        <v>-6</v>
      </c>
      <c r="H18" s="18" t="s">
        <v>108</v>
      </c>
      <c r="I18" s="17">
        <f>VLOOKUP(H18,ESPNScores!$A$2:$B$133,2,FALSE)</f>
        <v>-6</v>
      </c>
      <c r="J18" s="18" t="s">
        <v>57</v>
      </c>
      <c r="K18" s="17">
        <f>VLOOKUP(J18,ESPNScores!$A$2:$B$133,2,FALSE)</f>
        <v>-14</v>
      </c>
      <c r="L18" s="18" t="s">
        <v>46</v>
      </c>
      <c r="M18" s="17">
        <f>VLOOKUP(L18,ESPNScores!$A$2:$B$133,2,FALSE)</f>
        <v>-10</v>
      </c>
      <c r="N18" s="18" t="s">
        <v>46</v>
      </c>
      <c r="O18" s="17">
        <f>VLOOKUP(N18,ESPNScores!$A$2:$B$133,2,FALSE)</f>
        <v>-10</v>
      </c>
      <c r="P18" s="18" t="s">
        <v>46</v>
      </c>
      <c r="Q18" s="17">
        <f>VLOOKUP(P18,ESPNScores!$A$2:$B$133,2,FALSE)</f>
        <v>-10</v>
      </c>
      <c r="R18" s="18" t="s">
        <v>108</v>
      </c>
      <c r="S18" s="17">
        <f>VLOOKUP(R18,ESPNScores!$A$2:$B$133,2,FALSE)</f>
        <v>-6</v>
      </c>
      <c r="T18" s="18" t="s">
        <v>108</v>
      </c>
      <c r="U18" s="17">
        <f>VLOOKUP(T18,ESPNScores!$A$2:$B$133,2,FALSE)</f>
        <v>-6</v>
      </c>
    </row>
    <row r="19" spans="2:23" ht="13" x14ac:dyDescent="0.3">
      <c r="B19" s="43" t="str">
        <v>Dillabaugh</v>
      </c>
      <c r="C19" s="44">
        <v>-89</v>
      </c>
      <c r="D19" s="33"/>
      <c r="E19" s="13">
        <v>5</v>
      </c>
      <c r="F19" s="18" t="s">
        <v>104</v>
      </c>
      <c r="G19" s="17">
        <f>VLOOKUP(F19,ESPNScores!$A$2:$B$133,2,FALSE)</f>
        <v>-6</v>
      </c>
      <c r="H19" s="18" t="s">
        <v>104</v>
      </c>
      <c r="I19" s="17">
        <f>VLOOKUP(H19,ESPNScores!$A$2:$B$133,2,FALSE)</f>
        <v>-6</v>
      </c>
      <c r="J19" s="18" t="s">
        <v>50</v>
      </c>
      <c r="K19" s="17">
        <f>VLOOKUP(J19,ESPNScores!$A$2:$B$133,2,FALSE)</f>
        <v>-8</v>
      </c>
      <c r="L19" s="18" t="s">
        <v>104</v>
      </c>
      <c r="M19" s="17">
        <f>VLOOKUP(L19,ESPNScores!$A$2:$B$133,2,FALSE)</f>
        <v>-6</v>
      </c>
      <c r="N19" s="18" t="s">
        <v>50</v>
      </c>
      <c r="O19" s="17">
        <f>VLOOKUP(N19,ESPNScores!$A$2:$B$133,2,FALSE)</f>
        <v>-8</v>
      </c>
      <c r="P19" s="18" t="s">
        <v>121</v>
      </c>
      <c r="Q19" s="17">
        <f>VLOOKUP(P19,ESPNScores!$A$2:$B$133,2,FALSE)</f>
        <v>-11</v>
      </c>
      <c r="R19" s="18" t="s">
        <v>104</v>
      </c>
      <c r="S19" s="17">
        <f>VLOOKUP(R19,ESPNScores!$A$2:$B$133,2,FALSE)</f>
        <v>-6</v>
      </c>
      <c r="T19" s="18" t="s">
        <v>104</v>
      </c>
      <c r="U19" s="17">
        <f>VLOOKUP(T19,ESPNScores!$A$2:$B$133,2,FALSE)</f>
        <v>-6</v>
      </c>
    </row>
    <row r="20" spans="2:23" ht="13" x14ac:dyDescent="0.3">
      <c r="B20" s="43" t="str">
        <v>Rakusin</v>
      </c>
      <c r="C20" s="44">
        <v>-89</v>
      </c>
      <c r="D20" s="33"/>
      <c r="E20" s="13">
        <v>6</v>
      </c>
      <c r="F20" s="18" t="s">
        <v>40</v>
      </c>
      <c r="G20" s="17">
        <f>VLOOKUP(F20,ESPNScores!$A$2:$B$133,2,FALSE)</f>
        <v>-15</v>
      </c>
      <c r="H20" s="18" t="s">
        <v>40</v>
      </c>
      <c r="I20" s="17">
        <f>VLOOKUP(H20,ESPNScores!$A$2:$B$133,2,FALSE)</f>
        <v>-15</v>
      </c>
      <c r="J20" s="18" t="s">
        <v>40</v>
      </c>
      <c r="K20" s="17">
        <f>VLOOKUP(J20,ESPNScores!$A$2:$B$133,2,FALSE)</f>
        <v>-15</v>
      </c>
      <c r="L20" s="18" t="s">
        <v>44</v>
      </c>
      <c r="M20" s="17">
        <f>VLOOKUP(L20,ESPNScores!$A$2:$B$133,2,FALSE)</f>
        <v>-14</v>
      </c>
      <c r="N20" s="18" t="s">
        <v>40</v>
      </c>
      <c r="O20" s="17">
        <f>VLOOKUP(N20,ESPNScores!$A$2:$B$133,2,FALSE)</f>
        <v>-15</v>
      </c>
      <c r="P20" s="18" t="s">
        <v>44</v>
      </c>
      <c r="Q20" s="17">
        <f>VLOOKUP(P20,ESPNScores!$A$2:$B$133,2,FALSE)</f>
        <v>-14</v>
      </c>
      <c r="R20" s="18" t="s">
        <v>40</v>
      </c>
      <c r="S20" s="17">
        <f>VLOOKUP(R20,ESPNScores!$A$2:$B$133,2,FALSE)</f>
        <v>-15</v>
      </c>
      <c r="T20" s="18" t="s">
        <v>40</v>
      </c>
      <c r="U20" s="17">
        <f>VLOOKUP(T20,ESPNScores!$A$2:$B$133,2,FALSE)</f>
        <v>-15</v>
      </c>
    </row>
    <row r="21" spans="2:23" ht="13" x14ac:dyDescent="0.3">
      <c r="B21" s="43" t="str">
        <v>McElroy</v>
      </c>
      <c r="C21" s="44">
        <v>-89</v>
      </c>
      <c r="D21" s="33"/>
      <c r="E21" s="13">
        <v>7</v>
      </c>
      <c r="F21" s="18" t="s">
        <v>35</v>
      </c>
      <c r="G21" s="17">
        <f>VLOOKUP(F21,ESPNScores!$A$2:$B$133,2,FALSE)</f>
        <v>-17</v>
      </c>
      <c r="H21" s="18" t="s">
        <v>37</v>
      </c>
      <c r="I21" s="17">
        <f>VLOOKUP(H21,ESPNScores!$A$2:$B$133,2,FALSE)</f>
        <v>-20</v>
      </c>
      <c r="J21" s="18" t="s">
        <v>37</v>
      </c>
      <c r="K21" s="17">
        <f>VLOOKUP(J21,ESPNScores!$A$2:$B$133,2,FALSE)</f>
        <v>-20</v>
      </c>
      <c r="L21" s="18" t="s">
        <v>35</v>
      </c>
      <c r="M21" s="17">
        <f>VLOOKUP(L21,ESPNScores!$A$2:$B$133,2,FALSE)</f>
        <v>-17</v>
      </c>
      <c r="N21" s="18" t="s">
        <v>35</v>
      </c>
      <c r="O21" s="17">
        <f>VLOOKUP(N21,ESPNScores!$A$2:$B$133,2,FALSE)</f>
        <v>-17</v>
      </c>
      <c r="P21" s="18" t="s">
        <v>37</v>
      </c>
      <c r="Q21" s="17">
        <f>VLOOKUP(P21,ESPNScores!$A$2:$B$133,2,FALSE)</f>
        <v>-20</v>
      </c>
      <c r="R21" s="18" t="s">
        <v>27</v>
      </c>
      <c r="S21" s="17">
        <f>VLOOKUP(R21,ESPNScores!$A$2:$B$133,2,FALSE)</f>
        <v>-14</v>
      </c>
      <c r="T21" s="18" t="s">
        <v>27</v>
      </c>
      <c r="U21" s="17">
        <f>VLOOKUP(T21,ESPNScores!$A$2:$B$133,2,FALSE)</f>
        <v>-14</v>
      </c>
    </row>
    <row r="22" spans="2:23" ht="13" x14ac:dyDescent="0.3">
      <c r="B22" s="43" t="str">
        <v>Hitchman</v>
      </c>
      <c r="C22" s="44">
        <v>-88</v>
      </c>
      <c r="D22" s="33"/>
      <c r="E22" s="13">
        <v>8</v>
      </c>
      <c r="F22" s="18" t="s">
        <v>43</v>
      </c>
      <c r="G22" s="17">
        <f>VLOOKUP(F22,ESPNScores!$A$2:$B$133,2,FALSE)</f>
        <v>-21</v>
      </c>
      <c r="H22" s="18" t="s">
        <v>43</v>
      </c>
      <c r="I22" s="17">
        <f>VLOOKUP(H22,ESPNScores!$A$2:$B$133,2,FALSE)</f>
        <v>-21</v>
      </c>
      <c r="J22" s="18" t="s">
        <v>43</v>
      </c>
      <c r="K22" s="17">
        <f>VLOOKUP(J22,ESPNScores!$A$2:$B$133,2,FALSE)</f>
        <v>-21</v>
      </c>
      <c r="L22" s="18" t="s">
        <v>43</v>
      </c>
      <c r="M22" s="17">
        <f>VLOOKUP(L22,ESPNScores!$A$2:$B$133,2,FALSE)</f>
        <v>-21</v>
      </c>
      <c r="N22" s="18" t="s">
        <v>43</v>
      </c>
      <c r="O22" s="17">
        <f>VLOOKUP(N22,ESPNScores!$A$2:$B$133,2,FALSE)</f>
        <v>-21</v>
      </c>
      <c r="P22" s="18" t="s">
        <v>43</v>
      </c>
      <c r="Q22" s="17">
        <f>VLOOKUP(P22,ESPNScores!$A$2:$B$133,2,FALSE)</f>
        <v>-21</v>
      </c>
      <c r="R22" s="18" t="s">
        <v>43</v>
      </c>
      <c r="S22" s="17">
        <f>VLOOKUP(R22,ESPNScores!$A$2:$B$133,2,FALSE)</f>
        <v>-21</v>
      </c>
      <c r="T22" s="18" t="s">
        <v>43</v>
      </c>
      <c r="U22" s="17">
        <f>VLOOKUP(T22,ESPNScores!$A$2:$B$133,2,FALSE)</f>
        <v>-21</v>
      </c>
    </row>
    <row r="23" spans="2:23" ht="13" x14ac:dyDescent="0.3">
      <c r="B23" s="43" t="str">
        <v>Steigmeyer</v>
      </c>
      <c r="C23" s="44">
        <v>-87</v>
      </c>
      <c r="D23" s="33"/>
      <c r="E23" s="13">
        <v>9</v>
      </c>
      <c r="F23" s="18" t="s">
        <v>123</v>
      </c>
      <c r="G23" s="17">
        <f>VLOOKUP(F23,ESPNScores!$A$2:$B$133,2,FALSE)</f>
        <v>-7</v>
      </c>
      <c r="H23" s="18" t="s">
        <v>123</v>
      </c>
      <c r="I23" s="17">
        <f>VLOOKUP(H23,ESPNScores!$A$2:$B$133,2,FALSE)</f>
        <v>-7</v>
      </c>
      <c r="J23" s="18" t="s">
        <v>123</v>
      </c>
      <c r="K23" s="17">
        <f>VLOOKUP(J23,ESPNScores!$A$2:$B$133,2,FALSE)</f>
        <v>-7</v>
      </c>
      <c r="L23" s="18" t="s">
        <v>38</v>
      </c>
      <c r="M23" s="17">
        <f>VLOOKUP(L23,ESPNScores!$A$2:$B$133,2,FALSE)</f>
        <v>-12</v>
      </c>
      <c r="N23" s="18" t="s">
        <v>123</v>
      </c>
      <c r="O23" s="17">
        <f>VLOOKUP(N23,ESPNScores!$A$2:$B$133,2,FALSE)</f>
        <v>-7</v>
      </c>
      <c r="P23" s="18" t="s">
        <v>125</v>
      </c>
      <c r="Q23" s="17">
        <f>VLOOKUP(P23,ESPNScores!$A$2:$B$133,2,FALSE)</f>
        <v>-8</v>
      </c>
      <c r="R23" s="18" t="s">
        <v>123</v>
      </c>
      <c r="S23" s="17">
        <f>VLOOKUP(R23,ESPNScores!$A$2:$B$133,2,FALSE)</f>
        <v>-7</v>
      </c>
      <c r="T23" s="18" t="s">
        <v>123</v>
      </c>
      <c r="U23" s="17">
        <f>VLOOKUP(T23,ESPNScores!$A$2:$B$133,2,FALSE)</f>
        <v>-7</v>
      </c>
    </row>
    <row r="24" spans="2:23" ht="13" x14ac:dyDescent="0.3">
      <c r="B24" s="43" t="str">
        <v>Holiday</v>
      </c>
      <c r="C24" s="44">
        <v>-86</v>
      </c>
      <c r="D24" s="33"/>
      <c r="E24" s="13">
        <v>10</v>
      </c>
      <c r="F24" s="18" t="s">
        <v>109</v>
      </c>
      <c r="G24" s="17">
        <f>VLOOKUP(F24,ESPNScores!$A$2:$B$133,2,FALSE)</f>
        <v>-11</v>
      </c>
      <c r="H24" s="18" t="s">
        <v>34</v>
      </c>
      <c r="I24" s="17">
        <f>VLOOKUP(H24,ESPNScores!$A$2:$B$133,2,FALSE)</f>
        <v>-11</v>
      </c>
      <c r="J24" s="18" t="s">
        <v>109</v>
      </c>
      <c r="K24" s="17">
        <f>VLOOKUP(J24,ESPNScores!$A$2:$B$133,2,FALSE)</f>
        <v>-11</v>
      </c>
      <c r="L24" s="18" t="s">
        <v>74</v>
      </c>
      <c r="M24" s="17">
        <f>VLOOKUP(L24,ESPNScores!$A$2:$B$133,2,FALSE)</f>
        <v>-18</v>
      </c>
      <c r="N24" s="18" t="s">
        <v>34</v>
      </c>
      <c r="O24" s="17">
        <f>VLOOKUP(N24,ESPNScores!$A$2:$B$133,2,FALSE)</f>
        <v>-11</v>
      </c>
      <c r="P24" s="18" t="s">
        <v>34</v>
      </c>
      <c r="Q24" s="17">
        <f>VLOOKUP(P24,ESPNScores!$A$2:$B$133,2,FALSE)</f>
        <v>-11</v>
      </c>
      <c r="R24" s="18" t="s">
        <v>109</v>
      </c>
      <c r="S24" s="17">
        <f>VLOOKUP(R24,ESPNScores!$A$2:$B$133,2,FALSE)</f>
        <v>-11</v>
      </c>
      <c r="T24" s="18" t="s">
        <v>74</v>
      </c>
      <c r="U24" s="17">
        <f>VLOOKUP(T24,ESPNScores!$A$2:$B$133,2,FALSE)</f>
        <v>-18</v>
      </c>
    </row>
    <row r="25" spans="2:23" ht="13" x14ac:dyDescent="0.3">
      <c r="B25" s="48" t="str">
        <v>Horvath</v>
      </c>
      <c r="C25" s="49">
        <v>-86</v>
      </c>
      <c r="D25" s="50"/>
      <c r="E25" s="50"/>
      <c r="F25" s="59"/>
      <c r="G25" s="59"/>
      <c r="H25" s="59"/>
      <c r="I25" s="59"/>
      <c r="J25" s="59"/>
      <c r="K25" s="59"/>
      <c r="L25" s="59"/>
      <c r="M25" s="59"/>
      <c r="W25"/>
    </row>
    <row r="26" spans="2:23" s="7" customFormat="1" ht="13" x14ac:dyDescent="0.3">
      <c r="B26" s="48" t="str">
        <v>Fish</v>
      </c>
      <c r="C26" s="49">
        <v>-86</v>
      </c>
      <c r="D26" s="50"/>
      <c r="E26" s="12"/>
      <c r="F26" s="10" t="s">
        <v>91</v>
      </c>
      <c r="G26" s="11">
        <f>SMALL(G27:G36,1)+SMALL(G27:G36,2)+SMALL(G27:G36,3)+SMALL(G27:G36,4)+SMALL(G27:G36,5)</f>
        <v>-89</v>
      </c>
      <c r="H26" s="10" t="s">
        <v>92</v>
      </c>
      <c r="I26" s="11">
        <f>SMALL(I27:I36,1)+SMALL(I27:I36,2)+SMALL(I27:I36,3)+SMALL(I27:I36,4)+SMALL(I27:I36,5)</f>
        <v>-95</v>
      </c>
      <c r="J26" s="10" t="s">
        <v>100</v>
      </c>
      <c r="K26" s="11">
        <f>SMALL(K27:K36,1)+SMALL(K27:K36,2)+SMALL(K27:K36,3)+SMALL(K27:K36,4)+SMALL(K27:K36,5)</f>
        <v>-90</v>
      </c>
      <c r="L26" s="10" t="s">
        <v>98</v>
      </c>
      <c r="M26" s="11">
        <f>SMALL(M27:M36,1)+SMALL(M27:M36,2)+SMALL(M27:M36,3)+SMALL(M27:M36,4)+SMALL(M27:M36,5)</f>
        <v>-94</v>
      </c>
      <c r="N26" s="10" t="s">
        <v>94</v>
      </c>
      <c r="O26" s="11">
        <f>SMALL(O27:O36,1)+SMALL(O27:O36,2)+SMALL(O27:O36,3)+SMALL(O27:O36,4)+SMALL(O27:O36,5)</f>
        <v>-89</v>
      </c>
      <c r="P26" s="10" t="s">
        <v>95</v>
      </c>
      <c r="Q26" s="11">
        <f>SMALL(Q27:Q36,1)+SMALL(Q27:Q36,2)+SMALL(Q27:Q36,3)+SMALL(Q27:Q36,4)+SMALL(Q27:Q36,5)</f>
        <v>-88</v>
      </c>
      <c r="R26" s="10" t="s">
        <v>96</v>
      </c>
      <c r="S26" s="11">
        <f>SMALL(S27:S36,1)+SMALL(S27:S36,2)+SMALL(S27:S36,3)+SMALL(S27:S36,4)+SMALL(S27:S36,5)</f>
        <v>-85</v>
      </c>
      <c r="T26" s="10" t="s">
        <v>97</v>
      </c>
      <c r="U26" s="11">
        <f>SMALL(U27:U36,1)+SMALL(U27:U36,2)+SMALL(U27:U36,3)+SMALL(U27:U36,4)+SMALL(U27:U36,5)</f>
        <v>-81</v>
      </c>
      <c r="V26"/>
      <c r="W26"/>
    </row>
    <row r="27" spans="2:23" ht="13" x14ac:dyDescent="0.3">
      <c r="B27" s="48" t="str">
        <v>Jones</v>
      </c>
      <c r="C27" s="44">
        <v>-86</v>
      </c>
      <c r="D27" s="50"/>
      <c r="E27" s="13">
        <v>1</v>
      </c>
      <c r="F27" s="18" t="s">
        <v>24</v>
      </c>
      <c r="G27" s="17">
        <f>VLOOKUP(F27,ESPNScores!$A$2:$B$133,2,FALSE)</f>
        <v>-21</v>
      </c>
      <c r="H27" s="18" t="s">
        <v>24</v>
      </c>
      <c r="I27" s="17">
        <f>VLOOKUP(H27,ESPNScores!$A$2:$B$133,2,FALSE)</f>
        <v>-21</v>
      </c>
      <c r="J27" s="18" t="s">
        <v>24</v>
      </c>
      <c r="K27" s="17">
        <f>VLOOKUP(J27,ESPNScores!$A$2:$B$133,2,FALSE)</f>
        <v>-21</v>
      </c>
      <c r="L27" s="18" t="s">
        <v>24</v>
      </c>
      <c r="M27" s="17">
        <f>VLOOKUP(L27,ESPNScores!$A$2:$B$133,2,FALSE)</f>
        <v>-21</v>
      </c>
      <c r="N27" s="18" t="s">
        <v>118</v>
      </c>
      <c r="O27" s="17">
        <f>VLOOKUP(N27,ESPNScores!$A$2:$B$133,2,FALSE)</f>
        <v>-17</v>
      </c>
      <c r="P27" s="18" t="s">
        <v>24</v>
      </c>
      <c r="Q27" s="17">
        <f>VLOOKUP(P27,ESPNScores!$A$2:$B$133,2,FALSE)</f>
        <v>-21</v>
      </c>
      <c r="R27" s="18" t="s">
        <v>24</v>
      </c>
      <c r="S27" s="17">
        <f>VLOOKUP(R27,ESPNScores!$A$2:$B$133,2,FALSE)</f>
        <v>-21</v>
      </c>
      <c r="T27" s="18" t="s">
        <v>24</v>
      </c>
      <c r="U27" s="17">
        <f>VLOOKUP(T27,ESPNScores!$A$2:$B$133,2,FALSE)</f>
        <v>-21</v>
      </c>
      <c r="W27"/>
    </row>
    <row r="28" spans="2:23" ht="14.5" x14ac:dyDescent="0.35">
      <c r="B28" s="48" t="str">
        <v>Hempel</v>
      </c>
      <c r="C28" s="44">
        <v>-85</v>
      </c>
      <c r="D28" s="50"/>
      <c r="E28" s="13">
        <v>2</v>
      </c>
      <c r="F28" s="18" t="s">
        <v>47</v>
      </c>
      <c r="G28" s="17">
        <f>VLOOKUP(F28,ESPNScores!$A$2:$B$133,2,FALSE)</f>
        <v>-12</v>
      </c>
      <c r="H28" s="18" t="s">
        <v>29</v>
      </c>
      <c r="I28" s="17">
        <f>VLOOKUP(H28,ESPNScores!$A$2:$B$133,2,FALSE)</f>
        <v>-14</v>
      </c>
      <c r="J28" s="18" t="s">
        <v>29</v>
      </c>
      <c r="K28" s="17">
        <f>VLOOKUP(J28,ESPNScores!$A$2:$B$133,2,FALSE)</f>
        <v>-14</v>
      </c>
      <c r="L28" s="18" t="s">
        <v>73</v>
      </c>
      <c r="M28" s="17">
        <f>VLOOKUP(L28,ESPNScores!$A$2:$B$133,2,FALSE)</f>
        <v>-16</v>
      </c>
      <c r="N28" s="18" t="s">
        <v>29</v>
      </c>
      <c r="O28" s="17">
        <f>VLOOKUP(N28,ESPNScores!$A$2:$B$133,2,FALSE)</f>
        <v>-14</v>
      </c>
      <c r="P28" s="18" t="s">
        <v>73</v>
      </c>
      <c r="Q28" s="17">
        <f>VLOOKUP(P28,ESPNScores!$A$2:$B$133,2,FALSE)</f>
        <v>-16</v>
      </c>
      <c r="R28" s="18" t="s">
        <v>29</v>
      </c>
      <c r="S28" s="17">
        <f>VLOOKUP(R28,ESPNScores!$A$2:$B$133,2,FALSE)</f>
        <v>-14</v>
      </c>
      <c r="T28" s="18" t="s">
        <v>47</v>
      </c>
      <c r="U28" s="17">
        <f>VLOOKUP(T28,ESPNScores!$A$2:$B$133,2,FALSE)</f>
        <v>-12</v>
      </c>
      <c r="V28" s="9"/>
    </row>
    <row r="29" spans="2:23" ht="14.5" x14ac:dyDescent="0.35">
      <c r="B29" s="48" t="str">
        <v>L Hill</v>
      </c>
      <c r="C29" s="44">
        <v>-83</v>
      </c>
      <c r="D29" s="44"/>
      <c r="E29" s="13">
        <v>3</v>
      </c>
      <c r="F29" s="18" t="s">
        <v>30</v>
      </c>
      <c r="G29" s="17">
        <f>VLOOKUP(F29,ESPNScores!$A$2:$B$133,2,FALSE)</f>
        <v>-15</v>
      </c>
      <c r="H29" s="18" t="s">
        <v>42</v>
      </c>
      <c r="I29" s="17">
        <f>VLOOKUP(H29,ESPNScores!$A$2:$B$133,2,FALSE)</f>
        <v>10</v>
      </c>
      <c r="J29" s="18" t="s">
        <v>67</v>
      </c>
      <c r="K29" s="17">
        <f>VLOOKUP(J29,ESPNScores!$A$2:$B$133,2,FALSE)</f>
        <v>-16</v>
      </c>
      <c r="L29" s="18" t="s">
        <v>67</v>
      </c>
      <c r="M29" s="17">
        <f>VLOOKUP(L29,ESPNScores!$A$2:$B$133,2,FALSE)</f>
        <v>-16</v>
      </c>
      <c r="N29" s="18" t="s">
        <v>67</v>
      </c>
      <c r="O29" s="17">
        <f>VLOOKUP(N29,ESPNScores!$A$2:$B$133,2,FALSE)</f>
        <v>-16</v>
      </c>
      <c r="P29" s="18" t="s">
        <v>30</v>
      </c>
      <c r="Q29" s="17">
        <f>VLOOKUP(P29,ESPNScores!$A$2:$B$133,2,FALSE)</f>
        <v>-15</v>
      </c>
      <c r="R29" s="18" t="s">
        <v>30</v>
      </c>
      <c r="S29" s="17">
        <f>VLOOKUP(R29,ESPNScores!$A$2:$B$133,2,FALSE)</f>
        <v>-15</v>
      </c>
      <c r="T29" s="18" t="s">
        <v>30</v>
      </c>
      <c r="U29" s="17">
        <f>VLOOKUP(T29,ESPNScores!$A$2:$B$133,2,FALSE)</f>
        <v>-15</v>
      </c>
      <c r="V29" s="9"/>
    </row>
    <row r="30" spans="2:23" ht="14.5" x14ac:dyDescent="0.35">
      <c r="B30" s="48" t="str">
        <v>Cruickshank</v>
      </c>
      <c r="C30" s="44">
        <v>-83</v>
      </c>
      <c r="D30" s="66"/>
      <c r="E30" s="13">
        <v>4</v>
      </c>
      <c r="F30" s="18" t="s">
        <v>46</v>
      </c>
      <c r="G30" s="17">
        <f>VLOOKUP(F30,ESPNScores!$A$2:$B$133,2,FALSE)</f>
        <v>-10</v>
      </c>
      <c r="H30" s="18" t="s">
        <v>57</v>
      </c>
      <c r="I30" s="17">
        <f>VLOOKUP(H30,ESPNScores!$A$2:$B$133,2,FALSE)</f>
        <v>-14</v>
      </c>
      <c r="J30" s="18" t="s">
        <v>46</v>
      </c>
      <c r="K30" s="17">
        <f>VLOOKUP(J30,ESPNScores!$A$2:$B$133,2,FALSE)</f>
        <v>-10</v>
      </c>
      <c r="L30" s="18" t="s">
        <v>46</v>
      </c>
      <c r="M30" s="17">
        <f>VLOOKUP(L30,ESPNScores!$A$2:$B$133,2,FALSE)</f>
        <v>-10</v>
      </c>
      <c r="N30" s="18" t="s">
        <v>108</v>
      </c>
      <c r="O30" s="17">
        <f>VLOOKUP(N30,ESPNScores!$A$2:$B$133,2,FALSE)</f>
        <v>-6</v>
      </c>
      <c r="P30" s="18" t="s">
        <v>108</v>
      </c>
      <c r="Q30" s="17">
        <f>VLOOKUP(P30,ESPNScores!$A$2:$B$133,2,FALSE)</f>
        <v>-6</v>
      </c>
      <c r="R30" s="18" t="s">
        <v>108</v>
      </c>
      <c r="S30" s="17">
        <f>VLOOKUP(R30,ESPNScores!$A$2:$B$133,2,FALSE)</f>
        <v>-6</v>
      </c>
      <c r="T30" s="18" t="s">
        <v>108</v>
      </c>
      <c r="U30" s="17">
        <f>VLOOKUP(T30,ESPNScores!$A$2:$B$133,2,FALSE)</f>
        <v>-6</v>
      </c>
      <c r="V30" s="9"/>
    </row>
    <row r="31" spans="2:23" ht="14.5" x14ac:dyDescent="0.35">
      <c r="B31" s="97" t="str">
        <v>Langer</v>
      </c>
      <c r="C31" s="44">
        <v>-81</v>
      </c>
      <c r="D31" s="66"/>
      <c r="E31" s="13">
        <v>5</v>
      </c>
      <c r="F31" s="18" t="s">
        <v>50</v>
      </c>
      <c r="G31" s="17">
        <f>VLOOKUP(F31,ESPNScores!$A$2:$B$133,2,FALSE)</f>
        <v>-8</v>
      </c>
      <c r="H31" s="18" t="s">
        <v>104</v>
      </c>
      <c r="I31" s="17">
        <f>VLOOKUP(H31,ESPNScores!$A$2:$B$133,2,FALSE)</f>
        <v>-6</v>
      </c>
      <c r="J31" s="18" t="s">
        <v>104</v>
      </c>
      <c r="K31" s="17">
        <f>VLOOKUP(J31,ESPNScores!$A$2:$B$133,2,FALSE)</f>
        <v>-6</v>
      </c>
      <c r="L31" s="18" t="s">
        <v>104</v>
      </c>
      <c r="M31" s="17">
        <f>VLOOKUP(L31,ESPNScores!$A$2:$B$133,2,FALSE)</f>
        <v>-6</v>
      </c>
      <c r="N31" s="18" t="s">
        <v>104</v>
      </c>
      <c r="O31" s="17">
        <f>VLOOKUP(N31,ESPNScores!$A$2:$B$133,2,FALSE)</f>
        <v>-6</v>
      </c>
      <c r="P31" s="18" t="s">
        <v>104</v>
      </c>
      <c r="Q31" s="17">
        <f>VLOOKUP(P31,ESPNScores!$A$2:$B$133,2,FALSE)</f>
        <v>-6</v>
      </c>
      <c r="R31" s="18" t="s">
        <v>104</v>
      </c>
      <c r="S31" s="17">
        <f>VLOOKUP(R31,ESPNScores!$A$2:$B$133,2,FALSE)</f>
        <v>-6</v>
      </c>
      <c r="T31" s="18" t="s">
        <v>50</v>
      </c>
      <c r="U31" s="17">
        <f>VLOOKUP(T31,ESPNScores!$A$2:$B$133,2,FALSE)</f>
        <v>-8</v>
      </c>
      <c r="V31" s="29"/>
    </row>
    <row r="32" spans="2:23" ht="14.5" x14ac:dyDescent="0.35">
      <c r="B32" s="52" t="str">
        <v>Armstrong</v>
      </c>
      <c r="C32" s="45" t="e">
        <v>#N/A</v>
      </c>
      <c r="D32" s="67"/>
      <c r="E32" s="13">
        <v>6</v>
      </c>
      <c r="F32" s="18" t="s">
        <v>28</v>
      </c>
      <c r="G32" s="17">
        <f>VLOOKUP(F32,ESPNScores!$A$2:$B$133,2,FALSE)</f>
        <v>-12</v>
      </c>
      <c r="H32" s="18" t="s">
        <v>40</v>
      </c>
      <c r="I32" s="17">
        <f>VLOOKUP(H32,ESPNScores!$A$2:$B$133,2,FALSE)</f>
        <v>-15</v>
      </c>
      <c r="J32" s="18" t="s">
        <v>40</v>
      </c>
      <c r="K32" s="17">
        <f>VLOOKUP(J32,ESPNScores!$A$2:$B$133,2,FALSE)</f>
        <v>-15</v>
      </c>
      <c r="L32" s="18" t="s">
        <v>40</v>
      </c>
      <c r="M32" s="17">
        <f>VLOOKUP(L32,ESPNScores!$A$2:$B$133,2,FALSE)</f>
        <v>-15</v>
      </c>
      <c r="N32" s="18" t="s">
        <v>40</v>
      </c>
      <c r="O32" s="17">
        <f>VLOOKUP(N32,ESPNScores!$A$2:$B$133,2,FALSE)</f>
        <v>-15</v>
      </c>
      <c r="P32" s="18" t="s">
        <v>40</v>
      </c>
      <c r="Q32" s="17">
        <f>VLOOKUP(P32,ESPNScores!$A$2:$B$133,2,FALSE)</f>
        <v>-15</v>
      </c>
      <c r="R32" s="18" t="s">
        <v>40</v>
      </c>
      <c r="S32" s="17">
        <f>VLOOKUP(R32,ESPNScores!$A$2:$B$133,2,FALSE)</f>
        <v>-15</v>
      </c>
      <c r="T32" s="18" t="s">
        <v>40</v>
      </c>
      <c r="U32" s="17">
        <f>VLOOKUP(T32,ESPNScores!$A$2:$B$133,2,FALSE)</f>
        <v>-15</v>
      </c>
      <c r="V32" s="9"/>
    </row>
    <row r="33" spans="2:23" ht="14.5" x14ac:dyDescent="0.35">
      <c r="E33" s="13">
        <v>7</v>
      </c>
      <c r="F33" s="18" t="s">
        <v>37</v>
      </c>
      <c r="G33" s="17">
        <f>VLOOKUP(F33,ESPNScores!$A$2:$B$133,2,FALSE)</f>
        <v>-20</v>
      </c>
      <c r="H33" s="18" t="s">
        <v>37</v>
      </c>
      <c r="I33" s="17">
        <f>VLOOKUP(H33,ESPNScores!$A$2:$B$133,2,FALSE)</f>
        <v>-20</v>
      </c>
      <c r="J33" s="18" t="s">
        <v>35</v>
      </c>
      <c r="K33" s="17">
        <f>VLOOKUP(J33,ESPNScores!$A$2:$B$133,2,FALSE)</f>
        <v>-17</v>
      </c>
      <c r="L33" s="18" t="s">
        <v>37</v>
      </c>
      <c r="M33" s="17">
        <f>VLOOKUP(L33,ESPNScores!$A$2:$B$133,2,FALSE)</f>
        <v>-20</v>
      </c>
      <c r="N33" s="18" t="s">
        <v>37</v>
      </c>
      <c r="O33" s="17">
        <f>VLOOKUP(N33,ESPNScores!$A$2:$B$133,2,FALSE)</f>
        <v>-20</v>
      </c>
      <c r="P33" s="18" t="s">
        <v>27</v>
      </c>
      <c r="Q33" s="17">
        <f>VLOOKUP(P33,ESPNScores!$A$2:$B$133,2,FALSE)</f>
        <v>-14</v>
      </c>
      <c r="R33" s="18" t="s">
        <v>37</v>
      </c>
      <c r="S33" s="17">
        <f>VLOOKUP(R33,ESPNScores!$A$2:$B$133,2,FALSE)</f>
        <v>-20</v>
      </c>
      <c r="T33" s="18" t="s">
        <v>35</v>
      </c>
      <c r="U33" s="17">
        <f>VLOOKUP(T33,ESPNScores!$A$2:$B$133,2,FALSE)</f>
        <v>-17</v>
      </c>
      <c r="V33" s="9"/>
    </row>
    <row r="34" spans="2:23" ht="14.5" x14ac:dyDescent="0.35">
      <c r="B34" s="71" t="s">
        <v>107</v>
      </c>
      <c r="E34" s="13">
        <v>8</v>
      </c>
      <c r="F34" s="18" t="s">
        <v>43</v>
      </c>
      <c r="G34" s="17">
        <f>VLOOKUP(F34,ESPNScores!$A$2:$B$133,2,FALSE)</f>
        <v>-21</v>
      </c>
      <c r="H34" s="18" t="s">
        <v>43</v>
      </c>
      <c r="I34" s="17">
        <f>VLOOKUP(H34,ESPNScores!$A$2:$B$133,2,FALSE)</f>
        <v>-21</v>
      </c>
      <c r="J34" s="18" t="s">
        <v>43</v>
      </c>
      <c r="K34" s="17">
        <f>VLOOKUP(J34,ESPNScores!$A$2:$B$133,2,FALSE)</f>
        <v>-21</v>
      </c>
      <c r="L34" s="18" t="s">
        <v>43</v>
      </c>
      <c r="M34" s="17">
        <f>VLOOKUP(L34,ESPNScores!$A$2:$B$133,2,FALSE)</f>
        <v>-21</v>
      </c>
      <c r="N34" s="18" t="s">
        <v>43</v>
      </c>
      <c r="O34" s="17">
        <f>VLOOKUP(N34,ESPNScores!$A$2:$B$133,2,FALSE)</f>
        <v>-21</v>
      </c>
      <c r="P34" s="18" t="s">
        <v>43</v>
      </c>
      <c r="Q34" s="17">
        <f>VLOOKUP(P34,ESPNScores!$A$2:$B$133,2,FALSE)</f>
        <v>-21</v>
      </c>
      <c r="R34" s="18" t="s">
        <v>58</v>
      </c>
      <c r="S34" s="17">
        <f>VLOOKUP(R34,ESPNScores!$A$2:$B$133,2,FALSE)</f>
        <v>-13</v>
      </c>
      <c r="T34" s="18" t="s">
        <v>58</v>
      </c>
      <c r="U34" s="17">
        <f>VLOOKUP(T34,ESPNScores!$A$2:$B$133,2,FALSE)</f>
        <v>-13</v>
      </c>
      <c r="V34" s="9"/>
    </row>
    <row r="35" spans="2:23" ht="14.5" x14ac:dyDescent="0.35">
      <c r="B35" s="70" t="str">
        <f>ESPNScores!A2</f>
        <v>Scottie Scheffler</v>
      </c>
      <c r="C35" s="69">
        <f>ESPNScores!B2</f>
        <v>-21</v>
      </c>
      <c r="E35" s="13">
        <v>9</v>
      </c>
      <c r="F35" s="18" t="s">
        <v>125</v>
      </c>
      <c r="G35" s="17">
        <f>VLOOKUP(F35,ESPNScores!$A$2:$B$133,2,FALSE)</f>
        <v>-8</v>
      </c>
      <c r="H35" s="18" t="s">
        <v>123</v>
      </c>
      <c r="I35" s="17">
        <f>VLOOKUP(H35,ESPNScores!$A$2:$B$133,2,FALSE)</f>
        <v>-7</v>
      </c>
      <c r="J35" s="18" t="s">
        <v>123</v>
      </c>
      <c r="K35" s="17">
        <f>VLOOKUP(J35,ESPNScores!$A$2:$B$133,2,FALSE)</f>
        <v>-7</v>
      </c>
      <c r="L35" s="18" t="s">
        <v>125</v>
      </c>
      <c r="M35" s="17">
        <f>VLOOKUP(L35,ESPNScores!$A$2:$B$133,2,FALSE)</f>
        <v>-8</v>
      </c>
      <c r="N35" s="18" t="s">
        <v>123</v>
      </c>
      <c r="O35" s="17">
        <f>VLOOKUP(N35,ESPNScores!$A$2:$B$133,2,FALSE)</f>
        <v>-7</v>
      </c>
      <c r="P35" s="18" t="s">
        <v>125</v>
      </c>
      <c r="Q35" s="17">
        <f>VLOOKUP(P35,ESPNScores!$A$2:$B$133,2,FALSE)</f>
        <v>-8</v>
      </c>
      <c r="R35" s="18" t="s">
        <v>123</v>
      </c>
      <c r="S35" s="17">
        <f>VLOOKUP(R35,ESPNScores!$A$2:$B$133,2,FALSE)</f>
        <v>-7</v>
      </c>
      <c r="T35" s="18" t="s">
        <v>123</v>
      </c>
      <c r="U35" s="17">
        <f>VLOOKUP(T35,ESPNScores!$A$2:$B$133,2,FALSE)</f>
        <v>-7</v>
      </c>
      <c r="V35" s="9"/>
    </row>
    <row r="36" spans="2:23" ht="14.5" x14ac:dyDescent="0.35">
      <c r="B36" s="70" t="str">
        <f>ESPNScores!A3</f>
        <v>Viktor Hovland</v>
      </c>
      <c r="C36" s="69">
        <f>ESPNScores!B3</f>
        <v>-21</v>
      </c>
      <c r="E36" s="13">
        <v>10</v>
      </c>
      <c r="F36" s="18" t="s">
        <v>34</v>
      </c>
      <c r="G36" s="17">
        <f>VLOOKUP(F36,ESPNScores!$A$2:$B$133,2,FALSE)</f>
        <v>-11</v>
      </c>
      <c r="H36" s="18" t="s">
        <v>74</v>
      </c>
      <c r="I36" s="17">
        <f>VLOOKUP(H36,ESPNScores!$A$2:$B$133,2,FALSE)</f>
        <v>-18</v>
      </c>
      <c r="J36" s="18" t="s">
        <v>34</v>
      </c>
      <c r="K36" s="17">
        <f>VLOOKUP(J36,ESPNScores!$A$2:$B$133,2,FALSE)</f>
        <v>-11</v>
      </c>
      <c r="L36" s="18" t="s">
        <v>109</v>
      </c>
      <c r="M36" s="17">
        <f>VLOOKUP(L36,ESPNScores!$A$2:$B$133,2,FALSE)</f>
        <v>-11</v>
      </c>
      <c r="N36" s="18" t="s">
        <v>109</v>
      </c>
      <c r="O36" s="17">
        <f>VLOOKUP(N36,ESPNScores!$A$2:$B$133,2,FALSE)</f>
        <v>-11</v>
      </c>
      <c r="P36" s="18" t="s">
        <v>109</v>
      </c>
      <c r="Q36" s="17">
        <f>VLOOKUP(P36,ESPNScores!$A$2:$B$133,2,FALSE)</f>
        <v>-11</v>
      </c>
      <c r="R36" s="18" t="s">
        <v>109</v>
      </c>
      <c r="S36" s="17">
        <f>VLOOKUP(R36,ESPNScores!$A$2:$B$133,2,FALSE)</f>
        <v>-11</v>
      </c>
      <c r="T36" s="18" t="s">
        <v>109</v>
      </c>
      <c r="U36" s="17">
        <f>VLOOKUP(T36,ESPNScores!$A$2:$B$133,2,FALSE)</f>
        <v>-11</v>
      </c>
      <c r="V36" s="9"/>
    </row>
    <row r="37" spans="2:23" x14ac:dyDescent="0.25">
      <c r="B37" s="70" t="str">
        <f>ESPNScores!A4</f>
        <v>Collin Morikawa</v>
      </c>
      <c r="C37" s="69">
        <f>ESPNScores!B4</f>
        <v>-20</v>
      </c>
      <c r="E37" s="18"/>
      <c r="G37" s="17"/>
      <c r="I37" s="17"/>
      <c r="K37" s="17"/>
      <c r="M37" s="17"/>
      <c r="O37" s="17"/>
      <c r="Q37" s="17"/>
      <c r="S37" s="17"/>
    </row>
    <row r="38" spans="2:23" ht="13" x14ac:dyDescent="0.3">
      <c r="B38" s="70" t="str">
        <f>ESPNScores!A5</f>
        <v>Matt Fitzpatrick</v>
      </c>
      <c r="C38" s="69">
        <f>ESPNScores!B5</f>
        <v>-19</v>
      </c>
      <c r="E38" s="12"/>
      <c r="F38" s="10" t="s">
        <v>99</v>
      </c>
      <c r="G38" s="11">
        <f>SMALL(G39:G48,1)+SMALL(G39:G48,2)+SMALL(G39:G48,3)+SMALL(G39:G48,4)+SMALL(G39:G48,5)</f>
        <v>-93</v>
      </c>
      <c r="H38" s="10" t="s">
        <v>93</v>
      </c>
      <c r="I38" s="11">
        <f>SMALL(I39:I48,1)+SMALL(I39:I48,2)+SMALL(I39:I48,3)+SMALL(I39:I48,4)+SMALL(I39:I48,5)</f>
        <v>-87</v>
      </c>
      <c r="J38" s="10" t="s">
        <v>101</v>
      </c>
      <c r="K38" s="11">
        <f>SMALL(K39:K48,1)+SMALL(K39:K48,2)+SMALL(K39:K48,3)+SMALL(K39:K48,4)+SMALL(K39:K48,5)</f>
        <v>-91</v>
      </c>
      <c r="L38" s="10" t="s">
        <v>105</v>
      </c>
      <c r="M38" s="11">
        <f>SMALL(M39:M48,1)+SMALL(M39:M48,2)+SMALL(M39:M48,3)+SMALL(M39:M48,4)+SMALL(M39:M48,5)</f>
        <v>-83</v>
      </c>
      <c r="N38" s="10" t="s">
        <v>106</v>
      </c>
      <c r="O38" s="11">
        <f>SMALL(O39:O48,1)+SMALL(O39:O48,2)+SMALL(O39:O48,3)+SMALL(O39:O48,4)+SMALL(O39:O48,5)</f>
        <v>-90</v>
      </c>
      <c r="P38" s="10" t="s">
        <v>127</v>
      </c>
      <c r="Q38" s="11">
        <f>SMALL(Q39:Q48,1)+SMALL(Q39:Q48,2)+SMALL(Q39:Q48,3)+SMALL(Q39:Q48,4)+SMALL(Q39:Q48,5)</f>
        <v>-86</v>
      </c>
      <c r="R38" s="7"/>
      <c r="S38" s="1"/>
      <c r="T38" s="7"/>
      <c r="U38" s="1"/>
      <c r="V38" s="7"/>
      <c r="W38" s="1"/>
    </row>
    <row r="39" spans="2:23" ht="14.5" x14ac:dyDescent="0.35">
      <c r="B39" s="70" t="str">
        <f>ESPNScores!A6</f>
        <v>Wyndham Clark</v>
      </c>
      <c r="C39" s="69">
        <f>ESPNScores!B6</f>
        <v>-18</v>
      </c>
      <c r="E39" s="13">
        <v>1</v>
      </c>
      <c r="F39" s="18" t="s">
        <v>24</v>
      </c>
      <c r="G39" s="17">
        <f>VLOOKUP(F39,ESPNScores!$A$2:$B$133,2,FALSE)</f>
        <v>-21</v>
      </c>
      <c r="H39" s="18" t="s">
        <v>24</v>
      </c>
      <c r="I39" s="17">
        <f>VLOOKUP(H39,ESPNScores!$A$2:$B$133,2,FALSE)</f>
        <v>-21</v>
      </c>
      <c r="J39" s="18" t="s">
        <v>24</v>
      </c>
      <c r="K39" s="17">
        <f>VLOOKUP(J39,ESPNScores!$A$2:$B$133,2,FALSE)</f>
        <v>-21</v>
      </c>
      <c r="L39" s="18" t="s">
        <v>24</v>
      </c>
      <c r="M39" s="17">
        <f>VLOOKUP(L39,ESPNScores!$A$2:$B$133,2,FALSE)</f>
        <v>-21</v>
      </c>
      <c r="N39" s="28" t="s">
        <v>24</v>
      </c>
      <c r="O39" s="17">
        <f>VLOOKUP(N39,ESPNScores!$A$2:$B$133,2,FALSE)</f>
        <v>-21</v>
      </c>
      <c r="P39" s="28" t="s">
        <v>24</v>
      </c>
      <c r="Q39" s="17">
        <f>VLOOKUP(P39,ESPNScores!$A$2:$B$133,2,FALSE)</f>
        <v>-21</v>
      </c>
      <c r="R39" s="60"/>
      <c r="S39" s="17"/>
      <c r="V39" s="9"/>
    </row>
    <row r="40" spans="2:23" ht="14.5" x14ac:dyDescent="0.35">
      <c r="B40" s="70" t="str">
        <f>ESPNScores!A7</f>
        <v>Akshay Bhatia</v>
      </c>
      <c r="C40" s="69">
        <f>ESPNScores!B7</f>
        <v>-18</v>
      </c>
      <c r="E40" s="13">
        <v>2</v>
      </c>
      <c r="F40" s="18" t="s">
        <v>29</v>
      </c>
      <c r="G40" s="17">
        <f>VLOOKUP(F40,ESPNScores!$A$2:$B$133,2,FALSE)</f>
        <v>-14</v>
      </c>
      <c r="H40" s="18" t="s">
        <v>73</v>
      </c>
      <c r="I40" s="17">
        <f>VLOOKUP(H40,ESPNScores!$A$2:$B$133,2,FALSE)</f>
        <v>-16</v>
      </c>
      <c r="J40" s="18" t="s">
        <v>29</v>
      </c>
      <c r="K40" s="17">
        <f>VLOOKUP(J40,ESPNScores!$A$2:$B$133,2,FALSE)</f>
        <v>-14</v>
      </c>
      <c r="L40" s="18" t="s">
        <v>47</v>
      </c>
      <c r="M40" s="17">
        <f>VLOOKUP(L40,ESPNScores!$A$2:$B$133,2,FALSE)</f>
        <v>-12</v>
      </c>
      <c r="N40" s="18" t="s">
        <v>29</v>
      </c>
      <c r="O40" s="17">
        <f>VLOOKUP(N40,ESPNScores!$A$2:$B$133,2,FALSE)</f>
        <v>-14</v>
      </c>
      <c r="P40" s="18" t="s">
        <v>29</v>
      </c>
      <c r="Q40" s="17">
        <f>VLOOKUP(P40,ESPNScores!$A$2:$B$133,2,FALSE)</f>
        <v>-14</v>
      </c>
      <c r="R40" s="60"/>
      <c r="S40" s="17"/>
      <c r="V40" s="9"/>
    </row>
    <row r="41" spans="2:23" ht="14.5" x14ac:dyDescent="0.35">
      <c r="B41" s="70" t="str">
        <f>ESPNScores!A8</f>
        <v>Corey Conners</v>
      </c>
      <c r="C41" s="69">
        <f>ESPNScores!B8</f>
        <v>-17</v>
      </c>
      <c r="E41" s="13">
        <v>3</v>
      </c>
      <c r="F41" s="18" t="s">
        <v>67</v>
      </c>
      <c r="G41" s="17">
        <f>VLOOKUP(F41,ESPNScores!$A$2:$B$133,2,FALSE)</f>
        <v>-16</v>
      </c>
      <c r="H41" s="18" t="s">
        <v>67</v>
      </c>
      <c r="I41" s="17">
        <f>VLOOKUP(H41,ESPNScores!$A$2:$B$133,2,FALSE)</f>
        <v>-16</v>
      </c>
      <c r="J41" s="18" t="s">
        <v>30</v>
      </c>
      <c r="K41" s="17">
        <f>VLOOKUP(J41,ESPNScores!$A$2:$B$133,2,FALSE)</f>
        <v>-15</v>
      </c>
      <c r="L41" s="18" t="s">
        <v>67</v>
      </c>
      <c r="M41" s="17">
        <f>VLOOKUP(L41,ESPNScores!$A$2:$B$133,2,FALSE)</f>
        <v>-16</v>
      </c>
      <c r="N41" s="18" t="s">
        <v>67</v>
      </c>
      <c r="O41" s="17">
        <f>VLOOKUP(N41,ESPNScores!$A$2:$B$133,2,FALSE)</f>
        <v>-16</v>
      </c>
      <c r="P41" s="18" t="s">
        <v>67</v>
      </c>
      <c r="Q41" s="17">
        <f>VLOOKUP(P41,ESPNScores!$A$2:$B$133,2,FALSE)</f>
        <v>-16</v>
      </c>
      <c r="R41" s="60"/>
      <c r="S41" s="17"/>
      <c r="V41" s="9"/>
    </row>
    <row r="42" spans="2:23" ht="14.5" x14ac:dyDescent="0.35">
      <c r="B42" s="70" t="str">
        <f>ESPNScores!A9</f>
        <v>Alex Fitzpatrick</v>
      </c>
      <c r="C42" s="69">
        <f>ESPNScores!B9</f>
        <v>-17</v>
      </c>
      <c r="E42" s="13">
        <v>4</v>
      </c>
      <c r="F42" s="18" t="s">
        <v>46</v>
      </c>
      <c r="G42" s="17">
        <f>VLOOKUP(F42,ESPNScores!$A$2:$B$133,2,FALSE)</f>
        <v>-10</v>
      </c>
      <c r="H42" s="18" t="s">
        <v>46</v>
      </c>
      <c r="I42" s="17">
        <f>VLOOKUP(H42,ESPNScores!$A$2:$B$133,2,FALSE)</f>
        <v>-10</v>
      </c>
      <c r="J42" s="18" t="s">
        <v>108</v>
      </c>
      <c r="K42" s="17">
        <f>VLOOKUP(J42,ESPNScores!$A$2:$B$133,2,FALSE)</f>
        <v>-6</v>
      </c>
      <c r="L42" s="18" t="s">
        <v>46</v>
      </c>
      <c r="M42" s="17">
        <f>VLOOKUP(L42,ESPNScores!$A$2:$B$133,2,FALSE)</f>
        <v>-10</v>
      </c>
      <c r="N42" s="18" t="s">
        <v>108</v>
      </c>
      <c r="O42" s="17">
        <f>VLOOKUP(N42,ESPNScores!$A$2:$B$133,2,FALSE)</f>
        <v>-6</v>
      </c>
      <c r="P42" s="18" t="s">
        <v>46</v>
      </c>
      <c r="Q42" s="17">
        <f>VLOOKUP(P42,ESPNScores!$A$2:$B$133,2,FALSE)</f>
        <v>-10</v>
      </c>
      <c r="R42" s="60"/>
      <c r="S42" s="17"/>
      <c r="V42" s="9"/>
    </row>
    <row r="43" spans="2:23" ht="14.5" x14ac:dyDescent="0.35">
      <c r="B43" s="70" t="str">
        <f>ESPNScores!A10</f>
        <v>J.J. Spaun</v>
      </c>
      <c r="C43" s="69">
        <f>ESPNScores!B10</f>
        <v>-17</v>
      </c>
      <c r="E43" s="13">
        <v>5</v>
      </c>
      <c r="F43" s="18" t="s">
        <v>104</v>
      </c>
      <c r="G43" s="17">
        <f>VLOOKUP(F43,ESPNScores!$A$2:$B$133,2,FALSE)</f>
        <v>-6</v>
      </c>
      <c r="H43" s="18" t="s">
        <v>50</v>
      </c>
      <c r="I43" s="17">
        <f>VLOOKUP(H43,ESPNScores!$A$2:$B$133,2,FALSE)</f>
        <v>-8</v>
      </c>
      <c r="J43" s="18" t="s">
        <v>50</v>
      </c>
      <c r="K43" s="17">
        <f>VLOOKUP(J43,ESPNScores!$A$2:$B$133,2,FALSE)</f>
        <v>-8</v>
      </c>
      <c r="L43" s="18" t="s">
        <v>50</v>
      </c>
      <c r="M43" s="17">
        <f>VLOOKUP(L43,ESPNScores!$A$2:$B$133,2,FALSE)</f>
        <v>-8</v>
      </c>
      <c r="N43" s="18" t="s">
        <v>104</v>
      </c>
      <c r="O43" s="17">
        <f>VLOOKUP(N43,ESPNScores!$A$2:$B$133,2,FALSE)</f>
        <v>-6</v>
      </c>
      <c r="P43" s="18" t="s">
        <v>104</v>
      </c>
      <c r="Q43" s="17">
        <f>VLOOKUP(P43,ESPNScores!$A$2:$B$133,2,FALSE)</f>
        <v>-6</v>
      </c>
      <c r="R43" s="60"/>
      <c r="S43" s="17"/>
      <c r="V43" s="29"/>
    </row>
    <row r="44" spans="2:23" ht="14.5" x14ac:dyDescent="0.35">
      <c r="B44" s="70" t="str">
        <f>ESPNScores!A11</f>
        <v>Robert MacIntyre</v>
      </c>
      <c r="C44" s="69">
        <f>ESPNScores!B11</f>
        <v>-16</v>
      </c>
      <c r="E44" s="13">
        <v>6</v>
      </c>
      <c r="F44" s="18" t="s">
        <v>40</v>
      </c>
      <c r="G44" s="17">
        <f>VLOOKUP(F44,ESPNScores!$A$2:$B$133,2,FALSE)</f>
        <v>-15</v>
      </c>
      <c r="H44" s="18" t="s">
        <v>28</v>
      </c>
      <c r="I44" s="17">
        <f>VLOOKUP(H44,ESPNScores!$A$2:$B$133,2,FALSE)</f>
        <v>-12</v>
      </c>
      <c r="J44" s="18" t="s">
        <v>44</v>
      </c>
      <c r="K44" s="17">
        <f>VLOOKUP(J44,ESPNScores!$A$2:$B$133,2,FALSE)</f>
        <v>-14</v>
      </c>
      <c r="L44" s="18" t="s">
        <v>40</v>
      </c>
      <c r="M44" s="17">
        <f>VLOOKUP(L44,ESPNScores!$A$2:$B$133,2,FALSE)</f>
        <v>-15</v>
      </c>
      <c r="N44" s="18" t="s">
        <v>40</v>
      </c>
      <c r="O44" s="17">
        <f>VLOOKUP(N44,ESPNScores!$A$2:$B$133,2,FALSE)</f>
        <v>-15</v>
      </c>
      <c r="P44" s="18" t="s">
        <v>40</v>
      </c>
      <c r="Q44" s="17">
        <f>VLOOKUP(P44,ESPNScores!$A$2:$B$133,2,FALSE)</f>
        <v>-15</v>
      </c>
      <c r="R44" s="60"/>
      <c r="S44" s="17"/>
      <c r="V44" s="9"/>
    </row>
    <row r="45" spans="2:23" ht="14.5" x14ac:dyDescent="0.35">
      <c r="B45" s="70" t="str">
        <f>ESPNScores!A12</f>
        <v>Ben Griffin</v>
      </c>
      <c r="C45" s="69">
        <f>ESPNScores!B12</f>
        <v>-16</v>
      </c>
      <c r="E45" s="13">
        <v>7</v>
      </c>
      <c r="F45" s="18" t="s">
        <v>37</v>
      </c>
      <c r="G45" s="17">
        <f>VLOOKUP(F45,ESPNScores!$A$2:$B$133,2,FALSE)</f>
        <v>-20</v>
      </c>
      <c r="H45" s="18" t="s">
        <v>37</v>
      </c>
      <c r="I45" s="17">
        <f>VLOOKUP(H45,ESPNScores!$A$2:$B$133,2,FALSE)</f>
        <v>-20</v>
      </c>
      <c r="J45" s="18" t="s">
        <v>37</v>
      </c>
      <c r="K45" s="17">
        <f>VLOOKUP(J45,ESPNScores!$A$2:$B$133,2,FALSE)</f>
        <v>-20</v>
      </c>
      <c r="L45" s="18" t="s">
        <v>35</v>
      </c>
      <c r="M45" s="17">
        <f>VLOOKUP(L45,ESPNScores!$A$2:$B$133,2,FALSE)</f>
        <v>-17</v>
      </c>
      <c r="N45" s="18" t="s">
        <v>35</v>
      </c>
      <c r="O45" s="17">
        <f>VLOOKUP(N45,ESPNScores!$A$2:$B$133,2,FALSE)</f>
        <v>-17</v>
      </c>
      <c r="P45" s="18" t="s">
        <v>37</v>
      </c>
      <c r="Q45" s="17">
        <f>VLOOKUP(P45,ESPNScores!$A$2:$B$133,2,FALSE)</f>
        <v>-20</v>
      </c>
      <c r="R45" s="60"/>
      <c r="S45" s="17"/>
      <c r="V45" s="9"/>
    </row>
    <row r="46" spans="2:23" ht="13" x14ac:dyDescent="0.3">
      <c r="E46" s="13">
        <v>8</v>
      </c>
      <c r="F46" s="18" t="s">
        <v>43</v>
      </c>
      <c r="G46" s="17">
        <f>VLOOKUP(F46,ESPNScores!$A$2:$B$133,2,FALSE)</f>
        <v>-21</v>
      </c>
      <c r="H46" s="18" t="s">
        <v>52</v>
      </c>
      <c r="I46" s="17">
        <f>VLOOKUP(H46,ESPNScores!$A$2:$B$133,2,FALSE)</f>
        <v>-14</v>
      </c>
      <c r="J46" s="18" t="s">
        <v>43</v>
      </c>
      <c r="K46" s="17">
        <f>VLOOKUP(J46,ESPNScores!$A$2:$B$133,2,FALSE)</f>
        <v>-21</v>
      </c>
      <c r="L46" s="18" t="s">
        <v>52</v>
      </c>
      <c r="M46" s="17">
        <f>VLOOKUP(L46,ESPNScores!$A$2:$B$133,2,FALSE)</f>
        <v>-14</v>
      </c>
      <c r="N46" s="18" t="s">
        <v>43</v>
      </c>
      <c r="O46" s="17">
        <f>VLOOKUP(N46,ESPNScores!$A$2:$B$133,2,FALSE)</f>
        <v>-21</v>
      </c>
      <c r="P46" s="18" t="s">
        <v>52</v>
      </c>
      <c r="Q46" s="17">
        <f>VLOOKUP(P46,ESPNScores!$A$2:$B$133,2,FALSE)</f>
        <v>-14</v>
      </c>
      <c r="R46" s="60"/>
      <c r="S46" s="17"/>
    </row>
    <row r="47" spans="2:23" ht="14.5" x14ac:dyDescent="0.35">
      <c r="B47" s="71" t="s">
        <v>137</v>
      </c>
      <c r="E47" s="13">
        <v>9</v>
      </c>
      <c r="F47" s="18" t="s">
        <v>123</v>
      </c>
      <c r="G47" s="17">
        <f>VLOOKUP(F47,ESPNScores!$A$2:$B$133,2,FALSE)</f>
        <v>-7</v>
      </c>
      <c r="H47" s="18" t="s">
        <v>123</v>
      </c>
      <c r="I47" s="17">
        <f>VLOOKUP(H47,ESPNScores!$A$2:$B$133,2,FALSE)</f>
        <v>-7</v>
      </c>
      <c r="J47" s="18" t="s">
        <v>38</v>
      </c>
      <c r="K47" s="17">
        <f>VLOOKUP(J47,ESPNScores!$A$2:$B$133,2,FALSE)</f>
        <v>-12</v>
      </c>
      <c r="L47" s="18" t="s">
        <v>123</v>
      </c>
      <c r="M47" s="17">
        <f>VLOOKUP(L47,ESPNScores!$A$2:$B$133,2,FALSE)</f>
        <v>-7</v>
      </c>
      <c r="N47" s="18" t="s">
        <v>123</v>
      </c>
      <c r="O47" s="17">
        <f>VLOOKUP(N47,ESPNScores!$A$2:$B$133,2,FALSE)</f>
        <v>-7</v>
      </c>
      <c r="P47" s="18" t="s">
        <v>123</v>
      </c>
      <c r="Q47" s="17">
        <f>VLOOKUP(P47,ESPNScores!$A$2:$B$133,2,FALSE)</f>
        <v>-7</v>
      </c>
      <c r="R47" s="28"/>
      <c r="S47" s="17"/>
      <c r="V47" s="9"/>
    </row>
    <row r="48" spans="2:23" ht="14.5" x14ac:dyDescent="0.35">
      <c r="B48" s="72" t="s">
        <v>139</v>
      </c>
      <c r="E48" s="13">
        <v>10</v>
      </c>
      <c r="F48" s="18" t="s">
        <v>109</v>
      </c>
      <c r="G48" s="17">
        <f>VLOOKUP(F48,ESPNScores!$A$2:$B$133,2,FALSE)</f>
        <v>-11</v>
      </c>
      <c r="H48" s="18" t="s">
        <v>34</v>
      </c>
      <c r="I48" s="17">
        <f>VLOOKUP(H48,ESPNScores!$A$2:$B$133,2,FALSE)</f>
        <v>-11</v>
      </c>
      <c r="J48" s="18" t="s">
        <v>109</v>
      </c>
      <c r="K48" s="17">
        <f>VLOOKUP(J48,ESPNScores!$A$2:$B$133,2,FALSE)</f>
        <v>-11</v>
      </c>
      <c r="L48" s="18" t="s">
        <v>109</v>
      </c>
      <c r="M48" s="17">
        <f>VLOOKUP(L48,ESPNScores!$A$2:$B$133,2,FALSE)</f>
        <v>-11</v>
      </c>
      <c r="N48" s="18" t="s">
        <v>109</v>
      </c>
      <c r="O48" s="17">
        <f>VLOOKUP(N48,ESPNScores!$A$2:$B$133,2,FALSE)</f>
        <v>-11</v>
      </c>
      <c r="P48" s="18" t="s">
        <v>109</v>
      </c>
      <c r="Q48" s="17">
        <f>VLOOKUP(P48,ESPNScores!$A$2:$B$133,2,FALSE)</f>
        <v>-11</v>
      </c>
      <c r="R48" s="60"/>
      <c r="S48" s="17"/>
      <c r="V48" s="9"/>
    </row>
    <row r="49" spans="5:35" x14ac:dyDescent="0.25">
      <c r="E49" s="18"/>
      <c r="G49" s="17"/>
      <c r="I49" s="17"/>
      <c r="K49" s="17"/>
      <c r="M49" s="17"/>
      <c r="O49" s="17"/>
      <c r="Q49" s="17"/>
      <c r="S49" s="17"/>
    </row>
    <row r="50" spans="5:35" x14ac:dyDescent="0.25">
      <c r="E50" s="18"/>
      <c r="F50" s="17" t="str">
        <f>F2</f>
        <v>Webster</v>
      </c>
      <c r="G50" s="17" t="str">
        <f>H2</f>
        <v>Mattson</v>
      </c>
      <c r="H50" s="17" t="str">
        <f>J2</f>
        <v>Holiday</v>
      </c>
      <c r="I50" s="17" t="str">
        <f>L2</f>
        <v>Donasky</v>
      </c>
      <c r="J50" s="17" t="str">
        <f>N2</f>
        <v>Allen</v>
      </c>
      <c r="K50" s="17" t="str">
        <f>P2</f>
        <v>L Hill</v>
      </c>
      <c r="L50" s="17" t="str">
        <f>R2</f>
        <v>Armstrong</v>
      </c>
      <c r="M50" s="17" t="str">
        <f>T2</f>
        <v>Horvath</v>
      </c>
      <c r="N50" s="17" t="str">
        <f>F14</f>
        <v>Chernick</v>
      </c>
      <c r="O50" s="17" t="str">
        <f>H14</f>
        <v>Rush</v>
      </c>
      <c r="P50" s="17" t="str">
        <f>J14</f>
        <v>Tsutsumi</v>
      </c>
      <c r="Q50" s="17" t="str">
        <f>L14</f>
        <v>Bernau</v>
      </c>
      <c r="R50" s="17" t="str">
        <f>N14</f>
        <v>Dillabaugh</v>
      </c>
      <c r="S50" s="17" t="str">
        <f>P14</f>
        <v>B Hill</v>
      </c>
      <c r="T50" s="17" t="str">
        <f>R14</f>
        <v>Fish</v>
      </c>
      <c r="U50" s="17" t="str">
        <f>T14</f>
        <v>Richard</v>
      </c>
      <c r="V50" s="3" t="str">
        <f>F26</f>
        <v>Rakusin</v>
      </c>
      <c r="W50" s="3" t="str">
        <f>H26</f>
        <v>Howell</v>
      </c>
      <c r="X50" s="3" t="str">
        <f>J26</f>
        <v>Eliason</v>
      </c>
      <c r="Y50" s="3" t="str">
        <f>L26</f>
        <v>Balme</v>
      </c>
      <c r="Z50" s="3" t="str">
        <f>N26</f>
        <v>McElroy</v>
      </c>
      <c r="AA50" s="3" t="str">
        <f>P26</f>
        <v>Hitchman</v>
      </c>
      <c r="AB50" s="3" t="str">
        <f>R26</f>
        <v>Hempel</v>
      </c>
      <c r="AC50" s="3" t="str">
        <f>T26</f>
        <v>Langer</v>
      </c>
      <c r="AD50" s="3" t="str">
        <f>F38</f>
        <v>Weiss</v>
      </c>
      <c r="AE50" s="17" t="str">
        <f>H38</f>
        <v>Steigmeyer</v>
      </c>
      <c r="AF50" s="3" t="str">
        <f>J38</f>
        <v>Stabile</v>
      </c>
      <c r="AG50" s="3" t="str">
        <f>L38</f>
        <v>Cruickshank</v>
      </c>
      <c r="AH50" s="3" t="str">
        <f>N38</f>
        <v>Isaacson</v>
      </c>
      <c r="AI50" s="17" t="s">
        <v>127</v>
      </c>
    </row>
    <row r="51" spans="5:35" x14ac:dyDescent="0.25">
      <c r="E51" s="18" t="s">
        <v>55</v>
      </c>
      <c r="F51" s="17">
        <f>G2</f>
        <v>-96</v>
      </c>
      <c r="G51" s="17">
        <f>I2</f>
        <v>-92</v>
      </c>
      <c r="H51" s="17">
        <f>K2</f>
        <v>-86</v>
      </c>
      <c r="I51" s="17">
        <f>M2</f>
        <v>-92</v>
      </c>
      <c r="J51" s="17">
        <f>O2</f>
        <v>-90</v>
      </c>
      <c r="K51" s="17">
        <f>Q2</f>
        <v>-83</v>
      </c>
      <c r="L51" s="17" t="e">
        <f>S2</f>
        <v>#N/A</v>
      </c>
      <c r="M51" s="17">
        <f>U2</f>
        <v>-86</v>
      </c>
      <c r="N51" s="17">
        <f>G14</f>
        <v>-89</v>
      </c>
      <c r="O51" s="17">
        <f>I14</f>
        <v>-93</v>
      </c>
      <c r="P51" s="17">
        <f>K14</f>
        <v>-92</v>
      </c>
      <c r="Q51" s="17">
        <f>M14</f>
        <v>-93</v>
      </c>
      <c r="R51" s="17">
        <f>O14</f>
        <v>-89</v>
      </c>
      <c r="S51" s="17">
        <f>Q14</f>
        <v>-92</v>
      </c>
      <c r="T51" s="17">
        <f>S14</f>
        <v>-86</v>
      </c>
      <c r="U51" s="17">
        <f>U14</f>
        <v>-91</v>
      </c>
      <c r="V51" s="3">
        <f>G26</f>
        <v>-89</v>
      </c>
      <c r="W51" s="3">
        <f>I26</f>
        <v>-95</v>
      </c>
      <c r="X51" s="3">
        <f>K26</f>
        <v>-90</v>
      </c>
      <c r="Y51" s="3">
        <f>M26</f>
        <v>-94</v>
      </c>
      <c r="Z51" s="3">
        <f>O26</f>
        <v>-89</v>
      </c>
      <c r="AA51" s="3">
        <f>Q26</f>
        <v>-88</v>
      </c>
      <c r="AB51" s="3">
        <f>S26</f>
        <v>-85</v>
      </c>
      <c r="AC51" s="3">
        <f>U26</f>
        <v>-81</v>
      </c>
      <c r="AD51" s="3">
        <f>G38</f>
        <v>-93</v>
      </c>
      <c r="AE51" s="3">
        <f>I38</f>
        <v>-87</v>
      </c>
      <c r="AF51" s="3">
        <f>K38</f>
        <v>-91</v>
      </c>
      <c r="AG51" s="3">
        <f>M38</f>
        <v>-83</v>
      </c>
      <c r="AH51" s="3">
        <f>O38</f>
        <v>-90</v>
      </c>
      <c r="AI51" s="3">
        <f>Q38</f>
        <v>-86</v>
      </c>
    </row>
    <row r="52" spans="5:35" x14ac:dyDescent="0.25">
      <c r="E52" s="18" t="s">
        <v>103</v>
      </c>
      <c r="F52" s="17">
        <v>-6</v>
      </c>
      <c r="G52" s="17">
        <v>1</v>
      </c>
      <c r="H52" s="17">
        <v>-11</v>
      </c>
      <c r="I52" s="17">
        <v>2</v>
      </c>
      <c r="J52" s="17">
        <v>-4</v>
      </c>
      <c r="K52" s="61">
        <v>-3</v>
      </c>
      <c r="L52" s="17">
        <v>-4</v>
      </c>
      <c r="M52" s="17">
        <v>-11</v>
      </c>
      <c r="N52" s="17">
        <v>-17</v>
      </c>
      <c r="O52" s="17" t="s">
        <v>245</v>
      </c>
      <c r="P52" s="17">
        <v>-6</v>
      </c>
      <c r="Q52" s="17">
        <v>-18</v>
      </c>
      <c r="R52" s="17">
        <v>-14</v>
      </c>
      <c r="S52" s="17">
        <v>-1</v>
      </c>
      <c r="T52" s="17">
        <v>-3</v>
      </c>
      <c r="U52" s="17">
        <v>-3</v>
      </c>
      <c r="V52" s="3">
        <v>-5</v>
      </c>
      <c r="W52" s="3">
        <v>-4</v>
      </c>
      <c r="X52" s="3">
        <v>-9</v>
      </c>
      <c r="Y52" s="3">
        <v>-14</v>
      </c>
      <c r="Z52" s="3">
        <v>-2</v>
      </c>
      <c r="AA52" s="3">
        <v>-4</v>
      </c>
      <c r="AB52" s="3" t="s">
        <v>245</v>
      </c>
      <c r="AC52" s="3">
        <v>-11</v>
      </c>
      <c r="AD52" s="3">
        <v>-2</v>
      </c>
      <c r="AE52" s="3">
        <v>-16</v>
      </c>
      <c r="AF52" s="3">
        <v>-11</v>
      </c>
      <c r="AG52" s="3">
        <v>-3</v>
      </c>
      <c r="AH52" s="3">
        <v>-2</v>
      </c>
      <c r="AI52" s="3">
        <v>-7</v>
      </c>
    </row>
    <row r="53" spans="5:35" x14ac:dyDescent="0.25">
      <c r="E53" s="18"/>
      <c r="F53" s="68"/>
      <c r="G53" s="68"/>
      <c r="H53" s="68"/>
      <c r="I53" s="68"/>
      <c r="J53" s="68"/>
      <c r="K53" s="68"/>
      <c r="L53" s="68"/>
      <c r="M53" s="68"/>
      <c r="N53" s="68"/>
      <c r="O53" s="68"/>
      <c r="P53" s="68"/>
      <c r="Q53" s="68"/>
      <c r="R53" s="68"/>
      <c r="S53" s="68"/>
      <c r="T53" s="68"/>
      <c r="U53" s="68"/>
      <c r="V53" s="40"/>
      <c r="W53" s="40"/>
      <c r="X53" s="40"/>
      <c r="Y53" s="40"/>
      <c r="Z53" s="40"/>
      <c r="AA53" s="40"/>
      <c r="AB53" s="39"/>
      <c r="AC53" s="39"/>
      <c r="AD53" s="39"/>
      <c r="AE53" s="39"/>
      <c r="AF53" s="39"/>
      <c r="AG53" s="39"/>
      <c r="AH53" s="39"/>
    </row>
    <row r="54" spans="5:35" x14ac:dyDescent="0.25">
      <c r="E54" s="18"/>
      <c r="F54"/>
      <c r="G54"/>
      <c r="H54"/>
      <c r="I54" s="17"/>
      <c r="K54" s="17"/>
      <c r="M54" s="17"/>
      <c r="O54" s="17"/>
      <c r="Q54" s="17"/>
      <c r="S54" s="17"/>
    </row>
    <row r="55" spans="5:35" x14ac:dyDescent="0.25">
      <c r="E55" s="18"/>
      <c r="F55"/>
      <c r="G55"/>
      <c r="H55"/>
      <c r="I55" s="18"/>
      <c r="M55" s="17"/>
      <c r="O55" s="17"/>
      <c r="Q55" s="17"/>
      <c r="S55" s="17"/>
    </row>
    <row r="56" spans="5:35" x14ac:dyDescent="0.25">
      <c r="E56" s="18"/>
      <c r="F56"/>
      <c r="G56"/>
      <c r="H56"/>
    </row>
    <row r="57" spans="5:35" x14ac:dyDescent="0.25">
      <c r="F57"/>
      <c r="G57"/>
      <c r="H57"/>
      <c r="I57" s="18"/>
    </row>
    <row r="58" spans="5:35" x14ac:dyDescent="0.25">
      <c r="F58"/>
      <c r="G58"/>
      <c r="H58"/>
      <c r="I58" s="18"/>
    </row>
    <row r="59" spans="5:35" x14ac:dyDescent="0.25">
      <c r="F59"/>
      <c r="G59"/>
      <c r="H59"/>
      <c r="I59" s="18"/>
    </row>
    <row r="60" spans="5:35" x14ac:dyDescent="0.25">
      <c r="F60"/>
      <c r="G60"/>
      <c r="H60"/>
      <c r="I60" s="18"/>
    </row>
    <row r="61" spans="5:35" x14ac:dyDescent="0.25">
      <c r="F61"/>
      <c r="G61"/>
      <c r="H61"/>
      <c r="I61" s="18"/>
    </row>
    <row r="62" spans="5:35" x14ac:dyDescent="0.25">
      <c r="F62"/>
      <c r="G62"/>
      <c r="H62"/>
      <c r="I62" s="18"/>
    </row>
    <row r="63" spans="5:35" x14ac:dyDescent="0.25">
      <c r="F63"/>
      <c r="G63"/>
      <c r="H63"/>
      <c r="I63" s="18"/>
    </row>
    <row r="64" spans="5:35" x14ac:dyDescent="0.25">
      <c r="F64" s="19"/>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row r="77" spans="7:9" x14ac:dyDescent="0.25">
      <c r="G77" s="18"/>
      <c r="I77" s="18"/>
    </row>
    <row r="78" spans="7:9" x14ac:dyDescent="0.25">
      <c r="G78" s="18"/>
      <c r="I78" s="18"/>
    </row>
    <row r="79" spans="7:9" x14ac:dyDescent="0.25">
      <c r="G79" s="18"/>
      <c r="I79" s="18"/>
    </row>
    <row r="80" spans="7:9" x14ac:dyDescent="0.25">
      <c r="G80" s="18"/>
      <c r="I80" s="18"/>
    </row>
    <row r="81" spans="7:9" x14ac:dyDescent="0.25">
      <c r="G81" s="18"/>
      <c r="I81" s="18"/>
    </row>
    <row r="82" spans="7:9" x14ac:dyDescent="0.25">
      <c r="G82" s="18"/>
      <c r="I82" s="18"/>
    </row>
    <row r="83" spans="7:9" x14ac:dyDescent="0.25">
      <c r="G83" s="18"/>
      <c r="I83" s="18"/>
    </row>
  </sheetData>
  <conditionalFormatting sqref="F2:U2 F13:U14 F25:U26">
    <cfRule type="cellIs" dxfId="35" priority="36" operator="equal">
      <formula>50</formula>
    </cfRule>
  </conditionalFormatting>
  <conditionalFormatting sqref="F38:K38">
    <cfRule type="cellIs" dxfId="34" priority="35" operator="equal">
      <formula>50</formula>
    </cfRule>
  </conditionalFormatting>
  <conditionalFormatting sqref="F2:U2 F13:U14 F25:U26 F37:U37 R38:U48 F38:Q38 F1 H1:U1">
    <cfRule type="expression" dxfId="33" priority="34">
      <formula>G1=50</formula>
    </cfRule>
  </conditionalFormatting>
  <conditionalFormatting sqref="L38:M38">
    <cfRule type="cellIs" dxfId="32" priority="33" operator="equal">
      <formula>50</formula>
    </cfRule>
  </conditionalFormatting>
  <conditionalFormatting sqref="N38:Q38">
    <cfRule type="cellIs" dxfId="31" priority="32" operator="equal">
      <formula>50</formula>
    </cfRule>
  </conditionalFormatting>
  <conditionalFormatting sqref="G3:G12">
    <cfRule type="cellIs" dxfId="30" priority="31" operator="equal">
      <formula>50</formula>
    </cfRule>
  </conditionalFormatting>
  <conditionalFormatting sqref="I3:I12">
    <cfRule type="cellIs" dxfId="29" priority="30" operator="equal">
      <formula>50</formula>
    </cfRule>
  </conditionalFormatting>
  <conditionalFormatting sqref="K3:K12">
    <cfRule type="cellIs" dxfId="28" priority="29" operator="equal">
      <formula>50</formula>
    </cfRule>
  </conditionalFormatting>
  <conditionalFormatting sqref="M3:M12">
    <cfRule type="cellIs" dxfId="27" priority="28" operator="equal">
      <formula>50</formula>
    </cfRule>
  </conditionalFormatting>
  <conditionalFormatting sqref="O3:O12">
    <cfRule type="cellIs" dxfId="26" priority="27" operator="equal">
      <formula>50</formula>
    </cfRule>
  </conditionalFormatting>
  <conditionalFormatting sqref="Q3:Q12">
    <cfRule type="cellIs" dxfId="25" priority="26" operator="equal">
      <formula>50</formula>
    </cfRule>
  </conditionalFormatting>
  <conditionalFormatting sqref="S3:S12">
    <cfRule type="cellIs" dxfId="24" priority="25" operator="equal">
      <formula>50</formula>
    </cfRule>
  </conditionalFormatting>
  <conditionalFormatting sqref="U3:U12">
    <cfRule type="cellIs" dxfId="23" priority="24" operator="equal">
      <formula>50</formula>
    </cfRule>
  </conditionalFormatting>
  <conditionalFormatting sqref="U15:U24">
    <cfRule type="cellIs" dxfId="22" priority="23" operator="equal">
      <formula>50</formula>
    </cfRule>
  </conditionalFormatting>
  <conditionalFormatting sqref="S15:S24">
    <cfRule type="cellIs" dxfId="21" priority="22" operator="equal">
      <formula>50</formula>
    </cfRule>
  </conditionalFormatting>
  <conditionalFormatting sqref="Q15:Q24">
    <cfRule type="cellIs" dxfId="20" priority="21" operator="equal">
      <formula>50</formula>
    </cfRule>
  </conditionalFormatting>
  <conditionalFormatting sqref="O15:O24">
    <cfRule type="cellIs" dxfId="19" priority="20" operator="equal">
      <formula>50</formula>
    </cfRule>
  </conditionalFormatting>
  <conditionalFormatting sqref="M15:M24">
    <cfRule type="cellIs" dxfId="18" priority="19" operator="equal">
      <formula>50</formula>
    </cfRule>
  </conditionalFormatting>
  <conditionalFormatting sqref="K15:K24">
    <cfRule type="cellIs" dxfId="17" priority="18" operator="equal">
      <formula>50</formula>
    </cfRule>
  </conditionalFormatting>
  <conditionalFormatting sqref="I15:I24">
    <cfRule type="cellIs" dxfId="16" priority="17" operator="equal">
      <formula>50</formula>
    </cfRule>
  </conditionalFormatting>
  <conditionalFormatting sqref="G15:G24">
    <cfRule type="cellIs" dxfId="15" priority="16" operator="equal">
      <formula>50</formula>
    </cfRule>
  </conditionalFormatting>
  <conditionalFormatting sqref="G27:G36">
    <cfRule type="cellIs" dxfId="14" priority="15" operator="equal">
      <formula>50</formula>
    </cfRule>
  </conditionalFormatting>
  <conditionalFormatting sqref="I27:I36">
    <cfRule type="cellIs" dxfId="13" priority="14" operator="equal">
      <formula>50</formula>
    </cfRule>
  </conditionalFormatting>
  <conditionalFormatting sqref="K27:K36">
    <cfRule type="cellIs" dxfId="12" priority="13" operator="equal">
      <formula>50</formula>
    </cfRule>
  </conditionalFormatting>
  <conditionalFormatting sqref="M27:M36">
    <cfRule type="cellIs" dxfId="11" priority="12" operator="equal">
      <formula>50</formula>
    </cfRule>
  </conditionalFormatting>
  <conditionalFormatting sqref="O27:O36">
    <cfRule type="cellIs" dxfId="10" priority="11" operator="equal">
      <formula>50</formula>
    </cfRule>
  </conditionalFormatting>
  <conditionalFormatting sqref="Q27:Q36">
    <cfRule type="cellIs" dxfId="9" priority="10" operator="equal">
      <formula>50</formula>
    </cfRule>
  </conditionalFormatting>
  <conditionalFormatting sqref="S27:S36">
    <cfRule type="cellIs" dxfId="8" priority="9" operator="equal">
      <formula>50</formula>
    </cfRule>
  </conditionalFormatting>
  <conditionalFormatting sqref="U27:U36">
    <cfRule type="cellIs" dxfId="7" priority="8" operator="equal">
      <formula>50</formula>
    </cfRule>
  </conditionalFormatting>
  <conditionalFormatting sqref="G39:G48">
    <cfRule type="cellIs" dxfId="6" priority="7" operator="equal">
      <formula>50</formula>
    </cfRule>
  </conditionalFormatting>
  <conditionalFormatting sqref="I39:I48">
    <cfRule type="cellIs" dxfId="5" priority="6" operator="equal">
      <formula>50</formula>
    </cfRule>
  </conditionalFormatting>
  <conditionalFormatting sqref="K39:K48">
    <cfRule type="cellIs" dxfId="4" priority="5" operator="equal">
      <formula>50</formula>
    </cfRule>
  </conditionalFormatting>
  <conditionalFormatting sqref="M39:M48">
    <cfRule type="cellIs" dxfId="3" priority="4" operator="equal">
      <formula>50</formula>
    </cfRule>
  </conditionalFormatting>
  <conditionalFormatting sqref="O39:O48">
    <cfRule type="cellIs" dxfId="2" priority="3" operator="equal">
      <formula>50</formula>
    </cfRule>
  </conditionalFormatting>
  <conditionalFormatting sqref="Q39:Q48">
    <cfRule type="cellIs" dxfId="1" priority="2" operator="equal">
      <formula>50</formula>
    </cfRule>
  </conditionalFormatting>
  <conditionalFormatting sqref="D2:D7">
    <cfRule type="expression" dxfId="0" priority="1">
      <formula>WEEKDAY(TODAY()) =1</formula>
    </cfRule>
  </conditionalFormatting>
  <dataValidations count="1">
    <dataValidation type="list" allowBlank="1" showInputMessage="1" showErrorMessage="1" sqref="T47:T48 R47:R48 V47:V48 V35:V36" xr:uid="{7F5270E5-E5A1-463C-AA49-8C3E4194CD6A}">
      <formula1>#REF!</formula1>
    </dataValidation>
  </dataValidations>
  <hyperlinks>
    <hyperlink ref="B34" r:id="rId1" xr:uid="{6F72E693-F3FB-45F7-B2A9-4A94B4303148}"/>
    <hyperlink ref="B47" r:id="rId2" display="Updated from espn.com" xr:uid="{071CF89E-799C-4BD8-ADFF-D7C745B92D29}"/>
    <hyperlink ref="G1" r:id="rId3" xr:uid="{86486054-DAC9-4246-89F5-4A2EA043AD22}"/>
  </hyperlinks>
  <pageMargins left="0.7" right="0.7" top="0.75" bottom="0.75" header="0.3" footer="0.3"/>
  <pageSetup orientation="portrait" r:id="rId4"/>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8">
        <x14:dataValidation type="list" allowBlank="1" showInputMessage="1" showErrorMessage="1" xr:uid="{527612D5-6681-4A1F-9D58-8CDC3AC3AC19}">
          <x14:formula1>
            <xm:f>'Top 40'!$C$4:$G$4</xm:f>
          </x14:formula1>
          <xm:sqref>T40 V40 V28 R40</xm:sqref>
        </x14:dataValidation>
        <x14:dataValidation type="list" allowBlank="1" showInputMessage="1" showErrorMessage="1" xr:uid="{4EAFBAF8-3295-47C4-9E00-7EFB1A25106E}">
          <x14:formula1>
            <xm:f>'Top 40'!$C$6:$G$6</xm:f>
          </x14:formula1>
          <xm:sqref>T42 V30 R42 V42</xm:sqref>
        </x14:dataValidation>
        <x14:dataValidation type="list" allowBlank="1" showInputMessage="1" showErrorMessage="1" xr:uid="{8DBB8772-C2A5-4D17-8064-A7476423B8E7}">
          <x14:formula1>
            <xm:f>'Top 40'!$C$5:$G$5</xm:f>
          </x14:formula1>
          <xm:sqref>T41 R41 V41 V29</xm:sqref>
        </x14:dataValidation>
        <x14:dataValidation type="list" allowBlank="1" showInputMessage="1" showErrorMessage="1" xr:uid="{DBCA296B-5706-41F3-85EE-06DA5F4C9583}">
          <x14:formula1>
            <xm:f>'Top 40'!$C$3:$G$3</xm:f>
          </x14:formula1>
          <xm:sqref>V39 T39 R39</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 P39</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 P40</xm:sqref>
        </x14:dataValidation>
        <x14:dataValidation type="list" allowBlank="1" showInputMessage="1" showErrorMessage="1" xr:uid="{90BB265A-7065-4A5B-B910-762EC6FF902C}">
          <x14:formula1>
            <xm:f>'Final 30'!$C$5:$E$5</xm:f>
          </x14:formula1>
          <xm:sqref>F5 N41 L41 J41 H41 F41 T29 R29 P29 N29 L29 J29 H29 F29 F17 H17 J17 L17 N17 P17 R17 T17 T5 R5 P5 N5 L5 J5 H5 P41</xm:sqref>
        </x14:dataValidation>
        <x14:dataValidation type="list" allowBlank="1" showInputMessage="1" showErrorMessage="1" xr:uid="{DAC49FC7-D59E-4C84-9988-27978C2260C0}">
          <x14:formula1>
            <xm:f>'Final 30'!$C$8:$E$8</xm:f>
          </x14:formula1>
          <xm:sqref>F8 N44 L44 J44 H44 F44 T32 R32 P32 N32 L32 J32 H32 F32 F20 H20 J20 L20 N20 P20 R20 T20 T8 R8 P8 N8 L8 J8 H8 P44</xm:sqref>
        </x14:dataValidation>
        <x14:dataValidation type="list" allowBlank="1" showInputMessage="1" showErrorMessage="1" xr:uid="{3C224F84-9C70-4D03-AF80-4D6657019D00}">
          <x14:formula1>
            <xm:f>'Final 30'!$C$11:$E$11</xm:f>
          </x14:formula1>
          <xm:sqref>F11 N47 L47 J47 H47 F47 T35 R35 P35 N35 L35 J35 H35 F35 F23 H23 J23 L23 N23 P23 R23 T23 T11 R11 P11 N11 L11 J11 H11 P47</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 P42</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 P46</xm:sqref>
        </x14:dataValidation>
        <x14:dataValidation type="list" allowBlank="1" showInputMessage="1" showErrorMessage="1" xr:uid="{7DD9DED6-6134-4833-9D92-28C6BCD853C0}">
          <x14:formula1>
            <xm:f>'Final 30'!$C$7:$E$7</xm:f>
          </x14:formula1>
          <xm:sqref>F7 N43 L43 J43 H43 F43 T31 R31 P31 N31 L31 J31 H31 F31 F19 H19 J19 L19 N19 P19 R19 T19 T7 R7 P7 N7 L7 J7 H7 P43</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 P45</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 P48</xm:sqref>
        </x14:dataValidation>
        <x14:dataValidation type="list" allowBlank="1" showInputMessage="1" showErrorMessage="1" xr:uid="{5C7C6DB5-FC95-4E39-A571-EAF57D254973}">
          <x14:formula1>
            <xm:f>'Top 40'!$C$10:$G$10</xm:f>
          </x14:formula1>
          <xm:sqref>R46 T46 V46 V34</xm:sqref>
        </x14:dataValidation>
        <x14:dataValidation type="list" allowBlank="1" showInputMessage="1" showErrorMessage="1" xr:uid="{267EC12C-F849-4E4C-99EF-9EDCD5953842}">
          <x14:formula1>
            <xm:f>'Top 40'!$C$9:$G$9</xm:f>
          </x14:formula1>
          <xm:sqref>V45 R45 V33 T45</xm:sqref>
        </x14:dataValidation>
        <x14:dataValidation type="list" allowBlank="1" showInputMessage="1" showErrorMessage="1" xr:uid="{9B718A10-F97B-433E-A0AF-ABB6103DC051}">
          <x14:formula1>
            <xm:f>'Top 40'!$C$8:$G$8</xm:f>
          </x14:formula1>
          <xm:sqref>T44 R44 V44 V32</xm:sqref>
        </x14:dataValidation>
        <x14:dataValidation type="list" allowBlank="1" showInputMessage="1" showErrorMessage="1" xr:uid="{C312783B-3853-40BC-B302-B194BC1A056A}">
          <x14:formula1>
            <xm:f>'Top 40'!$C$7:$E$7</xm:f>
          </x14:formula1>
          <xm:sqref>T43 V31 V43 R43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heetViews>
  <sheetFormatPr defaultRowHeight="13" x14ac:dyDescent="0.25"/>
  <cols>
    <col min="1" max="1" width="7" customWidth="1"/>
    <col min="2" max="2" width="9.1796875" style="1"/>
    <col min="3" max="3" width="19" style="4" customWidth="1"/>
    <col min="4" max="4" width="20.1796875" style="4" customWidth="1"/>
    <col min="5" max="5" width="18.1796875" style="4" customWidth="1"/>
    <col min="6" max="6" width="19.453125" style="4" customWidth="1"/>
    <col min="7" max="7" width="21.81640625" style="4" customWidth="1"/>
    <col min="8" max="8" width="14.1796875" customWidth="1"/>
    <col min="9" max="9" width="16.1796875" customWidth="1"/>
  </cols>
  <sheetData>
    <row r="1" spans="2:7" x14ac:dyDescent="0.25">
      <c r="E1" s="4" t="s">
        <v>0</v>
      </c>
    </row>
    <row r="2" spans="2:7" x14ac:dyDescent="0.25">
      <c r="B2" s="1" t="s">
        <v>53</v>
      </c>
    </row>
    <row r="3" spans="2:7" x14ac:dyDescent="0.25">
      <c r="B3" s="1">
        <v>1</v>
      </c>
      <c r="C3" s="36" t="s">
        <v>24</v>
      </c>
      <c r="D3" s="94" t="s">
        <v>25</v>
      </c>
      <c r="E3" s="36" t="s">
        <v>118</v>
      </c>
    </row>
    <row r="4" spans="2:7" x14ac:dyDescent="0.25">
      <c r="B4" s="1">
        <v>2</v>
      </c>
      <c r="C4" s="36" t="s">
        <v>47</v>
      </c>
      <c r="D4" s="36" t="s">
        <v>29</v>
      </c>
      <c r="E4" s="36" t="s">
        <v>73</v>
      </c>
    </row>
    <row r="5" spans="2:7" x14ac:dyDescent="0.25">
      <c r="B5" s="1">
        <v>3</v>
      </c>
      <c r="C5" s="95" t="s">
        <v>30</v>
      </c>
      <c r="D5" s="56" t="s">
        <v>42</v>
      </c>
      <c r="E5" s="56" t="s">
        <v>67</v>
      </c>
    </row>
    <row r="6" spans="2:7" x14ac:dyDescent="0.25">
      <c r="B6" s="1">
        <v>4</v>
      </c>
      <c r="C6" s="94" t="s">
        <v>108</v>
      </c>
      <c r="D6" s="36" t="s">
        <v>46</v>
      </c>
      <c r="E6" s="36" t="s">
        <v>57</v>
      </c>
    </row>
    <row r="7" spans="2:7" x14ac:dyDescent="0.25">
      <c r="B7" s="1">
        <v>5</v>
      </c>
      <c r="C7" s="36" t="s">
        <v>50</v>
      </c>
      <c r="D7" s="28" t="s">
        <v>104</v>
      </c>
      <c r="E7" s="36" t="s">
        <v>121</v>
      </c>
      <c r="F7"/>
    </row>
    <row r="8" spans="2:7" x14ac:dyDescent="0.25">
      <c r="B8" s="1">
        <v>6</v>
      </c>
      <c r="C8" s="95" t="s">
        <v>44</v>
      </c>
      <c r="D8" s="36" t="s">
        <v>40</v>
      </c>
      <c r="E8" s="36" t="s">
        <v>28</v>
      </c>
      <c r="F8" s="6"/>
    </row>
    <row r="9" spans="2:7" x14ac:dyDescent="0.25">
      <c r="B9" s="1">
        <v>7</v>
      </c>
      <c r="C9" s="93" t="s">
        <v>35</v>
      </c>
      <c r="D9" s="95" t="s">
        <v>27</v>
      </c>
      <c r="E9" s="95" t="s">
        <v>37</v>
      </c>
      <c r="F9" s="6"/>
      <c r="G9" s="6"/>
    </row>
    <row r="10" spans="2:7" x14ac:dyDescent="0.25">
      <c r="B10" s="1">
        <v>8</v>
      </c>
      <c r="C10" s="95" t="s">
        <v>43</v>
      </c>
      <c r="D10" s="56" t="s">
        <v>52</v>
      </c>
      <c r="E10" s="56" t="s">
        <v>58</v>
      </c>
      <c r="F10" s="6"/>
      <c r="G10" s="6"/>
    </row>
    <row r="11" spans="2:7" x14ac:dyDescent="0.25">
      <c r="B11" s="1">
        <v>9</v>
      </c>
      <c r="C11" s="94" t="s">
        <v>38</v>
      </c>
      <c r="D11" s="36" t="s">
        <v>123</v>
      </c>
      <c r="E11" s="36" t="s">
        <v>125</v>
      </c>
      <c r="F11" s="6"/>
      <c r="G11" s="6"/>
    </row>
    <row r="12" spans="2:7" x14ac:dyDescent="0.25">
      <c r="B12" s="1">
        <v>10</v>
      </c>
      <c r="C12" s="95" t="s">
        <v>34</v>
      </c>
      <c r="D12" s="36" t="s">
        <v>109</v>
      </c>
      <c r="E12" s="95" t="s">
        <v>74</v>
      </c>
      <c r="F12" s="6"/>
      <c r="G12" s="6"/>
    </row>
    <row r="14" spans="2:7" x14ac:dyDescent="0.25">
      <c r="B14" s="1">
        <v>1</v>
      </c>
      <c r="C14" t="str">
        <f t="shared" ref="C14:E23" si="0">UPPER(MID(C3,FIND(" ", C3, 1),30))</f>
        <v xml:space="preserve"> SCHEFFLER</v>
      </c>
      <c r="D14" t="str">
        <f t="shared" si="0"/>
        <v xml:space="preserve"> MCILROY</v>
      </c>
      <c r="E14" t="str">
        <f t="shared" si="0"/>
        <v xml:space="preserve"> SPAUN</v>
      </c>
      <c r="F14"/>
      <c r="G14"/>
    </row>
    <row r="15" spans="2:7" x14ac:dyDescent="0.25">
      <c r="B15" s="1">
        <v>2</v>
      </c>
      <c r="C15" t="str">
        <f t="shared" si="0"/>
        <v xml:space="preserve"> ROSE</v>
      </c>
      <c r="D15" t="str">
        <f t="shared" si="0"/>
        <v xml:space="preserve"> FLEETWOOD</v>
      </c>
      <c r="E15" t="str">
        <f t="shared" si="0"/>
        <v xml:space="preserve"> GRIFFIN</v>
      </c>
      <c r="F15"/>
      <c r="G15"/>
    </row>
    <row r="16" spans="2:7" x14ac:dyDescent="0.25">
      <c r="B16" s="1">
        <v>3</v>
      </c>
      <c r="C16" t="str">
        <f t="shared" si="0"/>
        <v xml:space="preserve"> HENLEY</v>
      </c>
      <c r="D16" t="str">
        <f t="shared" si="0"/>
        <v xml:space="preserve"> STRAKA</v>
      </c>
      <c r="E16" t="str">
        <f t="shared" si="0"/>
        <v xml:space="preserve"> MACINTYRE</v>
      </c>
      <c r="F16"/>
      <c r="G16"/>
    </row>
    <row r="17" spans="2:7" x14ac:dyDescent="0.25">
      <c r="B17" s="1">
        <v>4</v>
      </c>
      <c r="C17" t="str">
        <f t="shared" si="0"/>
        <v xml:space="preserve"> MCNEALY</v>
      </c>
      <c r="D17" t="str">
        <f t="shared" si="0"/>
        <v xml:space="preserve"> ENGLISH</v>
      </c>
      <c r="E17" t="str">
        <f t="shared" si="0"/>
        <v xml:space="preserve"> THOMAS</v>
      </c>
      <c r="F17"/>
      <c r="G17"/>
    </row>
    <row r="18" spans="2:7" x14ac:dyDescent="0.25">
      <c r="B18" s="1">
        <v>5</v>
      </c>
      <c r="C18" t="str">
        <f t="shared" si="0"/>
        <v xml:space="preserve"> YOUNG</v>
      </c>
      <c r="D18" t="str">
        <f t="shared" si="0"/>
        <v xml:space="preserve"> ÅBERG</v>
      </c>
      <c r="E18" t="str">
        <f t="shared" si="0"/>
        <v xml:space="preserve"> NOVAK</v>
      </c>
      <c r="F18"/>
      <c r="G18"/>
    </row>
    <row r="19" spans="2:7" x14ac:dyDescent="0.25">
      <c r="B19" s="1">
        <v>6</v>
      </c>
      <c r="C19" t="str">
        <f t="shared" si="0"/>
        <v xml:space="preserve"> BRADLEY</v>
      </c>
      <c r="D19" t="str">
        <f t="shared" si="0"/>
        <v xml:space="preserve"> BURNS</v>
      </c>
      <c r="E19" t="str">
        <f t="shared" si="0"/>
        <v xml:space="preserve"> HARMAN</v>
      </c>
      <c r="F19"/>
      <c r="G19"/>
    </row>
    <row r="20" spans="2:7" x14ac:dyDescent="0.3">
      <c r="B20" s="8">
        <v>7</v>
      </c>
      <c r="C20" t="str">
        <f t="shared" si="0"/>
        <v xml:space="preserve"> CONNERS</v>
      </c>
      <c r="D20" t="str">
        <f t="shared" si="0"/>
        <v xml:space="preserve"> CANTLAY</v>
      </c>
      <c r="E20" t="str">
        <f t="shared" si="0"/>
        <v xml:space="preserve"> MORIKAWA</v>
      </c>
      <c r="F20"/>
      <c r="G20"/>
    </row>
    <row r="21" spans="2:7" x14ac:dyDescent="0.3">
      <c r="B21" s="8">
        <v>8</v>
      </c>
      <c r="C21" t="str">
        <f t="shared" si="0"/>
        <v xml:space="preserve"> HOVLAND</v>
      </c>
      <c r="D21" t="str">
        <f t="shared" si="0"/>
        <v xml:space="preserve"> MATSUYAMA</v>
      </c>
      <c r="E21" t="str">
        <f t="shared" si="0"/>
        <v xml:space="preserve"> LOWRY</v>
      </c>
      <c r="F21"/>
      <c r="G21"/>
    </row>
    <row r="22" spans="2:7" x14ac:dyDescent="0.3">
      <c r="B22" s="8">
        <v>9</v>
      </c>
      <c r="C22" t="str">
        <f t="shared" si="0"/>
        <v xml:space="preserve"> TAYLOR</v>
      </c>
      <c r="D22" t="str">
        <f t="shared" si="0"/>
        <v xml:space="preserve"> HALL</v>
      </c>
      <c r="E22" t="str">
        <f t="shared" si="0"/>
        <v xml:space="preserve"> BRIDGEMAN</v>
      </c>
      <c r="F22"/>
      <c r="G22"/>
    </row>
    <row r="23" spans="2:7" x14ac:dyDescent="0.3">
      <c r="B23" s="8">
        <v>10</v>
      </c>
      <c r="C23" t="str">
        <f t="shared" si="0"/>
        <v xml:space="preserve"> IM</v>
      </c>
      <c r="D23" t="str">
        <f t="shared" si="0"/>
        <v xml:space="preserve"> GOTTERUP</v>
      </c>
      <c r="E23" t="str">
        <f t="shared" si="0"/>
        <v xml:space="preserve"> BHATIA</v>
      </c>
      <c r="F23"/>
      <c r="G23"/>
    </row>
    <row r="24" spans="2:7" ht="12.5" x14ac:dyDescent="0.25">
      <c r="B24" s="3"/>
      <c r="C24"/>
      <c r="D24"/>
      <c r="E24"/>
      <c r="F24"/>
      <c r="G24"/>
    </row>
    <row r="25" spans="2:7" x14ac:dyDescent="0.3">
      <c r="B25" s="3"/>
      <c r="C25" s="7" t="s">
        <v>54</v>
      </c>
      <c r="D25"/>
      <c r="E25" s="3"/>
      <c r="F25" s="7" t="s">
        <v>54</v>
      </c>
      <c r="G25" s="5"/>
    </row>
    <row r="26" spans="2:7" x14ac:dyDescent="0.3">
      <c r="B26" s="8">
        <v>1</v>
      </c>
      <c r="C26"/>
      <c r="D26"/>
      <c r="E26" s="8">
        <v>1</v>
      </c>
      <c r="F26"/>
    </row>
    <row r="27" spans="2:7" x14ac:dyDescent="0.3">
      <c r="B27" s="8">
        <v>2</v>
      </c>
      <c r="C27"/>
      <c r="D27"/>
      <c r="E27" s="8">
        <v>2</v>
      </c>
      <c r="F27"/>
      <c r="G27" s="5"/>
    </row>
    <row r="28" spans="2:7" x14ac:dyDescent="0.3">
      <c r="B28" s="8">
        <v>3</v>
      </c>
      <c r="C28"/>
      <c r="D28"/>
      <c r="E28" s="8">
        <v>3</v>
      </c>
      <c r="F28"/>
      <c r="G28" s="5"/>
    </row>
    <row r="29" spans="2:7" x14ac:dyDescent="0.3">
      <c r="B29" s="8">
        <v>4</v>
      </c>
      <c r="C29"/>
      <c r="D29"/>
      <c r="E29" s="8">
        <v>4</v>
      </c>
      <c r="F29"/>
      <c r="G29" s="5"/>
    </row>
    <row r="30" spans="2:7" x14ac:dyDescent="0.3">
      <c r="B30" s="8">
        <v>5</v>
      </c>
      <c r="C30"/>
      <c r="D30"/>
      <c r="E30" s="8">
        <v>5</v>
      </c>
      <c r="F30"/>
      <c r="G30" s="5"/>
    </row>
    <row r="31" spans="2:7" x14ac:dyDescent="0.3">
      <c r="B31" s="8">
        <v>6</v>
      </c>
      <c r="C31"/>
      <c r="D31"/>
      <c r="E31" s="8">
        <v>6</v>
      </c>
      <c r="F31"/>
      <c r="G31" s="5"/>
    </row>
    <row r="32" spans="2:7" x14ac:dyDescent="0.3">
      <c r="B32" s="8">
        <v>7</v>
      </c>
      <c r="C32"/>
      <c r="D32"/>
      <c r="E32" s="8">
        <v>7</v>
      </c>
      <c r="F32"/>
      <c r="G32" s="5"/>
    </row>
    <row r="33" spans="1:10" x14ac:dyDescent="0.3">
      <c r="B33" s="8">
        <v>8</v>
      </c>
      <c r="C33"/>
      <c r="D33"/>
      <c r="E33" s="8">
        <v>8</v>
      </c>
      <c r="F33"/>
      <c r="G33" s="5"/>
    </row>
    <row r="34" spans="1:10" x14ac:dyDescent="0.3">
      <c r="B34" s="8">
        <v>9</v>
      </c>
      <c r="C34"/>
      <c r="D34"/>
      <c r="E34" s="8">
        <v>9</v>
      </c>
      <c r="F34"/>
      <c r="G34" s="5"/>
    </row>
    <row r="35" spans="1:10" x14ac:dyDescent="0.3">
      <c r="B35" s="8">
        <v>10</v>
      </c>
      <c r="C35"/>
      <c r="D35"/>
      <c r="E35" s="8">
        <v>10</v>
      </c>
      <c r="F35"/>
    </row>
    <row r="36" spans="1:10" x14ac:dyDescent="0.3">
      <c r="B36" s="8" t="s">
        <v>55</v>
      </c>
      <c r="C36"/>
      <c r="D36"/>
      <c r="E36" s="8" t="s">
        <v>55</v>
      </c>
      <c r="F36"/>
    </row>
    <row r="37" spans="1:10" ht="12.5" x14ac:dyDescent="0.25">
      <c r="B37" s="3"/>
      <c r="C37"/>
      <c r="D37"/>
    </row>
    <row r="38" spans="1:10" ht="12.5" x14ac:dyDescent="0.25">
      <c r="B38" s="3"/>
      <c r="C38"/>
      <c r="D38"/>
    </row>
    <row r="39" spans="1:10" x14ac:dyDescent="0.3">
      <c r="A39" s="18" t="s">
        <v>56</v>
      </c>
      <c r="B39" s="16">
        <f>SMALL(B40:B47,1)+SMALL(B40:B47,2)+SMALL(B40:B47,3)+SMALL(B40:B47,4)+SMALL(B40:B47,5)</f>
        <v>2000</v>
      </c>
      <c r="C39"/>
      <c r="D39"/>
    </row>
    <row r="40" spans="1:10" x14ac:dyDescent="0.25">
      <c r="B40" s="3">
        <f t="shared" ref="B40:B46" si="1">MIN(C40:G40)</f>
        <v>400</v>
      </c>
      <c r="C40" s="21">
        <f>IFERROR(VLOOKUP(#REF!,#REF!,2,FALSE),400)</f>
        <v>400</v>
      </c>
      <c r="D40" s="22">
        <f>IFERROR(VLOOKUP(#REF!,#REF!,2,FALSE),400)</f>
        <v>400</v>
      </c>
      <c r="E40" s="22">
        <f>IFERROR(VLOOKUP(#REF!,#REF!,2,FALSE),400)</f>
        <v>400</v>
      </c>
      <c r="F40" s="22">
        <f>IFERROR(VLOOKUP(#REF!,#REF!,2,FALSE),400)</f>
        <v>400</v>
      </c>
      <c r="G40" s="23">
        <f>IFERROR(VLOOKUP(C3,#REF!,2,FALSE),400)</f>
        <v>400</v>
      </c>
      <c r="J40" s="1">
        <v>1</v>
      </c>
    </row>
    <row r="41" spans="1:10" x14ac:dyDescent="0.25">
      <c r="B41" s="3">
        <f t="shared" si="1"/>
        <v>400</v>
      </c>
      <c r="C41" s="24">
        <f>IFERROR(VLOOKUP(#REF!,#REF!,2,FALSE),400)</f>
        <v>400</v>
      </c>
      <c r="D41">
        <f>IFERROR(VLOOKUP(D7,#REF!,2,FALSE),400)</f>
        <v>400</v>
      </c>
      <c r="E41">
        <f>IFERROR(VLOOKUP(#REF!,#REF!,2,FALSE),400)</f>
        <v>400</v>
      </c>
      <c r="F41">
        <f>IFERROR(VLOOKUP(#REF!,#REF!,2,FALSE),400)</f>
        <v>400</v>
      </c>
      <c r="G41" s="25">
        <f>IFERROR(VLOOKUP(#REF!,#REF!,2,FALSE),400)</f>
        <v>400</v>
      </c>
      <c r="J41" s="1">
        <v>2</v>
      </c>
    </row>
    <row r="42" spans="1:10" x14ac:dyDescent="0.25">
      <c r="B42" s="3">
        <f t="shared" si="1"/>
        <v>400</v>
      </c>
      <c r="C42" s="24">
        <f>IFERROR(VLOOKUP(#REF!,#REF!,2,FALSE),400)</f>
        <v>400</v>
      </c>
      <c r="D42">
        <f>IFERROR(VLOOKUP(#REF!,#REF!,2,FALSE),400)</f>
        <v>400</v>
      </c>
      <c r="E42">
        <f>IFERROR(VLOOKUP(#REF!,#REF!,2,FALSE),400)</f>
        <v>400</v>
      </c>
      <c r="F42">
        <f>IFERROR(VLOOKUP(#REF!,#REF!,2,FALSE),400)</f>
        <v>400</v>
      </c>
      <c r="G42" s="25">
        <f>IFERROR(VLOOKUP(#REF!,#REF!,2,FALSE),400)</f>
        <v>400</v>
      </c>
      <c r="J42" s="1">
        <v>3</v>
      </c>
    </row>
    <row r="43" spans="1:10" x14ac:dyDescent="0.25">
      <c r="B43" s="3">
        <f t="shared" si="1"/>
        <v>400</v>
      </c>
      <c r="C43" s="24">
        <f>IFERROR(VLOOKUP(#REF!,#REF!,2,FALSE),400)</f>
        <v>400</v>
      </c>
      <c r="D43">
        <f>IFERROR(VLOOKUP(#REF!,#REF!,2,FALSE),400)</f>
        <v>400</v>
      </c>
      <c r="E43">
        <f>IFERROR(VLOOKUP(#REF!,#REF!,2,FALSE),400)</f>
        <v>400</v>
      </c>
      <c r="F43">
        <f>IFERROR(VLOOKUP(#REF!,#REF!,2,FALSE),400)</f>
        <v>400</v>
      </c>
      <c r="G43" s="25">
        <f>IFERROR(VLOOKUP(D8,#REF!,2,FALSE),400)</f>
        <v>400</v>
      </c>
      <c r="J43" s="1">
        <v>4</v>
      </c>
    </row>
    <row r="44" spans="1:10" x14ac:dyDescent="0.25">
      <c r="B44" s="3">
        <f t="shared" si="1"/>
        <v>400</v>
      </c>
      <c r="C44" s="24">
        <f>IFERROR(VLOOKUP(#REF!,#REF!,2,FALSE),400)</f>
        <v>400</v>
      </c>
      <c r="D44">
        <f>IFERROR(VLOOKUP(#REF!,#REF!,2,FALSE),400)</f>
        <v>400</v>
      </c>
      <c r="E44">
        <f>IFERROR(VLOOKUP(#REF!,#REF!,2,FALSE),400)</f>
        <v>400</v>
      </c>
      <c r="F44">
        <f>IFERROR(VLOOKUP(#REF!,#REF!,2,FALSE),400)</f>
        <v>400</v>
      </c>
      <c r="G44" s="25">
        <f>IFERROR(VLOOKUP(D4,#REF!,2,FALSE),400)</f>
        <v>400</v>
      </c>
      <c r="J44" s="1">
        <v>5</v>
      </c>
    </row>
    <row r="45" spans="1:10" x14ac:dyDescent="0.25">
      <c r="B45" s="3">
        <f t="shared" si="1"/>
        <v>400</v>
      </c>
      <c r="C45" s="24">
        <f>IFERROR(VLOOKUP(#REF!,#REF!,2,FALSE),400)</f>
        <v>400</v>
      </c>
      <c r="D45">
        <f>IFERROR(VLOOKUP(#REF!,#REF!,2,FALSE),400)</f>
        <v>400</v>
      </c>
      <c r="E45">
        <f>IFERROR(VLOOKUP(#REF!,#REF!,2,FALSE),400)</f>
        <v>400</v>
      </c>
      <c r="F45">
        <f>IFERROR(VLOOKUP(F8,#REF!,2,FALSE),400)</f>
        <v>400</v>
      </c>
      <c r="G45" s="25">
        <f>IFERROR(VLOOKUP(#REF!,#REF!,2,FALSE),400)</f>
        <v>400</v>
      </c>
      <c r="J45" s="1">
        <v>6</v>
      </c>
    </row>
    <row r="46" spans="1:10" x14ac:dyDescent="0.25">
      <c r="B46" s="3">
        <f t="shared" si="1"/>
        <v>400</v>
      </c>
      <c r="C46" s="24">
        <f>IFERROR(VLOOKUP(#REF!,#REF!,2,FALSE),400)</f>
        <v>400</v>
      </c>
      <c r="D46">
        <f>IFERROR(VLOOKUP(#REF!,#REF!,2,FALSE),400)</f>
        <v>400</v>
      </c>
      <c r="E46">
        <f>IFERROR(VLOOKUP(#REF!,#REF!,2,FALSE),400)</f>
        <v>400</v>
      </c>
      <c r="F46">
        <f>IFERROR(VLOOKUP(F9,#REF!,2,FALSE),400)</f>
        <v>400</v>
      </c>
      <c r="G46" s="25">
        <f>IFERROR(VLOOKUP(G9,#REF!,2,FALSE),400)</f>
        <v>400</v>
      </c>
      <c r="J46" s="1">
        <v>7</v>
      </c>
    </row>
    <row r="47" spans="1:10" x14ac:dyDescent="0.3">
      <c r="B47" s="3">
        <f>MIN(C47:I47)</f>
        <v>400</v>
      </c>
      <c r="C47" s="24">
        <f>IFERROR(VLOOKUP(#REF!,#REF!,2,FALSE),400)</f>
        <v>400</v>
      </c>
      <c r="D47">
        <f>IFERROR(VLOOKUP(#REF!,#REF!,2,FALSE),400)</f>
        <v>400</v>
      </c>
      <c r="E47">
        <f>IFERROR(VLOOKUP(#REF!,#REF!,2,FALSE),400)</f>
        <v>400</v>
      </c>
      <c r="F47">
        <f>IFERROR(VLOOKUP(F10,#REF!,2,FALSE),400)</f>
        <v>400</v>
      </c>
      <c r="G47" s="25">
        <f>IFERROR(VLOOKUP(G10,#REF!,2,FALSE),400)</f>
        <v>400</v>
      </c>
      <c r="H47" s="26"/>
      <c r="I47" s="26"/>
      <c r="J47" s="8">
        <v>8</v>
      </c>
    </row>
    <row r="48" spans="1:10" ht="12.5" x14ac:dyDescent="0.25">
      <c r="B48" s="3"/>
      <c r="C48"/>
      <c r="D48"/>
      <c r="E48"/>
      <c r="F48"/>
      <c r="G48"/>
    </row>
    <row r="49" spans="1:10" ht="12.5" x14ac:dyDescent="0.25">
      <c r="B49" s="3"/>
      <c r="C49"/>
      <c r="D49"/>
    </row>
    <row r="50" spans="1:10" ht="12.5" x14ac:dyDescent="0.25">
      <c r="B50" s="3"/>
      <c r="C50"/>
      <c r="D50"/>
    </row>
    <row r="51" spans="1:10" ht="12.5" x14ac:dyDescent="0.25">
      <c r="B51" s="3"/>
      <c r="C51"/>
      <c r="D51"/>
    </row>
    <row r="52" spans="1:10" ht="12.5" x14ac:dyDescent="0.25">
      <c r="B52" s="3"/>
      <c r="C52"/>
      <c r="D52"/>
    </row>
    <row r="53" spans="1:10" s="4" customFormat="1" ht="12.5" x14ac:dyDescent="0.25">
      <c r="A53"/>
      <c r="B53" s="3"/>
      <c r="C53"/>
      <c r="D53"/>
      <c r="H53"/>
      <c r="I53"/>
      <c r="J53"/>
    </row>
    <row r="54" spans="1:10" s="4" customFormat="1" ht="12.5" x14ac:dyDescent="0.25">
      <c r="A54"/>
      <c r="B54" s="3"/>
      <c r="C54"/>
      <c r="D54"/>
      <c r="H54"/>
      <c r="I54"/>
      <c r="J54"/>
    </row>
    <row r="55" spans="1:10" s="4" customFormat="1" ht="12.5" x14ac:dyDescent="0.25">
      <c r="A55"/>
      <c r="B55" s="3"/>
      <c r="C55"/>
      <c r="D55"/>
      <c r="H55"/>
      <c r="I55"/>
      <c r="J55"/>
    </row>
    <row r="56" spans="1:10" s="4" customFormat="1" ht="12.5" x14ac:dyDescent="0.25">
      <c r="A56"/>
      <c r="B56" s="3"/>
      <c r="C56"/>
      <c r="D56"/>
      <c r="H56"/>
      <c r="I56"/>
      <c r="J56"/>
    </row>
    <row r="57" spans="1:10" s="4" customFormat="1" ht="12.5" x14ac:dyDescent="0.25">
      <c r="A57"/>
      <c r="B57" s="3"/>
      <c r="C57"/>
      <c r="D57"/>
      <c r="H57"/>
      <c r="I57"/>
      <c r="J57"/>
    </row>
    <row r="58" spans="1:10" s="4" customFormat="1" ht="12.5" x14ac:dyDescent="0.25">
      <c r="A58"/>
      <c r="B58" s="3"/>
      <c r="C58"/>
      <c r="D58"/>
      <c r="H58"/>
      <c r="I58"/>
      <c r="J58"/>
    </row>
    <row r="59" spans="1:10" s="4" customFormat="1" ht="12.5" x14ac:dyDescent="0.25">
      <c r="A59"/>
      <c r="B59" s="3"/>
      <c r="C59"/>
      <c r="D59"/>
      <c r="H59"/>
      <c r="I59"/>
      <c r="J59"/>
    </row>
    <row r="60" spans="1:10" s="4" customFormat="1" ht="12.5" x14ac:dyDescent="0.25">
      <c r="A60"/>
      <c r="B60" s="3"/>
      <c r="C60"/>
      <c r="D60"/>
      <c r="H60"/>
      <c r="I60"/>
      <c r="J60"/>
    </row>
    <row r="61" spans="1:10" s="4" customFormat="1" ht="12.5" x14ac:dyDescent="0.25">
      <c r="A61"/>
      <c r="B61" s="3"/>
      <c r="C61"/>
      <c r="D61"/>
      <c r="H61"/>
      <c r="I61"/>
      <c r="J61"/>
    </row>
    <row r="62" spans="1:10" s="4" customFormat="1" ht="12.5" x14ac:dyDescent="0.25">
      <c r="A62"/>
      <c r="B62" s="3"/>
      <c r="C62"/>
      <c r="D62"/>
      <c r="H62"/>
      <c r="I62"/>
      <c r="J62"/>
    </row>
    <row r="63" spans="1:10" s="4" customFormat="1" ht="12.5" x14ac:dyDescent="0.25">
      <c r="A63"/>
      <c r="B63" s="3"/>
      <c r="C63"/>
      <c r="D63"/>
      <c r="H63"/>
      <c r="I63"/>
      <c r="J63"/>
    </row>
    <row r="64" spans="1:10" s="4" customFormat="1" ht="12.5" x14ac:dyDescent="0.25">
      <c r="A64"/>
      <c r="B64" s="3"/>
      <c r="C64"/>
      <c r="D64"/>
      <c r="H64"/>
      <c r="I64"/>
      <c r="J64"/>
    </row>
    <row r="65" spans="1:10" s="4" customFormat="1" ht="12.5" x14ac:dyDescent="0.25">
      <c r="A65"/>
      <c r="B65" s="3"/>
      <c r="C65"/>
      <c r="D65"/>
      <c r="H65"/>
      <c r="I65"/>
      <c r="J65"/>
    </row>
    <row r="66" spans="1:10" s="4" customFormat="1" ht="12.5" x14ac:dyDescent="0.25">
      <c r="A66"/>
      <c r="B66" s="3"/>
      <c r="C66"/>
      <c r="D66"/>
      <c r="H66"/>
      <c r="I66"/>
      <c r="J66"/>
    </row>
    <row r="67" spans="1:10" s="4" customFormat="1" ht="12.5" x14ac:dyDescent="0.25">
      <c r="A67"/>
      <c r="B67" s="3"/>
      <c r="C67"/>
      <c r="D67"/>
      <c r="H67"/>
      <c r="I67"/>
      <c r="J67"/>
    </row>
    <row r="68" spans="1:10" s="4" customFormat="1" ht="12.5" x14ac:dyDescent="0.25">
      <c r="A68"/>
      <c r="B68" s="3"/>
      <c r="C68"/>
      <c r="D68"/>
      <c r="H68"/>
      <c r="I68"/>
      <c r="J68"/>
    </row>
    <row r="69" spans="1:10" s="4" customFormat="1" ht="12.5" x14ac:dyDescent="0.25">
      <c r="A69"/>
      <c r="B69" s="3"/>
      <c r="C69"/>
      <c r="D69"/>
      <c r="H69"/>
      <c r="I69"/>
      <c r="J69"/>
    </row>
    <row r="70" spans="1:10" s="4" customFormat="1" ht="12.5" x14ac:dyDescent="0.25">
      <c r="A70"/>
      <c r="B70" s="3"/>
      <c r="C70"/>
      <c r="D70"/>
      <c r="H70"/>
      <c r="I70"/>
      <c r="J70"/>
    </row>
    <row r="71" spans="1:10" s="4" customFormat="1" ht="12.5" x14ac:dyDescent="0.25">
      <c r="A71"/>
      <c r="B71" s="3"/>
      <c r="C71"/>
      <c r="D71"/>
      <c r="H71"/>
      <c r="I71"/>
      <c r="J71"/>
    </row>
    <row r="72" spans="1:10" s="4" customFormat="1" ht="12.5" x14ac:dyDescent="0.25">
      <c r="A72"/>
      <c r="B72" s="3"/>
      <c r="C72"/>
      <c r="D72"/>
      <c r="H72"/>
      <c r="I72"/>
      <c r="J72"/>
    </row>
    <row r="73" spans="1:10" s="4" customFormat="1" ht="12.5" x14ac:dyDescent="0.25">
      <c r="A73"/>
      <c r="B73" s="3"/>
      <c r="C73"/>
      <c r="D73"/>
      <c r="H73"/>
      <c r="I73"/>
      <c r="J73"/>
    </row>
    <row r="74" spans="1:10" s="4" customFormat="1" ht="12.5" x14ac:dyDescent="0.25">
      <c r="A74"/>
      <c r="B74" s="3"/>
      <c r="C74"/>
      <c r="D74"/>
      <c r="H74"/>
      <c r="I74"/>
      <c r="J74"/>
    </row>
    <row r="75" spans="1:10" s="4" customFormat="1" ht="12.5" x14ac:dyDescent="0.25">
      <c r="A75"/>
      <c r="B75" s="3"/>
      <c r="C75"/>
      <c r="D75"/>
      <c r="H75"/>
      <c r="I75"/>
      <c r="J75"/>
    </row>
    <row r="76" spans="1:10" s="4" customFormat="1" ht="12.5" x14ac:dyDescent="0.25">
      <c r="A76"/>
      <c r="B76" s="3"/>
      <c r="C76"/>
      <c r="D76"/>
      <c r="H76"/>
      <c r="I76"/>
      <c r="J76"/>
    </row>
    <row r="77" spans="1:10" s="4" customFormat="1" ht="12.5" x14ac:dyDescent="0.25">
      <c r="A77"/>
      <c r="B77" s="3"/>
      <c r="C77"/>
      <c r="D77"/>
      <c r="H77"/>
      <c r="I77"/>
      <c r="J77"/>
    </row>
    <row r="78" spans="1:10" s="4" customFormat="1" ht="12.5" x14ac:dyDescent="0.25">
      <c r="A78"/>
      <c r="B78" s="3"/>
      <c r="C78"/>
      <c r="D78"/>
      <c r="H78"/>
      <c r="I78"/>
      <c r="J78"/>
    </row>
    <row r="79" spans="1:10" s="4" customFormat="1" ht="12.5" x14ac:dyDescent="0.25">
      <c r="A79"/>
      <c r="B79" s="3"/>
      <c r="C79"/>
      <c r="D79"/>
      <c r="H79"/>
      <c r="I79"/>
      <c r="J79"/>
    </row>
    <row r="80" spans="1:10" s="4" customFormat="1" ht="12.5" x14ac:dyDescent="0.25">
      <c r="A80"/>
      <c r="B80" s="3"/>
      <c r="C80"/>
      <c r="D80"/>
      <c r="H80"/>
      <c r="I80"/>
      <c r="J80"/>
    </row>
    <row r="81" spans="1:10" s="4" customFormat="1" ht="12.5" x14ac:dyDescent="0.25">
      <c r="A81"/>
      <c r="B81" s="3"/>
      <c r="C81"/>
      <c r="D81"/>
      <c r="H81"/>
      <c r="I81"/>
      <c r="J81"/>
    </row>
    <row r="82" spans="1:10" s="4" customFormat="1" ht="12.5" x14ac:dyDescent="0.25">
      <c r="A82"/>
      <c r="B82" s="3"/>
      <c r="C82"/>
      <c r="D82"/>
      <c r="H82"/>
      <c r="I82"/>
      <c r="J82"/>
    </row>
    <row r="83" spans="1:10" s="4" customFormat="1" ht="12.5" x14ac:dyDescent="0.25">
      <c r="A83"/>
      <c r="B83" s="3"/>
      <c r="C83"/>
      <c r="D83"/>
      <c r="H83"/>
      <c r="I83"/>
      <c r="J83"/>
    </row>
    <row r="84" spans="1:10" s="4" customFormat="1" ht="12.5" x14ac:dyDescent="0.25">
      <c r="A84"/>
      <c r="B84" s="3"/>
      <c r="C84"/>
      <c r="D84"/>
      <c r="H84"/>
      <c r="I84"/>
      <c r="J84"/>
    </row>
    <row r="85" spans="1:10" s="4" customFormat="1" ht="12.5" x14ac:dyDescent="0.25">
      <c r="A85"/>
      <c r="B85" s="3"/>
      <c r="C85"/>
      <c r="D85"/>
      <c r="H85"/>
      <c r="I85"/>
      <c r="J85"/>
    </row>
    <row r="86" spans="1:10" s="4" customFormat="1" ht="12.5" x14ac:dyDescent="0.25">
      <c r="A86"/>
      <c r="B86" s="3"/>
      <c r="C86"/>
      <c r="D86"/>
      <c r="H86"/>
      <c r="I86"/>
      <c r="J86"/>
    </row>
    <row r="87" spans="1:10" s="4" customFormat="1" ht="12.5" x14ac:dyDescent="0.25">
      <c r="A87"/>
      <c r="B87" s="3"/>
      <c r="C87"/>
      <c r="D87"/>
      <c r="H87"/>
      <c r="I87"/>
      <c r="J87"/>
    </row>
    <row r="88" spans="1:10" s="4" customFormat="1" ht="12.5" x14ac:dyDescent="0.25">
      <c r="A88"/>
      <c r="B88" s="3"/>
      <c r="C88"/>
      <c r="D88"/>
      <c r="H88"/>
      <c r="I88"/>
      <c r="J88"/>
    </row>
    <row r="89" spans="1:10" s="4" customFormat="1" ht="12.5" x14ac:dyDescent="0.25">
      <c r="A89"/>
      <c r="B89" s="3"/>
      <c r="C89"/>
      <c r="D89"/>
      <c r="H89"/>
      <c r="I89"/>
      <c r="J89"/>
    </row>
    <row r="90" spans="1:10" s="4" customFormat="1" ht="12.5" x14ac:dyDescent="0.25">
      <c r="A90"/>
      <c r="B90" s="3"/>
      <c r="C90"/>
      <c r="D90"/>
      <c r="H90"/>
      <c r="I90"/>
      <c r="J90"/>
    </row>
    <row r="91" spans="1:10" s="4" customFormat="1" ht="12.5" x14ac:dyDescent="0.25">
      <c r="A91"/>
      <c r="B91" s="3"/>
      <c r="C91"/>
      <c r="D91"/>
      <c r="H91"/>
      <c r="I91"/>
      <c r="J91"/>
    </row>
    <row r="92" spans="1:10" s="4" customFormat="1" ht="12.5" x14ac:dyDescent="0.25">
      <c r="A92"/>
      <c r="B92" s="3"/>
      <c r="C92"/>
      <c r="D92"/>
      <c r="H92"/>
      <c r="I92"/>
      <c r="J92"/>
    </row>
    <row r="93" spans="1:10" s="4" customFormat="1" ht="12.5" x14ac:dyDescent="0.25">
      <c r="A93"/>
      <c r="B93" s="3"/>
      <c r="C93"/>
      <c r="D93"/>
      <c r="H93"/>
      <c r="I93"/>
      <c r="J93"/>
    </row>
    <row r="94" spans="1:10" s="4" customFormat="1" ht="12.5"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7" xr:uid="{93B7BB2C-B287-469B-9C71-39C92C2C55D1}">
      <formula1>$C$4:$G$4</formula1>
    </dataValidation>
    <dataValidation type="list" allowBlank="1" showInputMessage="1" showErrorMessage="1" sqref="C28" xr:uid="{3324114C-3F41-4EF7-910F-17E13F3C5E59}">
      <formula1>$D$5:$E$5</formula1>
    </dataValidation>
    <dataValidation type="list" allowBlank="1" showInputMessage="1" showErrorMessage="1" sqref="C31" xr:uid="{C8455541-4B11-4184-B2AB-9AE40483CA7B}">
      <formula1>$C$8:$G$8</formula1>
    </dataValidation>
    <dataValidation type="list" allowBlank="1" showInputMessage="1" showErrorMessage="1" sqref="C29" xr:uid="{886FA186-2339-464A-9933-308D525A9392}">
      <formula1>$C$6:$G$6</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s>
  <pageMargins left="0.7" right="0.7" top="0.75" bottom="0.75" header="0.3" footer="0.3"/>
  <pageSetup orientation="portrait"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2.xml><?xml version="1.0" encoding="utf-8"?>
<ds:datastoreItem xmlns:ds="http://schemas.openxmlformats.org/officeDocument/2006/customXml" ds:itemID="{2EA05996-E1CD-4F5E-A686-756E14993D11}">
  <ds:schemaRefs>
    <ds:schemaRef ds:uri="http://schemas.microsoft.com/office/2006/metadata/properties"/>
    <ds:schemaRef ds:uri="http://www.w3.org/XML/1998/namespace"/>
    <ds:schemaRef ds:uri="http://purl.org/dc/dcmitype/"/>
    <ds:schemaRef ds:uri="http://schemas.microsoft.com/office/2006/documentManagement/types"/>
    <ds:schemaRef ds:uri="982f01af-4d07-425c-8fa5-3f0095db24b1"/>
    <ds:schemaRef ds:uri="http://schemas.openxmlformats.org/package/2006/metadata/core-properties"/>
    <ds:schemaRef ds:uri="http://schemas.microsoft.com/office/infopath/2007/PartnerControls"/>
    <ds:schemaRef ds:uri="http://purl.org/dc/terms/"/>
    <ds:schemaRef ds:uri="5fd5ea90-b119-47df-baf9-72dae140e9be"/>
    <ds:schemaRef ds:uri="http://schemas.microsoft.com/sharepoint/v3"/>
    <ds:schemaRef ds:uri="http://purl.org/dc/elements/1.1/"/>
  </ds:schemaRefs>
</ds:datastoreItem>
</file>

<file path=customXml/itemProps3.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Status</vt:lpstr>
      <vt:lpstr>ESPNPicks</vt:lpstr>
      <vt:lpstr>ESPNMicro</vt:lpstr>
      <vt:lpstr>Standings</vt:lpstr>
      <vt:lpstr>ESPNScores</vt:lpstr>
      <vt:lpstr>eField</vt:lpstr>
      <vt:lpstr>Top 40</vt:lpstr>
      <vt:lpstr>OWGR</vt:lpstr>
      <vt:lpstr>Picks30</vt:lpstr>
      <vt:lpstr>Micro30</vt:lpstr>
      <vt:lpstr>Final 30</vt:lpstr>
      <vt:lpstr>NotTop40</vt:lpstr>
      <vt:lpstr>PLAYER</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PageTitle</dc:title>
  <dc:subject>Joe Magnetico Golf</dc:subject>
  <dc:creator>Preferred Customer</dc:creator>
  <cp:keywords>Keywords</cp:keywords>
  <dc:description/>
  <cp:lastModifiedBy>Matt Desai</cp:lastModifiedBy>
  <cp:revision/>
  <dcterms:created xsi:type="dcterms:W3CDTF">2006-03-31T13:12:28Z</dcterms:created>
  <dcterms:modified xsi:type="dcterms:W3CDTF">2026-06-29T19:33:37Z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